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soumil/Documents/Amazon_Project/excel/"/>
    </mc:Choice>
  </mc:AlternateContent>
  <xr:revisionPtr revIDLastSave="0" documentId="13_ncr:1_{64E6B7DA-46DC-EC48-BC86-E3EA0B297486}" xr6:coauthVersionLast="47" xr6:coauthVersionMax="47" xr10:uidLastSave="{00000000-0000-0000-0000-000000000000}"/>
  <bookViews>
    <workbookView xWindow="0" yWindow="0" windowWidth="28800" windowHeight="18000" activeTab="1" xr2:uid="{00000000-000D-0000-FFFF-FFFF00000000}"/>
  </bookViews>
  <sheets>
    <sheet name="Summary" sheetId="7" r:id="rId1"/>
    <sheet name="Products" sheetId="1" r:id="rId2"/>
    <sheet name="Pivot Category" sheetId="5" r:id="rId3"/>
    <sheet name="Pivot_Price" sheetId="6" r:id="rId4"/>
    <sheet name="Data dictionary" sheetId="2" r:id="rId5"/>
    <sheet name="Decision log" sheetId="3" r:id="rId6"/>
  </sheets>
  <definedNames>
    <definedName name="_xlnm._FilterDatabase" localSheetId="1" hidden="1">Products!$A$1:$W$1352</definedName>
  </definedNames>
  <calcPr calcId="191029"/>
  <pivotCaches>
    <pivotCache cacheId="6"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5" i="7" l="1" a="1"/>
  <c r="C36" i="7" a="1"/>
  <c r="C37" i="7" a="1"/>
  <c r="C38" i="7" a="1"/>
  <c r="C34" i="7" a="1"/>
  <c r="B35" i="7" a="1"/>
  <c r="B36" i="7" a="1"/>
  <c r="B37" i="7" a="1"/>
  <c r="B38" i="7" a="1"/>
  <c r="B34" i="7" a="1"/>
  <c r="C27" i="7"/>
  <c r="C28" i="7"/>
  <c r="C29" i="7"/>
  <c r="C30" i="7"/>
  <c r="B27" i="7"/>
  <c r="B28" i="7"/>
  <c r="B29" i="7"/>
  <c r="B30" i="7"/>
  <c r="B26" i="7"/>
  <c r="C26" i="7"/>
  <c r="B9" i="7"/>
  <c r="B8" i="7"/>
  <c r="B7" i="7"/>
  <c r="B6" i="7"/>
  <c r="B5" i="7"/>
  <c r="B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<sst xmlns="http://schemas.openxmlformats.org/spreadsheetml/2006/main" count="13652" uniqueCount="4402">
  <si>
    <t>product_id</t>
  </si>
  <si>
    <t>product_name</t>
  </si>
  <si>
    <t>main_category</t>
  </si>
  <si>
    <t>category_group</t>
  </si>
  <si>
    <t>sub_category</t>
  </si>
  <si>
    <t>leaf_category</t>
  </si>
  <si>
    <t>discounted_price</t>
  </si>
  <si>
    <t>actual_price</t>
  </si>
  <si>
    <t>discount_pct</t>
  </si>
  <si>
    <t>rating</t>
  </si>
  <si>
    <t>rating_count</t>
  </si>
  <si>
    <t>adj_rating</t>
  </si>
  <si>
    <t>rating_reliability</t>
  </si>
  <si>
    <t>price_bucket</t>
  </si>
  <si>
    <t>value_score</t>
  </si>
  <si>
    <t>value_tier</t>
  </si>
  <si>
    <t>robust_value_pick</t>
  </si>
  <si>
    <t>price_premium_flag</t>
  </si>
  <si>
    <t>low_rating_flag</t>
  </si>
  <si>
    <t>price_x_leaf_median</t>
  </si>
  <si>
    <t>variant_group_size</t>
  </si>
  <si>
    <t>is_primary_listing</t>
  </si>
  <si>
    <t>product_link</t>
  </si>
  <si>
    <t>B08Y1TFSP6</t>
  </si>
  <si>
    <t>pTron Solero TB301 3A Type-C Data and Fast Charging Cable, Made in India, 480Mbps Data Sync, Strong and Durable 1.5-Meter Nylon Braided USB Cable for Type-C Devices for Charging Adapter (Black)</t>
  </si>
  <si>
    <t>Computers&amp;Accessories</t>
  </si>
  <si>
    <t>Accessories&amp;Peripherals</t>
  </si>
  <si>
    <t>USBCables</t>
  </si>
  <si>
    <t>High (1,000+)</t>
  </si>
  <si>
    <t>Under 500</t>
  </si>
  <si>
    <t>Below median</t>
  </si>
  <si>
    <t>https://www.amazon.in/Solero-TB301-Charging-480Mbps-1-5-Meter/dp/B08Y1TFSP6/ref=sr_1_6?qid=1672909124&amp;s=electronics&amp;sr=1-6</t>
  </si>
  <si>
    <t>B008IFXQFU</t>
  </si>
  <si>
    <t>TP-Link USB WiFi Adapter for PC(TL-WN725N), N150 Wireless Network Adapter for Desktop - Nano Size WiFi Dongle Compatible with Windows 11/10/7/8/8.1/XP/ Mac OS 10.9-10.15 Linux Kernel 2.6.18-4.4.3</t>
  </si>
  <si>
    <t>NetworkingDevices</t>
  </si>
  <si>
    <t>WirelessUSBAdapters</t>
  </si>
  <si>
    <t>Top 25%</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</si>
  <si>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</si>
  <si>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</si>
  <si>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</si>
  <si>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Bottom 25%</t>
  </si>
  <si>
    <t>https://www.amazon.in/Ambrane-Unbreakable-Charging-Braided-Android/dp/B082LZGK39/ref=sr_1_11?qid=1672909124&amp;s=electronics&amp;sr=1-11</t>
  </si>
  <si>
    <t>B07KSMBL2H</t>
  </si>
  <si>
    <t>AmazonBasics Flexible Premium HDMI Cable (Black, 4K@60Hz, 18Gbps), 3-Foot</t>
  </si>
  <si>
    <t>Electronics</t>
  </si>
  <si>
    <t>HomeTheater,TV&amp;Video</t>
  </si>
  <si>
    <t>HDMICables</t>
  </si>
  <si>
    <t>https://www.amazon.in/AmazonBasics-Flexible-HDMI-Cable-3-Foot/dp/B07KSMBL2H/ref=sr_1_14?qid=1672909124&amp;s=electronics&amp;sr=1-14</t>
  </si>
  <si>
    <t>B09KLVMZ3B</t>
  </si>
  <si>
    <t>Portronics Konnect L 1.2M POR-1401 Fast Charging 3A 8 Pin USB Cable with Charge &amp; Sync Function (White)</t>
  </si>
  <si>
    <t>https://www.amazon.in/Portronics-Konnect-POR-1401-Charging-Function/dp/B09KLVMZ3B/ref=sr_1_16?qid=1672909124&amp;s=electronics&amp;sr=1-16</t>
  </si>
  <si>
    <t>B083342NKJ</t>
  </si>
  <si>
    <t>MI Braided USB Type-C Cable for Charging Adapter (Red)</t>
  </si>
  <si>
    <t>Above median</t>
  </si>
  <si>
    <t>https://www.amazon.in/Mi-Braided-USB-Type-C-Cable/dp/B083342NKJ/ref=sr_1_17?qid=1672909124&amp;s=electronics&amp;sr=1-17</t>
  </si>
  <si>
    <t>B0B6F7LX4C</t>
  </si>
  <si>
    <t>MI 80 cm (32 inches) 5A Series HD Ready Smart Android LED TV L32M7-5AIN (Black)</t>
  </si>
  <si>
    <t>SmartTelevisions</t>
  </si>
  <si>
    <t>10,000+</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</si>
  <si>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</si>
  <si>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</si>
  <si>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</si>
  <si>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https://www.amazon.in/Ambrane-Unbreakable-Charging-Braided-Cable/dp/B082LSVT4B/ref=sr_1_19?qid=1672909124&amp;s=electronics&amp;sr=1-19</t>
  </si>
  <si>
    <t>B08WRBG3XW</t>
  </si>
  <si>
    <t>boAt Type C A325 Tangle-free, Sturdy Type C Cable with 3A Rapid Charging &amp; 480mbps Data Transmission(Black)</t>
  </si>
  <si>
    <t>https://www.amazon.in/boAt-A325-Tangle-Free-Charging-Transmission/dp/B08WRBG3XW/ref=sr_1_20?qid=1672909124&amp;s=electronics&amp;sr=1-20</t>
  </si>
  <si>
    <t>B09F6S8BT6</t>
  </si>
  <si>
    <t>Samsung 80 cm (32 Inches) Wondertainment Series HD Ready LED Smart TV UA32T4340BKXXL (Glossy Black)</t>
  </si>
  <si>
    <t>https://www.amazon.in/Samsung-Inches-Wondertainment-UA32T4340BKXXL-Glossy/dp/B09F6S8BT6/ref=sr_1_24?qid=1672909124&amp;s=electronics&amp;sr=1-24</t>
  </si>
  <si>
    <t>B09NHVCHS9</t>
  </si>
  <si>
    <t>Flix Micro Usb Cable For Smartphone (Black)</t>
  </si>
  <si>
    <t>https://www.amazon.in/Flix-Micro-Cable-Smartphone-Black/dp/B09NHVCHS9/ref=sr_1_25?qid=1672909125&amp;s=electronics&amp;sr=1-25</t>
  </si>
  <si>
    <t>B0B1YVCJ2Y</t>
  </si>
  <si>
    <t>Acer 80 cm (32 inches) I Series HD Ready Android Smart LED TV AR32AR2841HDFL (Black)</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</si>
  <si>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</si>
  <si>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</si>
  <si>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</si>
  <si>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https://www.amazon.in/TIZUM-Slim-1-5m-HDMI-Cable/dp/B01M4GGIVU/ref=sr_1_27?qid=1672909125&amp;s=electronics&amp;sr=1-27</t>
  </si>
  <si>
    <t>B08B42LWKN</t>
  </si>
  <si>
    <t>OnePlus 80 cm (32 inches) Y Series HD Ready LED Smart Android TV 32Y1 (Black)</t>
  </si>
  <si>
    <t>https://www.amazon.in/OnePlus-inches-Ready-Android-32Y1/dp/B08B42LWKN/ref=sr_1_29?qid=1672909125&amp;s=electronics&amp;sr=1-29</t>
  </si>
  <si>
    <t>B00NH11PEY</t>
  </si>
  <si>
    <t>AmazonBasics USB 2.0 - A-Male to A-Female Extension Cable for Personal Computer, Printer (Black, 9.8 Feet/3 Meters)</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</si>
  <si>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</si>
  <si>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</si>
  <si>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</si>
  <si>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</si>
  <si>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</si>
  <si>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</si>
  <si>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Medium (100-999)</t>
  </si>
  <si>
    <t>https://www.amazon.in/Charging-Braided-Charger-Samsung-Galaxy/dp/B08QSC1XY8/ref=sr_1_36?qid=1672909125&amp;s=electronics&amp;sr=1-36</t>
  </si>
  <si>
    <t>B008FWZGSG</t>
  </si>
  <si>
    <t>Samsung Original Type C to C Cable - 3.28 Feet (1 Meter), White</t>
  </si>
  <si>
    <t>500-1,000</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</si>
  <si>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</si>
  <si>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</si>
  <si>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</si>
  <si>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</si>
  <si>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</si>
  <si>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</si>
  <si>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https://www.amazon.in/Solero-MB301-Charging-480Mbps-1-5-Meter/dp/B08Y1SJVV5/ref=sr_1_39?qid=1672909125&amp;s=electronics&amp;sr=1-39</t>
  </si>
  <si>
    <t>B09RZS1NQT</t>
  </si>
  <si>
    <t>Sounce 65W OnePlus Dash Warp Charge Cable, 6.5A Type-C to USB C PD Data Sync Fast Charging Cable Compatible with One Plus 8T/ 9/ 9R/ 9 pro/ 9RT/ 10R/ Nord &amp; for All Type C Devices – Red, 1 Meter</t>
  </si>
  <si>
    <t>https://www.amazon.in/Sounce-Type-C-Compatible-Smartphone-Charging/dp/B09RZS1NQT/ref=sr_1_41?qid=1672909125&amp;s=electronics&amp;sr=1-41</t>
  </si>
  <si>
    <t>B0B3MMYHYW</t>
  </si>
  <si>
    <t>OnePlus 126 cm (50 inches) Y Series 4K Ultra HD Smart Android LED TV 50Y1S Pro (Black)</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</si>
  <si>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</si>
  <si>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</si>
  <si>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 Black</t>
  </si>
  <si>
    <t>https://www.amazon.in/DURACELL-Type-C-braided-Charge-Cable/dp/B09C6HWG18/ref=sr_1_43?qid=1672909125&amp;s=electronics&amp;sr=1-43</t>
  </si>
  <si>
    <t>B00NH11KIK</t>
  </si>
  <si>
    <t>AmazonBasics USB 2.0 Cable - A-Male to B-Male - for Personal Computer, Printer- 6 Feet (1.8 Meters), Black</t>
  </si>
  <si>
    <t>https://www.amazon.in/AmazonBasics-USB-2-0-Cable-Male/dp/B00NH11KIK/ref=sr_1_44?qid=1672909125&amp;s=electronics&amp;sr=1-44</t>
  </si>
  <si>
    <t>B09JPC82QC</t>
  </si>
  <si>
    <t>Mi 108 cm (43 inches) Full HD Android LED TV 4C | L43M6-INC (Black)</t>
  </si>
  <si>
    <t>https://www.amazon.in/inches-Full-Android-L43M6-INC-Black/dp/B09JPC82QC/ref=sr_1_45?qid=1672909125&amp;s=electronics&amp;sr=1-45</t>
  </si>
  <si>
    <t>B07JW1Y6XV</t>
  </si>
  <si>
    <t>Wayona Nylon Braided 3A Lightning to USB A Syncing and Fast Charging Data Cable for iPhone, Ipad (3 FT Pack of 1, Black)</t>
  </si>
  <si>
    <t>https://www.amazon.in/Wayona-Braided-WN3LB1-Syncing-Charging/dp/B07JW1Y6XV/ref=sr_1_46?qid=1672909125&amp;s=electronics&amp;sr=1-46</t>
  </si>
  <si>
    <t>B09NJN8L25</t>
  </si>
  <si>
    <t>FLiX (Beetel USB to Micro USB PVC Data Sync &amp; 2A Fast Charging Cable, Made in India, 480Mbps Data Sync, Solid Cable, 1 Meter Long USB Cable for Micro USB Devices (White)(XCD-M11)</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</si>
  <si>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</si>
  <si>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</si>
  <si>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</si>
  <si>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https://www.amazon.in/WeCool-Braided-Multifunction-Charging-Android/dp/B07XJYYH7L/ref=sr_1_49?qid=1672909126&amp;s=electronics&amp;sr=1-49</t>
  </si>
  <si>
    <t>B002PD61Y4</t>
  </si>
  <si>
    <t>D-Link DWA-131 300 Mbps Wireless Nano USB Adapter (Black)</t>
  </si>
  <si>
    <t>https://www.amazon.in/D-Link-DWA-131-Wireless-Adapter-Black/dp/B002PD61Y4/ref=sr_1_50?qid=1672909126&amp;s=electronics&amp;sr=1-50</t>
  </si>
  <si>
    <t>B014I8SSD0</t>
  </si>
  <si>
    <t>Amazon Basics High-Speed HDMI Cable, 6 Feet - Supports Ethernet, 3D, 4K video,Black</t>
  </si>
  <si>
    <t>https://www.amazon.in/AmazonBasics-High-Speed-HDMI-Cable-Feet/dp/B014I8SSD0/ref=sr_1_51?qid=1672909126&amp;s=electronics&amp;sr=1-51</t>
  </si>
  <si>
    <t>B09L8DSSFH</t>
  </si>
  <si>
    <t>7SEVEN® Compatible for Samsung Smart 4K Ultra HD TV Monitor Remote Control Replacement of Original Samsung TV Remote for LED OLED UHD QLED and Suitable for 6 7 8 Series Samsung TV with Hot Keys BN59-01259E</t>
  </si>
  <si>
    <t>RemoteControls</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</si>
  <si>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</si>
  <si>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</si>
  <si>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</si>
  <si>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https://www.amazon.in/AmazonBasics-Micro-Charging-Android-Phones/dp/B07232M876/ref=sr_1_53?qid=1672909126&amp;s=electronics&amp;sr=1-53</t>
  </si>
  <si>
    <t>B0711PVX6Z</t>
  </si>
  <si>
    <t>AmazonBasics Micro USB Fast Charging Cable for Android Phones with Gold Plated Connectors (3 Feet, Black)</t>
  </si>
  <si>
    <t>https://www.amazon.in/AmazonBasics-Micro-Charging-Android-Phones/dp/B0711PVX6Z/ref=sr_1_55?qid=1672909126&amp;s=electronics&amp;sr=1-55</t>
  </si>
  <si>
    <t>B07MKFNHKG</t>
  </si>
  <si>
    <t>VW 80 cm (32 inches) Frameless Series HD Ready LED TV VW32A (Black)</t>
  </si>
  <si>
    <t>StandardTelevisions</t>
  </si>
  <si>
    <t>2,500-10,000</t>
  </si>
  <si>
    <t>https://www.amazon.in/Visio-World-inches-VW32A-Ready/dp/B07MKFNHKG/ref=sr_1_58?qid=1672909126&amp;s=electronics&amp;sr=1-58</t>
  </si>
  <si>
    <t>B0BFWGBX61</t>
  </si>
  <si>
    <t>Ambrane Unbreakable 3A Fast Charging Braided Type C Cable    1.5 Meter (RCT15, Blue) Supports QC 2.0/3.0 Charging</t>
  </si>
  <si>
    <t>https://www.amazon.in/Ambrane-Unbreakable-Charging-RCT15-Supports/dp/B0BFWGBX61/ref=sr_1_59?qid=1672909126&amp;s=electronics&amp;sr=1-59</t>
  </si>
  <si>
    <t>B01N90RZ4M</t>
  </si>
  <si>
    <t>Tata Sky Universal Remote</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</si>
  <si>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</si>
  <si>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</si>
  <si>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</si>
  <si>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https://www.amazon.in/TP-Link-TL-WN823N-300Mbps-Wireless-N-Adapter/dp/B0088TKTY2/ref=sr_1_61?qid=1672909126&amp;s=electronics&amp;sr=1-61</t>
  </si>
  <si>
    <t>B09Q5SWVBJ</t>
  </si>
  <si>
    <t>OnePlus 80 cm (32 inches) Y Series HD Ready Smart Android LED TV 32 Y1S (Black)</t>
  </si>
  <si>
    <t>https://www.amazon.in/OnePlus-inches-Ready-Smart-Android/dp/B09Q5SWVBJ/ref=sr_1_63?qid=1672909126&amp;s=electronics&amp;sr=1-63</t>
  </si>
  <si>
    <t>B07B275VN9</t>
  </si>
  <si>
    <t>Airtel DigitalTV DTH Television, Setup Box Remote Compatible for SD and HD Recording (Black)</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</si>
  <si>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</si>
  <si>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</si>
  <si>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</si>
  <si>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https://www.amazon.in/Samsung-inches-Crystal-Ultra-UA43AUE65AKXXL/dp/B0B15CPR37/ref=sr_1_67?qid=1672909126&amp;s=electronics&amp;sr=1-67</t>
  </si>
  <si>
    <t>B01GGKZ0V6</t>
  </si>
  <si>
    <t>AmazonBasics USB Type-C to USB Type-C 2.0 Cable - 3 Feet Laptop (0.9 Meters) - White</t>
  </si>
  <si>
    <t>https://www.amazon.in/AmazonBasics-USB-Type-C-2-0-Cable/dp/B01GGKZ0V6/ref=sr_1_69?qid=1672909126&amp;s=electronics&amp;sr=1-69</t>
  </si>
  <si>
    <t>B09F9YQQ7B</t>
  </si>
  <si>
    <t>Redmi 80 cm (32 inches) Android 11 Series HD Ready Smart LED TV | L32M6-RA/L32M7-RA (Black)</t>
  </si>
  <si>
    <t>https://www.amazon.in/Redmi-inches-Ready-L32M6-RA-Android/dp/B09F9YQQ7B/ref=sr_1_72?qid=1672909126&amp;s=electronics&amp;sr=1-72</t>
  </si>
  <si>
    <t>B014I8SX4Y</t>
  </si>
  <si>
    <t>Amazon Basics High-Speed HDMI Cable, 6 Feet (2-Pack),Black</t>
  </si>
  <si>
    <t>https://www.amazon.in/AmazonBasics-High-Speed-Cable-2-Pack-Black/dp/B014I8SX4Y/ref=sr_1_73?qid=1672909128&amp;s=electronics&amp;sr=1-73</t>
  </si>
  <si>
    <t>B0B9XN9S3W</t>
  </si>
  <si>
    <t>Acer 80 cm (32 inches) N Series HD Ready TV AR32NSV53HD (Black)</t>
  </si>
  <si>
    <t>https://www.amazon.in/Acer-inches-Ready-AR32NSV53HD-Black/dp/B0B9XN9S3W/ref=sr_1_75?qid=1672909128&amp;s=electronics&amp;sr=1-75</t>
  </si>
  <si>
    <t>B07966M8XH</t>
  </si>
  <si>
    <t>Model-P4 6 Way Swivel Tilt Wall Mount 32-55-inch Full Motion Cantilever for LED,LCD and Plasma TV's</t>
  </si>
  <si>
    <t>TVWall&amp;CeilingMounts</t>
  </si>
  <si>
    <t>1,000-2,500</t>
  </si>
  <si>
    <t>https://www.amazon.in/Model-P4-Swivel-32-55-inch-Motion-Cantilever/dp/B07966M8XH/ref=sr_1_76?qid=1672909128&amp;s=electronics&amp;sr=1-76</t>
  </si>
  <si>
    <t>B01GGKYKQM</t>
  </si>
  <si>
    <t>Amazon Basics USB Type-C to USB-A 2.0 Male Fast Charging Cable for Laptop - 3 Feet (0.9 Meters), Black</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</si>
  <si>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</si>
  <si>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</si>
  <si>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</si>
  <si>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</si>
  <si>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</si>
  <si>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</si>
  <si>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https://www.amazon.in/CEDO-OnePlus-Charging-Compatible-Devices/dp/B0B5ZF3NRK/ref=sr_1_80?qid=1672909128&amp;s=electronics&amp;sr=1-80</t>
  </si>
  <si>
    <t>B09RFC46VP</t>
  </si>
  <si>
    <t>Redmi 108 cm (43 inches) 4K Ultra HD Android Smart LED TV X43 | L43R7-7AIN (Black)</t>
  </si>
  <si>
    <t>https://www.amazon.in/Redmi-inches-Ultra-Android-L43R7-7AIN/dp/B09RFC46VP/ref=sr_1_81?qid=1672909128&amp;s=electronics&amp;sr=1-81</t>
  </si>
  <si>
    <t>B09YLXYP7Y</t>
  </si>
  <si>
    <t>Ambrane 60W / 3A Fast Charging Output Cable with Type-C to USB for Mobile, Neckband, True Wireless Earphone Charging, 480mbps Data Sync Speed, 1m Length (ACT - AZ10, Black)</t>
  </si>
  <si>
    <t>https://www.amazon.in/Ambrane-Charging-Neckband-Wireless-ACT/dp/B09YLXYP7Y/ref=sr_1_85?qid=1672909128&amp;s=electronics&amp;sr=1-85</t>
  </si>
  <si>
    <t>B09ZPM4C2C</t>
  </si>
  <si>
    <t>TCL 80 cm (32 inches) HD Ready Certified Android Smart LED TV 32S5205 (Black)</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</si>
  <si>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</si>
  <si>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</si>
  <si>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</si>
  <si>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https://www.amazon.in/SWAPKART-Charging-Compatible-iPhone-Devices/dp/B0B2DJDCPX/ref=sr_1_87?qid=1672909128&amp;s=electronics&amp;sr=1-87</t>
  </si>
  <si>
    <t>B0BCZCQTJX</t>
  </si>
  <si>
    <t>Firestick Remote</t>
  </si>
  <si>
    <t>Low (&lt;100)</t>
  </si>
  <si>
    <t>https://www.amazon.in/Basesailor-2nd-generation-Firestick-Remote/dp/B0BCZCQTJX/ref=sr_1_88?qid=1672909128&amp;s=electronics&amp;sr=1-88</t>
  </si>
  <si>
    <t>B07LGT55SJ</t>
  </si>
  <si>
    <t>Wayona Usb Nylon Braided Data Sync And Charging Cable For Iphone, Ipad Tablet (Red, Black)</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</si>
  <si>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</si>
  <si>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</si>
  <si>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</si>
  <si>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https://www.amazon.in/FLiX-Charging-480Mbps-Devices-XCD-C12/dp/B09NKZXMWJ/ref=sr_1_90?qid=1672909128&amp;s=electronics&amp;sr=1-90</t>
  </si>
  <si>
    <t>B08QX1CC14</t>
  </si>
  <si>
    <t>SKYWALL 81.28 cm (32 inches) HD Ready Smart LED TV 32SWELS-PRO (Black)</t>
  </si>
  <si>
    <t>https://www.amazon.in/Skywall-81-28-inches-Smart-32SWELS-PRO/dp/B08QX1CC14/ref=sr_1_91?qid=1672909128&amp;s=electronics&amp;sr=1-91</t>
  </si>
  <si>
    <t>B0974H97TJ</t>
  </si>
  <si>
    <t>boAt A 350 Type C Cable for Smartphone, Charging Adapter (1.5m, Carbon Black)</t>
  </si>
  <si>
    <t>https://www.amazon.in/boAt-350-Cable-Carbon-Black/dp/B0974H97TJ/ref=sr_1_92?qid=1672909128&amp;s=electronics&amp;sr=1-92</t>
  </si>
  <si>
    <t>B09VCHLSJF</t>
  </si>
  <si>
    <t>OnePlus 108 cm (43 inches) Y Series 4K Ultra HD Smart Android LED TV 43Y1S Pro (Black)</t>
  </si>
  <si>
    <t>https://www.amazon.in/OnePlus-43-inches-Android-Pro/dp/B09VCHLSJF/ref=sr_1_94?qid=1672909128&amp;s=electronics&amp;sr=1-94</t>
  </si>
  <si>
    <t>B0B1YZX72F</t>
  </si>
  <si>
    <t>Acer 127 cm (50 inches) I Series 4K Ultra HD Android Smart LED TV AR50AR2851UDFL (Black)</t>
  </si>
  <si>
    <t>https://www.amazon.in/Acer-inches-Ultra-Android-AR50AR2851UDFL/dp/B0B1YZX72F/ref=sr_1_95?qid=1672909128&amp;s=electronics&amp;sr=1-95</t>
  </si>
  <si>
    <t>B092BJMT8Q</t>
  </si>
  <si>
    <t>Samsung 108 cm (43 inches) Crystal 4K Series Ultra HD Smart LED TV UA43AUE60AKLXL (Black)</t>
  </si>
  <si>
    <t>https://www.amazon.in/Samsung-inches-Crystal-Ultra-UA43AUE60AKLXL/dp/B092BJMT8Q/ref=sr_1_96?qid=1672909128&amp;s=electronics&amp;sr=1-96</t>
  </si>
  <si>
    <t>B07JH1C41D</t>
  </si>
  <si>
    <t>Wayona Nylon Braided (2 Pack) Lightning Fast Usb Data Cable Fast Charger Cord For Iphone, Ipad Tablet (3 Ft Pack Of 2, Grey)</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</si>
  <si>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</si>
  <si>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</si>
  <si>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</si>
  <si>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https://www.amazon.in/Receiver-300Mbps-802-11b-Wireless-Network/dp/B0141EZMAI/ref=sr_1_99?qid=1672909129&amp;s=electronics&amp;sr=1-99</t>
  </si>
  <si>
    <t>B09Q5P2MT3</t>
  </si>
  <si>
    <t>OnePlus 108 cm (43 inches) Y Series Full HD Smart Android LED TV 43 Y1S (Black)</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</si>
  <si>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</si>
  <si>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</si>
  <si>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</si>
  <si>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https://www.amazon.in/Deuce-300-Resistant-Transmission-Mercurial/dp/B08HDH26JX/ref=sr_1_101?qid=1672909129&amp;s=electronics&amp;sr=1-101</t>
  </si>
  <si>
    <t>B09VT6JKRP</t>
  </si>
  <si>
    <t>Lapster USB 3.0 A to Micro B SuperSpeed for hard disk cable - short cable</t>
  </si>
  <si>
    <t>https://www.amazon.in/Lapster-Micro-SuperSpeed-hard-cable/dp/B09VT6JKRP/ref=sr_1_102?qid=1672909129&amp;s=electronics&amp;sr=1-102</t>
  </si>
  <si>
    <t>B09T3KB6JZ</t>
  </si>
  <si>
    <t>TCL 100 cm (40 inches) Full HD Certified Android R Smart LED TV 40S6505 (Black)</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</si>
  <si>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</si>
  <si>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</si>
  <si>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</si>
  <si>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</si>
  <si>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</si>
  <si>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</si>
  <si>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</si>
  <si>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</si>
  <si>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</si>
  <si>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https://www.amazon.in/Gilary-Charging-Braided-Magnetic-Charger/dp/B08LKS3LSP/ref=sr_1_109?qid=1672909129&amp;s=electronics&amp;sr=1-109</t>
  </si>
  <si>
    <t>B00V4BGDKU</t>
  </si>
  <si>
    <t>TP-Link UE300 USB 3.0 to RJ45 Gigabit Ethernet Network Adapter - Plug and Play</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</si>
  <si>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</si>
  <si>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</si>
  <si>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</si>
  <si>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https://www.amazon.in/Wayona-charging-Nylon-Braided-iPhone/dp/B08CHKQ8D4/ref=sr_1_111?qid=1672909129&amp;s=electronics&amp;sr=1-111</t>
  </si>
  <si>
    <t>B09BW334ML</t>
  </si>
  <si>
    <t>Dealfreez Case Compatible with Fire TV Stick 3rd Gen 2021 Full Wrap Silicone Remote Cover Anti-Lost with Loop (D-Black)</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</si>
  <si>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</si>
  <si>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</si>
  <si>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</si>
  <si>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</si>
  <si>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</si>
  <si>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</si>
  <si>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</si>
  <si>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</si>
  <si>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</si>
  <si>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</si>
  <si>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</si>
  <si>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</si>
  <si>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</si>
  <si>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</si>
  <si>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</si>
  <si>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</si>
  <si>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</si>
  <si>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</si>
  <si>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https://www.amazon.in/Wayona-Braided-WN6LG1-Syncing-Charging/dp/B07JGDB5M1/ref=sr_1_119?qid=1672909129&amp;s=electronics&amp;sr=1-119</t>
  </si>
  <si>
    <t>B0981XSZJ7</t>
  </si>
  <si>
    <t>CROSSVOLT Compatible Dash/Warp Data Sync Fast Charging Cable Supported for All C Type Devices (Cable)</t>
  </si>
  <si>
    <t>https://www.amazon.in/CROSSVOLT-Compatible-Charging-Supported-Devices/dp/B0981XSZJ7/ref=sr_1_120?qid=1672909129&amp;s=electronics&amp;sr=1-120</t>
  </si>
  <si>
    <t>B0B9XLX8VR</t>
  </si>
  <si>
    <t>VU 139 cm (55 inches) The GloLED Series 4K Smart LED Google TV 55GloLED (Grey)</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</si>
  <si>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</si>
  <si>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</si>
  <si>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</si>
  <si>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https://www.amazon.in/Solero-T241-Charging-480Mbps-Durable/dp/B08Y5KXR6Z/ref=sr_1_122?qid=1672909130&amp;s=electronics&amp;sr=1-122</t>
  </si>
  <si>
    <t>B09F6VHQXB</t>
  </si>
  <si>
    <t>Croma 80 cm (32 Inches) HD Ready LED TV (CREL7369, Black) (2021 Model)</t>
  </si>
  <si>
    <t>https://www.amazon.in/Croma-Inches-Ready-CREL7369-Black/dp/B09F6VHQXB/ref=sr_1_123?qid=1672909130&amp;s=electronics&amp;sr=1-123</t>
  </si>
  <si>
    <t>B0974G5Q2Y</t>
  </si>
  <si>
    <t>boAt Laptop, Smartphone Type-c A400 Male Data Cable (Carbon Black)</t>
  </si>
  <si>
    <t>https://www.amazon.in/boAt-Type-c-A400-Cable-Carbon/dp/B0974G5Q2Y/ref=sr_1_124?qid=1672909130&amp;s=electronics&amp;sr=1-124</t>
  </si>
  <si>
    <t>B09YL9SN9B</t>
  </si>
  <si>
    <t>LG 80 cm (32 inches) HD Ready Smart LED TV 32LQ576BPSA (Ceramic Black)</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</si>
  <si>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</si>
  <si>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</si>
  <si>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</si>
  <si>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</si>
  <si>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</si>
  <si>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</si>
  <si>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</si>
  <si>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</si>
  <si>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</si>
  <si>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https://www.amazon.in/Portronics-Konnect-POR-1403-Charging-Function/dp/B09KH58JZR/ref=sr_1_129?qid=1672909130&amp;s=electronics&amp;sr=1-129</t>
  </si>
  <si>
    <t>B09DDCQFMT</t>
  </si>
  <si>
    <t>Electvision Remote Control Compatible with Amazon Fire tv Stick (Pairing Manual Will be Back Side Remote Control)(P)</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</si>
  <si>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</si>
  <si>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</si>
  <si>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</si>
  <si>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https://www.amazon.in/Retractable-Multiple-Charging-Compatible-Smartphones/dp/B08RP2L2NL/ref=sr_1_131?qid=1672909130&amp;s=electronics&amp;sr=1-131</t>
  </si>
  <si>
    <t>B0B4G2MWSB</t>
  </si>
  <si>
    <t>Lapster 5 pin mini usb cable, usb b cable,camera cable usb2.0 for External HDDS/Card Readers/Camera etc.</t>
  </si>
  <si>
    <t>https://www.amazon.in/Lapster-camera-usb2-0-External-Readers/dp/B0B4G2MWSB/ref=sr_1_132?qid=1672909130&amp;s=electronics&amp;sr=1-132</t>
  </si>
  <si>
    <t>B0B21C4BMX</t>
  </si>
  <si>
    <t>Portronics Konnect Spydr 31 3-in-1 Multi Functional Cable with 3.0A Output, Tangle Resistant, 1.2M Length, Nylon Braided(Zebra)</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</si>
  <si>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</si>
  <si>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</si>
  <si>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</si>
  <si>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</si>
  <si>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</si>
  <si>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</si>
  <si>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https://www.amazon.in/Remote-Control-Compatible-Amazon-basesailor/dp/B0BHZCNC4P/ref=sr_1_135?qid=1672909130&amp;s=electronics&amp;sr=1-135</t>
  </si>
  <si>
    <t>B0B16KD737</t>
  </si>
  <si>
    <t>VW 80 cm (32 inches) Playwall Frameless Series HD Ready Android Smart LED TV VW3251 (Black)</t>
  </si>
  <si>
    <t>https://www.amazon.in/VW-Playwall-Frameless-Android-VW3251/dp/B0B16KD737/ref=sr_1_136?qid=1672909130&amp;s=electronics&amp;sr=1-136</t>
  </si>
  <si>
    <t>B099K9ZX65</t>
  </si>
  <si>
    <t>Hisense 108 cm (43 inches) 4K Ultra HD Smart Certified Android LED TV 43A6GE (Black)</t>
  </si>
  <si>
    <t>https://www.amazon.in/Hisense-inches-Certified-Android-43A6GE/dp/B099K9ZX65/ref=sr_1_137?qid=1672909130&amp;s=electronics&amp;sr=1-137</t>
  </si>
  <si>
    <t>B08Y55LPBF</t>
  </si>
  <si>
    <t>Redmi 126 cm (50 inches) 4K Ultra HD Android Smart LED TV X50 | L50M6-RA (Black)</t>
  </si>
  <si>
    <t>https://www.amazon.in/Redmi-inches-Ultra-Android-L50M6-RA/dp/B08Y55LPBF/ref=sr_1_138?qid=1672909130&amp;s=electronics&amp;sr=1-138</t>
  </si>
  <si>
    <t>B015OW3M1W</t>
  </si>
  <si>
    <t>AmazonBasics 6-Feet DisplayPort (not USB port) to HDMI Cable Black</t>
  </si>
  <si>
    <t>https://www.amazon.in/AmazonBasics-6-Feet-DisplayPort-port-Cable/dp/B015OW3M1W/ref=sr_1_140?qid=1672909130&amp;s=electronics&amp;sr=1-140</t>
  </si>
  <si>
    <t>B01D5H8ZI8</t>
  </si>
  <si>
    <t>AmazonBasics 3 Feet High Speed HDMI Male to Female 2.0 Extension Cable</t>
  </si>
  <si>
    <t>https://www.amazon.in/AmazonBasics-Speed-Female-Extension-Cable/dp/B01D5H8ZI8/ref=sr_1_141?qid=1672909130&amp;s=electronics&amp;sr=1-141</t>
  </si>
  <si>
    <t>B09X1M3DHX</t>
  </si>
  <si>
    <t>iFFALCON 80 cm (32 inches) HD Ready Smart LED TV 32F53 (Black)</t>
  </si>
  <si>
    <t>https://www.amazon.in/iFFALCON-inches-Ready-Smart-TV-32F53/dp/B09X1M3DHX/ref=sr_1_142?qid=1672909130&amp;s=electronics&amp;sr=1-142</t>
  </si>
  <si>
    <t>B09MM6P76N</t>
  </si>
  <si>
    <t>7SEVEN® Compatible Lg Smart Tv Remote Suitable for Any LG LED OLED LCD UHD Plasma Android Television and AKB75095303 replacement of Original Lg Tv Remote Control</t>
  </si>
  <si>
    <t>https://www.amazon.in/7SEVENTM-Universal-Replacement-Original-AKB75095303/dp/B09MM6P76N/ref=sr_1_143?qid=1672909130&amp;s=electronics&amp;sr=1-143</t>
  </si>
  <si>
    <t>B01D5H8LDM</t>
  </si>
  <si>
    <t>AmazonBasics 3.5mm to 2-Male RCA Adapter Cable For Tablet, Smartphone (Black, 15 feet)</t>
  </si>
  <si>
    <t>RCACables</t>
  </si>
  <si>
    <t>https://www.amazon.in/AmazonBasics-3-5mm-2-Male-Adapter-cable/dp/B01D5H8LDM/ref=sr_1_144?qid=1672909130&amp;s=electronics&amp;sr=1-144</t>
  </si>
  <si>
    <t>B0B1YY6JJL</t>
  </si>
  <si>
    <t>Acer 109 cm (43 inches) I Series 4K Ultra HD Android Smart LED TV AR43AR2851UDFL (Black)</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</si>
  <si>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</si>
  <si>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</si>
  <si>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</si>
  <si>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</si>
  <si>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</si>
  <si>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</si>
  <si>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HomeAudio</t>
  </si>
  <si>
    <t>Mounts</t>
  </si>
  <si>
    <t>https://www.amazon.in/SAIFSMART-Compact-Bracket-Management-Bathroom/dp/B08L4SBJRY/ref=sr_1_150?qid=1672909131&amp;s=electronics&amp;sr=1-150</t>
  </si>
  <si>
    <t>B09X79PP8F</t>
  </si>
  <si>
    <t>MI 2-in-1 USB Type C Cable (Micro USB to Type C) 30cm for Smartphone, Headphone, Laptop (White)</t>
  </si>
  <si>
    <t>https://www.amazon.in/USB-Cable-Micro-Type-30cm/dp/B09X79PP8F/ref=sr_1_151?qid=1672909131&amp;s=electronics&amp;sr=1-151</t>
  </si>
  <si>
    <t>B082T6GVG9</t>
  </si>
  <si>
    <t>AmazonBasics New Release ABS USB-A to Lightning Cable Cord, Fast Charging MFi Certified Charger for Apple iPhone, iPad Tablet (3-Ft, White)</t>
  </si>
  <si>
    <t>https://www.amazon.in/AmazonBasics-Lightning-USB-Cable-Certified/dp/B082T6GVG9/ref=sr_1_153?qid=1672909131&amp;s=electronics&amp;sr=1-153</t>
  </si>
  <si>
    <t>B0B3XY5YT4</t>
  </si>
  <si>
    <t>LG 108 cm (43 inches) 4K Ultra HD Smart LED TV 43UQ7500PSF (Ceramic Black)</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</si>
  <si>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</si>
  <si>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</si>
  <si>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</si>
  <si>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</si>
  <si>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</si>
  <si>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</si>
  <si>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https://www.amazon.in/Cable-Certified-48Gbps-Ultra-Dynamic/dp/B08TGG316Z/ref=sr_1_156?qid=1672909131&amp;s=electronics&amp;sr=1-156</t>
  </si>
  <si>
    <t>B071VMP1Z4</t>
  </si>
  <si>
    <t>LRIPL Compatible Sony Bravia LCD/led Remote Works with Almost All Sony led/LCD tv's</t>
  </si>
  <si>
    <t>https://www.amazon.in/LRIPL-Compatible-Bravia-Remote-Almost/dp/B071VMP1Z4/ref=sr_1_157?qid=1672909131&amp;s=electronics&amp;sr=1-157</t>
  </si>
  <si>
    <t>B071SDRGWL</t>
  </si>
  <si>
    <t>boAt Type-c A400 Type-c to USB A Cable for All Type C Phones (Lg nexus 5x), 1Mtr(Black)</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</si>
  <si>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</si>
  <si>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</si>
  <si>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</si>
  <si>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</si>
  <si>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</si>
  <si>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</si>
  <si>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</si>
  <si>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</si>
  <si>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</si>
  <si>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</si>
  <si>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</si>
  <si>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</si>
  <si>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https://www.amazon.in/TP-Link-TL-WN722N-150Mbps-Wireless-Adapter/dp/B002SZEOLG/ref=sr_1_162?qid=1672909131&amp;s=electronics&amp;sr=1-162</t>
  </si>
  <si>
    <t>B08CS3BT4L</t>
  </si>
  <si>
    <t>Kodak 80 cm (32 inches) HD Ready Certified Android LED TV 32HDX7XPRO (Black)</t>
  </si>
  <si>
    <t>https://www.amazon.in/Kodak-Inches-Certified-Android-32HDX7XPRO/dp/B08CS3BT4L/ref=sr_1_163?qid=1672909131&amp;s=electronics&amp;sr=1-163</t>
  </si>
  <si>
    <t>B00RFWNJMC</t>
  </si>
  <si>
    <t>Airtel DigitalTV DTH Remote SD/HD/HD Recording Compatible for Television (Shining Black )</t>
  </si>
  <si>
    <t>https://www.amazon.in/OXYURA-Airtel-Digital-Recording-Compatible/dp/B00RFWNJMC/ref=sr_1_164?qid=1672909131&amp;s=electronics&amp;sr=1-164</t>
  </si>
  <si>
    <t>B082T6GXS5</t>
  </si>
  <si>
    <t>AmazonBasics New Release Nylon USB-A to Lightning Cable Cord, MFi Certified Charger for Apple iPhone, iPad, Silver, 6-Ft</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</si>
  <si>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</si>
  <si>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</si>
  <si>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</si>
  <si>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</si>
  <si>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</si>
  <si>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</si>
  <si>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OpticalCables</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</si>
  <si>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</si>
  <si>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</si>
  <si>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</si>
  <si>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https://www.amazon.in/DURACELL-Type-C-Micro-braided-Charge/dp/B09C6H53KH/ref=sr_1_168?qid=1672909131&amp;s=electronics&amp;sr=1-168</t>
  </si>
  <si>
    <t>B0BB3CBFBM</t>
  </si>
  <si>
    <t>VU 138 cm (55 inches) Premium Series 4K Ultra HD Smart IPS LED TV 55UT (Black)</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</si>
  <si>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</si>
  <si>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</si>
  <si>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</si>
  <si>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https://www.amazon.in/Charging-Braided-Charger-Samsung-Galaxy/dp/B08QSDKFGQ/ref=sr_1_170?qid=1672909133&amp;s=electronics&amp;sr=1-170</t>
  </si>
  <si>
    <t>B08PV1X771</t>
  </si>
  <si>
    <t>Samsung 80 cm (32 inches) Wondertainment Series HD Ready LED Smart TV UA32TE40AAKBXL (Titan Gray)</t>
  </si>
  <si>
    <t>https://www.amazon.in/Samsung-inches-Wondertainment-Ready-UA32TE40AAKBXL/dp/B08PV1X771/ref=sr_1_171?qid=1672909133&amp;s=electronics&amp;sr=1-171</t>
  </si>
  <si>
    <t>B07YTNKVJQ</t>
  </si>
  <si>
    <t>MI Xiaomi USB Type C HYperCharge Cable 6A 100cm Sturdy and Durable Black Supports 120W HyperCharging</t>
  </si>
  <si>
    <t>https://www.amazon.in/Xiaomi-HyperCharge-Cable-100cm-Type-C/dp/B07YTNKVJQ/ref=sr_1_172?qid=1672909133&amp;s=electronics&amp;sr=1-172</t>
  </si>
  <si>
    <t>B0117H7GZ6</t>
  </si>
  <si>
    <t>GENERIC Ultra-Mini Bluetooth CSR 4.0 USB Dongle Adapter for Windows Computer ( Black:Golden)</t>
  </si>
  <si>
    <t>https://www.amazon.in/GENERIC-Ultra-Mini-Bluetooth-Dongle-Adapter/dp/B0117H7GZ6/ref=sr_1_173_mod_primary_new?qid=1672909133&amp;s=electronics&amp;sbo=RZvfv%2F%2FHxDF%2BO5021pAnSA%3D%3D&amp;sr=1-173</t>
  </si>
  <si>
    <t>B09XJ1LM7R</t>
  </si>
  <si>
    <t>7SEVEN® Compatible for Tata Sky Remote Original Set Top HD Box and Suitable for SD Tata Play setup Box Remote Control</t>
  </si>
  <si>
    <t>https://www.amazon.in/7SEVEN%C2%AE-Compatible-Control-Replacement-Original/dp/B09XJ1LM7R/ref=sr_1_174?qid=1672909133&amp;s=electronics&amp;sr=1-174</t>
  </si>
  <si>
    <t>B084N133Y7</t>
  </si>
  <si>
    <t>Belkin Apple Certified Lightning To Type C Cable, Fast Charging For Iphone, Ipad, Air Pods, 3.3 Feet (1 Meters)    White</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</si>
  <si>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</si>
  <si>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</si>
  <si>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</si>
  <si>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Projectors</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</si>
  <si>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</si>
  <si>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</si>
  <si>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</si>
  <si>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https://www.amazon.in/Zeb-HAA2021-HDMI-Meter-Cable/dp/B07VSG5SXZ/ref=sr_1_177?qid=1672909133&amp;s=electronics&amp;sr=1-177</t>
  </si>
  <si>
    <t>B08RWCZ6SY</t>
  </si>
  <si>
    <t>7SEVEN® Compatible for Sony Bravia LCD LED UHD OLED QLED 4K Ultra HD TV remote control with YouTube and NETFLIX Hotkeys. Universal Replacement for Original Sony Smart Android tv Remote Control</t>
  </si>
  <si>
    <t>https://www.amazon.in/7SEVEN-Control-YouTube-Netflix-Compatible/dp/B08RWCZ6SY/ref=sr_1_178?qid=1672909133&amp;s=electronics&amp;sr=1-178</t>
  </si>
  <si>
    <t>B07KSB1MLX</t>
  </si>
  <si>
    <t>AmazonBasics Digital Optical Coax to Analog RCA Audio Converter Adapter with Fiber Cable</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</si>
  <si>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</si>
  <si>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</si>
  <si>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</si>
  <si>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</si>
  <si>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</si>
  <si>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</si>
  <si>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https://www.amazon.in/Pinnaclz-Original-Type-Charging-Transfer/dp/B08R69WBN7/ref=sr_1_182?qid=1672909133&amp;s=electronics&amp;sr=1-182</t>
  </si>
  <si>
    <t>B0B3RHX6B6</t>
  </si>
  <si>
    <t>Ambrane BCL-15 Lightning Cable for Smartphone (1.5m Black)</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</si>
  <si>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</si>
  <si>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</si>
  <si>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</si>
  <si>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</si>
  <si>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</si>
  <si>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</si>
  <si>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</si>
  <si>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</si>
  <si>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</si>
  <si>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</si>
  <si>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</si>
  <si>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</si>
  <si>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https://www.amazon.in/Electvision-Compatible-verification-coustmer-7738090464/dp/B09JKNF147/ref=sr_1_187?qid=1672909133&amp;s=electronics&amp;sr=1-187</t>
  </si>
  <si>
    <t>B0B9959XF3</t>
  </si>
  <si>
    <t>Acer 80 cm (32 inches) S Series HD Ready Android Smart LED TV AR32AR2841HDSB (Black)</t>
  </si>
  <si>
    <t>https://www.amazon.in/Acer-inches-Ready-Android-AR32AR2841HDSB/dp/B0B9959XF3/ref=sr_1_188?qid=1672909133&amp;s=electronics&amp;sr=1-188</t>
  </si>
  <si>
    <t>B09PNR6F8Q</t>
  </si>
  <si>
    <t>realme 10W Fast Charging Micro-USB Cable (Braided, Black)</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</si>
  <si>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</si>
  <si>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</si>
  <si>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</si>
  <si>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https://www.amazon.in/TP-Link-Archer-T3U-Wireless-MU-MIMO/dp/B07M69276N/ref=sr_1_190?qid=1672909133&amp;s=electronics&amp;sr=1-190</t>
  </si>
  <si>
    <t>B0B1YZ9CB8</t>
  </si>
  <si>
    <t>Acer 139 cm (55 inches) I Series 4K Ultra HD Android Smart LED TV AR55AR2851UDFL (Black)</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</si>
  <si>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</si>
  <si>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</si>
  <si>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</si>
  <si>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</si>
  <si>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</si>
  <si>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</si>
  <si>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</si>
  <si>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</si>
  <si>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</si>
  <si>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</si>
  <si>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</si>
  <si>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</si>
  <si>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</si>
  <si>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</si>
  <si>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</si>
  <si>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</si>
  <si>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</si>
  <si>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</si>
  <si>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</si>
  <si>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</si>
  <si>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</si>
  <si>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https://www.amazon.in/FLiX-Charging-480Mbps-Andriod-XCD-FPM01/dp/B0B3MQXNFB/ref=sr_1_198?qid=1672909134&amp;s=electronics&amp;sr=1-198</t>
  </si>
  <si>
    <t>B08XMSKKMM</t>
  </si>
  <si>
    <t>7SEVEN® Bluetooth Voice Command Remote for Xiaomi Redmi Mi Smart TV with Netflix &amp; Prime Video Hot Keys XMRM-00A</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</si>
  <si>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</si>
  <si>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</si>
  <si>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</si>
  <si>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https://www.amazon.in/Sony-TV-Remote-Compatible-Control/dp/B09L8DT7D6/ref=sr_1_200?qid=1672909134&amp;s=electronics&amp;sr=1-200</t>
  </si>
  <si>
    <t>B00GE55L22</t>
  </si>
  <si>
    <t>Storite USB 3.0 Cable A to Micro B high Speed Upto 5 Gbps Data Transfer Cable for Portable External Hard Drive - (20cm), Black</t>
  </si>
  <si>
    <t>https://www.amazon.in/Storite-USB-3-0-Micro-Cable/dp/B00GE55L22/ref=sr_1_201?qid=1672909134&amp;s=electronics&amp;sr=1-201</t>
  </si>
  <si>
    <t>B0162K34H2</t>
  </si>
  <si>
    <t>boAt LTG 500 Apple MFI Certified for iPhone, iPad and iPod 2Mtr Data Cable(Space Grey)</t>
  </si>
  <si>
    <t>https://www.amazon.in/LTG500-Indestructible-Certified-Lightning-2Meter/dp/B0162K34H2/ref=sr_1_202?qid=1672909134&amp;s=electronics&amp;sr=1-202</t>
  </si>
  <si>
    <t>B0B8SRZ5SV</t>
  </si>
  <si>
    <t>AmazonBasics USB C to Lightning Aluminum with Nylon Braided MFi Certified Charging Cable (Grey, 1.2 meter)</t>
  </si>
  <si>
    <t>https://www.amazon.in/AmazonBasics-Lightning-Aluminum-Certified-Charging/dp/B0B8SRZ5SV/ref=sr_1_203?qid=1672909134&amp;s=electronics&amp;sr=1-203</t>
  </si>
  <si>
    <t>B07CWNJLPC</t>
  </si>
  <si>
    <t>AmazonBasics Double Braided Nylon USB Type-C to Type-C 2.0 Cable Smartphone (Dark Grey, 3 feet)</t>
  </si>
  <si>
    <t>https://www.amazon.in/AmazonBasics-Double-Braided-Nylon-Type-C/dp/B07CWNJLPC/ref=sr_1_204?qid=1672909134&amp;s=electronics&amp;sr=1-204</t>
  </si>
  <si>
    <t>B00NH12R1O</t>
  </si>
  <si>
    <t>Amazon Basics USB 3.0 Cable - A Male to Micro B - 6 Feet (1.8 Meters), Black</t>
  </si>
  <si>
    <t>https://www.amazon.in/AmazonBasics-USB-3-0-Cable-Meters/dp/B00NH12R1O/ref=sr_1_205?qid=1672909134&amp;s=electronics&amp;sr=1-205</t>
  </si>
  <si>
    <t>B0B8SSC5D9</t>
  </si>
  <si>
    <t>AmazonBasics USB C to Lightning Aluminum with Nylon Braided MFi Certified Charging Cable (Grey, 1.8 meter)</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</si>
  <si>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</si>
  <si>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</si>
  <si>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</si>
  <si>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https://www.amazon.in/Wayona-Charging-Charger-Compatible-Samsung/dp/B08WKG2MWT/ref=sr_1_207?qid=1672909134&amp;s=electronics&amp;sr=1-207</t>
  </si>
  <si>
    <t>B0B466C3G4</t>
  </si>
  <si>
    <t>Karbonn 80 cm (32 inches) Millenium Bezel-Less Series HD Ready Smart LED TV KJW32SKHD (Phantom Black)</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</si>
  <si>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</si>
  <si>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</si>
  <si>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</si>
  <si>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https://www.amazon.in/BlueRigger-Digital-Optical-Toslink-Meters/dp/B005LJQMZC/ref=sr_1_209?qid=1672909134&amp;s=electronics&amp;sr=1-209</t>
  </si>
  <si>
    <t>B07MDRGHWQ</t>
  </si>
  <si>
    <t>VW 60 cm (24 inches) Premium Series HD Ready LED TV VW24A (Black)</t>
  </si>
  <si>
    <t>https://www.amazon.in/Visio-World-inches-VW24A-Ready/dp/B07MDRGHWQ/ref=sr_1_210?qid=1672909134&amp;s=electronics&amp;sr=1-210</t>
  </si>
  <si>
    <t>B07DC4RZPY</t>
  </si>
  <si>
    <t>Amazon Basics USB A to Lightning MFi Certified Charging Cable (White, 1.2 meter)</t>
  </si>
  <si>
    <t>https://www.amazon.in/AmazonBasics-Certified-Lightning-Charge-Meters/dp/B07DC4RZPY/ref=sr_1_211?qid=1672909134&amp;s=electronics&amp;sr=1-211</t>
  </si>
  <si>
    <t>B0B15GSPQW</t>
  </si>
  <si>
    <t>Samsung 138 cm (55 inches) Crystal 4K Neo Series Ultra HD Smart LED TV UA55AUE65AKXXL (Black)</t>
  </si>
  <si>
    <t>https://www.amazon.in/Samsung-inches-Crystal-Ultra-UA55AUE65AKXXL/dp/B0B15GSPQW/ref=sr_1_212?qid=1672909134&amp;s=electronics&amp;sr=1-212</t>
  </si>
  <si>
    <t>B08GJNM9N7</t>
  </si>
  <si>
    <t>LOHAYA Television Remote Compatible for VU LED LCD HD Tv Remote Control Model No :- EN2B27V</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</si>
  <si>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</si>
  <si>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</si>
  <si>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</si>
  <si>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</si>
  <si>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</si>
  <si>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</si>
  <si>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</si>
  <si>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</si>
  <si>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</si>
  <si>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https://www.amazon.in/FLiX-Beetel-Durable-Lightning-Charge/dp/B08P9RYPLR/ref=sr_1_216?qid=1672909134&amp;s=electronics&amp;sr=1-216</t>
  </si>
  <si>
    <t>B0B6F8HHR6</t>
  </si>
  <si>
    <t>MI 108 cm (43 inches) 5A Series Full HD Smart Android LED TV L43M7-EAIN (Black)</t>
  </si>
  <si>
    <t>https://www.amazon.in/MI-inches-Smart-Android-L43M7-EAIN/dp/B0B6F8HHR6/ref=sr_1_217?qid=1672909135&amp;s=electronics&amp;sr=1-217</t>
  </si>
  <si>
    <t>B084MZXJN6</t>
  </si>
  <si>
    <t>Belkin Apple Certified Lightning to USB Charge and Sync Cable for iPhone, iPad, Air Pods, 39.6 inch (100cm) – Black</t>
  </si>
  <si>
    <t>https://www.amazon.in/Belkin-Lightning-AirPods-MFi-Certified-Charging/dp/B084MZXJN6/ref=sr_1_218?qid=1672909135&amp;s=electronics&amp;sr=1-218</t>
  </si>
  <si>
    <t>B08XMG618K</t>
  </si>
  <si>
    <t>Time Office Scanner Replacement Cable for Startek FM220U (Type C) Ivory</t>
  </si>
  <si>
    <t>https://www.amazon.in/Time-Office-Replacement-Startek-FM220U/dp/B08XMG618K/ref=sr_1_220?qid=1672909135&amp;s=electronics&amp;sr=1-220</t>
  </si>
  <si>
    <t>B0BCKWZ884</t>
  </si>
  <si>
    <t>Caldipree Silicone Case Cover Compatible for 2022 Samsung Smart TV Remote QLED TV BN68-13897A TM2280E (2022-BLACK)</t>
  </si>
  <si>
    <t>https://www.amazon.in/Caldipree-Silicone-Compatible-BN68-13897A-2022-BLACK/dp/B0BCKWZ884/ref=sr_1_221?qid=1672909135&amp;s=electronics&amp;sr=1-221</t>
  </si>
  <si>
    <t>B00GGGOYEK</t>
  </si>
  <si>
    <t>Storite USB 2.0 A to Mini 5 pin B Cable for External HDDS/Camera/Card Readers 35cm</t>
  </si>
  <si>
    <t>https://www.amazon.in/Storite%C2%AE-USB-2-0-Mini-0-88feet/dp/B00GGGOYEK/ref=sr_1_222?qid=1672909135&amp;s=electronics&amp;sr=1-222</t>
  </si>
  <si>
    <t>B07ZR4S1G4</t>
  </si>
  <si>
    <t>Universal Remote Control for All Sony TV for All LCD LED and Bravia TVs Remote</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</si>
  <si>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</si>
  <si>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</si>
  <si>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</si>
  <si>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</si>
  <si>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</si>
  <si>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</si>
  <si>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</si>
  <si>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</si>
  <si>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</si>
  <si>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https://www.amazon.in/Amkette-Charging-Cable-iPhone-Touch/dp/B00RGLI0ZS/ref=sr_1_226?qid=1672909135&amp;s=electronics&amp;sr=1-226</t>
  </si>
  <si>
    <t>B09ZPJT8B2</t>
  </si>
  <si>
    <t>TCL 80 cm (32 inches) HD Ready Certified Android Smart LED TV 32S615 (Black)</t>
  </si>
  <si>
    <t>https://www.amazon.in/TCL-inches-Certified-Android-32S615/dp/B09ZPJT8B2/ref=sr_1_227?qid=1672909135&amp;s=electronics&amp;sr=1-227</t>
  </si>
  <si>
    <t>B07HZ2QCGR</t>
  </si>
  <si>
    <t>POPIO Type C Dash Charging USB Data Cable for OnePlus Devices</t>
  </si>
  <si>
    <t>https://www.amazon.in/POPIO-Charging-Cable-OnePlus-Devices/dp/B07HZ2QCGR/ref=sr_1_228?qid=1672909135&amp;s=electronics&amp;sr=1-228</t>
  </si>
  <si>
    <t>B095244Q22</t>
  </si>
  <si>
    <t>MYVN LTG to USB for Fast Charging &amp; Data Sync USB Cable Compatible for iPhone 5/5s/6/6S/7/7+/8/8+/10/11, iPad Air/Mini, iPod and iOS Devices (1 M)</t>
  </si>
  <si>
    <t>https://www.amazon.in/MYVN-Fast-Charging-Compatible-iPhone-Devices/dp/B095244Q22/ref=sr_1_229?qid=1672909135&amp;s=electronics&amp;sr=1-229</t>
  </si>
  <si>
    <t>B08CKW1KH9</t>
  </si>
  <si>
    <t>Tata Sky Universal Remote Compatible for SD/HD</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</si>
  <si>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</si>
  <si>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</si>
  <si>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</si>
  <si>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https://www.amazon.in/WZATCO-Pixel-Portable-Projector-Compatible/dp/B0BLV1GNLN/ref=sr_1_231?qid=1672909135&amp;s=electronics&amp;sr=1-231</t>
  </si>
  <si>
    <t>B08RHPDNVV</t>
  </si>
  <si>
    <t>7SEVEN® Compatible Tata Sky Remote Control Replacement of Original dth SD HD tata Play Set top Box Remote - IR Learning Universal Remote for Any Brand TV - Pairing Must</t>
  </si>
  <si>
    <t>https://www.amazon.in/Tata-Remote-Control-Compatible-tatasky/dp/B08RHPDNVV/ref=sr_1_232?qid=1672909135&amp;s=electronics&amp;sr=1-232</t>
  </si>
  <si>
    <t>B00NH13Q8W</t>
  </si>
  <si>
    <t>AmazonBasics USB 2.0 Extension Cable for Personal Computer, Printer, 2-Pack - A-Male to A-Female - 3.3 Feet (1 Meter, Black)</t>
  </si>
  <si>
    <t>https://www.amazon.in/AmazonBasics-Extension-Cable-2-Pack-Female/dp/B00NH13Q8W/ref=sr_1_233?qid=1672909135&amp;s=electronics&amp;sr=1-233</t>
  </si>
  <si>
    <t>B0B8SSZ76F</t>
  </si>
  <si>
    <t>Amazon Basics USB C to Lightning TPE MFi Certified Charging Cable (White, 1.2 meter)</t>
  </si>
  <si>
    <t>https://www.amazon.in/Amazon-Basics-Lightning-Certified-Charging/dp/B0B8SSZ76F/ref=sr_1_234?qid=1672909135&amp;s=electronics&amp;sr=1-234</t>
  </si>
  <si>
    <t>B0841KQR1Z</t>
  </si>
  <si>
    <t>Crypo™ Universal Remote Compatible with Tata Sky Universal HD &amp; SD Set top Box (Also Works with All TV)</t>
  </si>
  <si>
    <t>https://www.amazon.in/CrypoTM-Universal-Remote-Compatible-Sky/dp/B0841KQR1Z/ref=sr_1_235?qid=1672909135&amp;s=electronics&amp;sr=1-235</t>
  </si>
  <si>
    <t>B0B467CCB9</t>
  </si>
  <si>
    <t>Karbonn 80 cm (32 Inches) Millennium Series HD Ready LED TV KJW32NSHDF (Phantom Black) with Bezel-Less Design</t>
  </si>
  <si>
    <t>https://www.amazon.in/Karbonn-Millennium-KJW32NSHDF-Phantom-Bezel-Less/dp/B0B467CCB9/ref=sr_1_236?qid=1672909135&amp;s=electronics&amp;sr=1-236</t>
  </si>
  <si>
    <t>B095JQVC7N</t>
  </si>
  <si>
    <t>OnePlus 138.7 cm (55 inches) U Series 4K LED Smart Android TV 55U1S (Black)</t>
  </si>
  <si>
    <t>https://www.amazon.in/OnePlus-138-7-inches-Android-55U1S/dp/B095JQVC7N/ref=sr_1_237?qid=1672909135&amp;s=electronics&amp;sr=1-237</t>
  </si>
  <si>
    <t>B08PPHFXG3</t>
  </si>
  <si>
    <t>Posh 1.5 Meter High Speed Gold Plated HDMI Male to Female Extension Cable (Black)</t>
  </si>
  <si>
    <t>https://www.amazon.in/Meter-Speed-Plated-Female-Extension/dp/B08PPHFXG3/ref=sr_1_238?qid=1672909135&amp;s=electronics&amp;sr=1-238</t>
  </si>
  <si>
    <t>B06XR9PR5X</t>
  </si>
  <si>
    <t>Amazon Basics HDMI Coupler,Black</t>
  </si>
  <si>
    <t>Adapters</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</si>
  <si>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</si>
  <si>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</si>
  <si>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</si>
  <si>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https://www.amazon.in/boAt-LTG-550v3-Lightning-Resistance/dp/B09JSW16QD/ref=sr_1_240?qid=1672909135&amp;s=electronics&amp;sr=1-240</t>
  </si>
  <si>
    <t>B07JH1CBGW</t>
  </si>
  <si>
    <t>Wayona Nylon Braided Usb Syncing And Charging Cable Sync And Charging Cable For Iphone, Ipad (3 Ft, Black) - Pack Of 2</t>
  </si>
  <si>
    <t>https://www.amazon.in/Wayona-Braided-WN3LB2-Syncing-Charging/dp/B07JH1CBGW/ref=sr_1_241?qid=1672909136&amp;s=electronics&amp;sr=1-241</t>
  </si>
  <si>
    <t>B09127FZCK</t>
  </si>
  <si>
    <t>Astigo Compatible Remote for Airtel Digital Set Top Box (Pairing Required with TV Remote)</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</si>
  <si>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</si>
  <si>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</si>
  <si>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</si>
  <si>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</si>
  <si>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</si>
  <si>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</si>
  <si>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https://www.amazon.in/Portronics-Konnect-Charging-Resistant-Braided/dp/B09Q8WQ5QJ/ref=sr_1_244?qid=1672909136&amp;s=electronics&amp;sr=1-244</t>
  </si>
  <si>
    <t>B07YZG8PPY</t>
  </si>
  <si>
    <t>TATA SKY HD Connection with 1 month basic package and free installation</t>
  </si>
  <si>
    <t>SatelliteReceivers</t>
  </si>
  <si>
    <t>https://www.amazon.in/TATASKY-Connection-Month-Basic-Installation/dp/B07YZG8PPY/ref=sr_1_245?qid=1672909136&amp;s=electronics&amp;sr=1-245</t>
  </si>
  <si>
    <t>B09H39KTTB</t>
  </si>
  <si>
    <t>Remote Compatible for Samsung LED/LCD Remote Control Works with Samsung LED/LCD TV by Trend Trail</t>
  </si>
  <si>
    <t>https://www.amazon.in/Remote-Compatible-Samsung-Control-Works/dp/B09H39KTTB/ref=sr_1_246?qid=1672909136&amp;s=electronics&amp;sr=1-246</t>
  </si>
  <si>
    <t>B08DCVRW98</t>
  </si>
  <si>
    <t>SoniVision SA-D10 SA-D100 SA-D40 Home Theater Systems Remote Compatible with Sony RM-ANU156</t>
  </si>
  <si>
    <t>https://www.amazon.in/SoniVision-SA-D100-Theater-Compatible-RM-ANU156/dp/B08DCVRW98/ref=sr_1_247?qid=1672909136&amp;s=electronics&amp;sr=1-247</t>
  </si>
  <si>
    <t>B0718ZN31Q</t>
  </si>
  <si>
    <t>Rts™ High Speed 3D Full HD 1080p Support (10 Meters) HDMI Male to HDMI Male Cable TV Lead 1.4V for All Hdmi Devices- Black (10M - 30 FEET)</t>
  </si>
  <si>
    <t>https://www.amazon.in/RTSTM-Support-10-Meters-Devices/dp/B0718ZN31Q/ref=sr_1_249?qid=1672909136&amp;s=electronics&amp;sr=1-249</t>
  </si>
  <si>
    <t>B0162LYSFS</t>
  </si>
  <si>
    <t>boAt LTG 500 Apple MFI Certified for iPhone, iPad and iPod 2Mtr Data Cable(Metallic Silver)</t>
  </si>
  <si>
    <t>https://www.amazon.in/LTG-500-2Mtr-Cable-Metallic-Silver/dp/B0162LYSFS/ref=sr_1_250?qid=1672909136&amp;s=electronics&amp;sr=1-250</t>
  </si>
  <si>
    <t>B07PFJ5VQD</t>
  </si>
  <si>
    <t>Agaro Blaze USBA to micro +Type C 2in1 Braided 1.2M Cable</t>
  </si>
  <si>
    <t>https://www.amazon.in/AGARO-Type-C-Charging-Braided-1-2Meters/dp/B07PFJ5VQD/ref=sr_1_251?qid=1672909136&amp;s=electronics&amp;sr=1-251</t>
  </si>
  <si>
    <t>B01J8S6X2I</t>
  </si>
  <si>
    <t>AmazonBasics 6 Feet DisplayPort to DisplayPort Cable - (Not HDMI Cable) (Gold)</t>
  </si>
  <si>
    <t>DVICables</t>
  </si>
  <si>
    <t>https://www.amazon.in/AmazonBasics-Feet-DisplayPort-Cable/dp/B01J8S6X2I/ref=sr_1_252?qid=1672909136&amp;s=electronics&amp;sr=1-252</t>
  </si>
  <si>
    <t>B09MJ77786</t>
  </si>
  <si>
    <t>MI 108 cm (43 inches) 5X Series 4K Ultra HD LED Smart Android TV L43M6-ES (Grey)</t>
  </si>
  <si>
    <t>https://www.amazon.in/Inches-Ultra-Smart-Android-L43M6-ES/dp/B09MJ77786/ref=sr_1_253?qid=1672909136&amp;s=electronics&amp;sr=1-253</t>
  </si>
  <si>
    <t>B09NNGHG22</t>
  </si>
  <si>
    <t>Sansui 140cm (55 inches) 4K Ultra HD Certified Android LED TV with Dolby Audio &amp; Dolby Vision JSW55ASUHD (Mystique Black)</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</si>
  <si>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</si>
  <si>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</si>
  <si>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</si>
  <si>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</si>
  <si>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</si>
  <si>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</si>
  <si>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</si>
  <si>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</si>
  <si>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</si>
  <si>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https://www.amazon.in/Belkin-USB-C-Charging-USB-IF-Certified/dp/B084MZYBTV/ref=sr_1_257?qid=1672909136&amp;s=electronics&amp;sr=1-257</t>
  </si>
  <si>
    <t>B097ZQTDVZ</t>
  </si>
  <si>
    <t>7SEVEN® TCL Remote Control Smart TV RC802V Remote Compatible for TCL TV Remote Original 55EP680 40A325 49S6500 55P8S 55P8 50P8 65P8 40S6500 43S6500FS 49S6800FS 49S6800 49S6510FS(Without Voice Function/Google Assistant and Non-Bluetooth remote)</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</si>
  <si>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</si>
  <si>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</si>
  <si>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</si>
  <si>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</si>
  <si>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</si>
  <si>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</si>
  <si>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https://www.amazon.in/Charging-Certified-Lightning-Transfer-Iphone12/dp/B09G5TSGXV/ref=sr_1_260?qid=1672909136&amp;s=electronics&amp;sr=1-260</t>
  </si>
  <si>
    <t>B006LW0WDQ</t>
  </si>
  <si>
    <t>Amazon Basics 16-Gauge Speaker Wire - 50 Feet</t>
  </si>
  <si>
    <t>SpeakerCables</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</si>
  <si>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</si>
  <si>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</si>
  <si>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</si>
  <si>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</si>
  <si>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</si>
  <si>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</si>
  <si>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https://www.amazon.in/Wayona-Braided-Charger-Charging-Samsung/dp/B081FJWN52/ref=sr_1_273?qid=1672909138&amp;s=electronics&amp;sr=1-273</t>
  </si>
  <si>
    <t>B0758F7KK7</t>
  </si>
  <si>
    <t>Caprigo Heavy Duty TV Wall Mount Bracket for 14 to 32 Inch LED/HD/Smart TV’s, Universal Fixed TV Wall Mount Stand (M452)</t>
  </si>
  <si>
    <t>https://www.amazon.in/Maxicom-B-28-Universal-Bracket-inches/dp/B0758F7KK7/ref=sr_1_274?qid=1672909138&amp;s=electronics&amp;sr=1-274</t>
  </si>
  <si>
    <t>B09L835C3V</t>
  </si>
  <si>
    <t>Smashtronics® - Case for Firetv Remote, Fire Stick Remote Cover Case, Silicone Cover for TV Firestick 4K/TV 2nd Gen(3rd Gen) Remote Control - Light Weight/Anti Slip/Shockproof (Black)</t>
  </si>
  <si>
    <t>https://www.amazon.in/Smashtronics%C2%AE-Silicone-Firestick-Control-Shockproof/dp/B09L835C3V/ref=sr_1_276?qid=1672909138&amp;s=electronics&amp;sr=1-276</t>
  </si>
  <si>
    <t>B098TV3L96</t>
  </si>
  <si>
    <t>Electvision Remote Control for led Smart tv Compatible with VU Smart Led (Without Voice)</t>
  </si>
  <si>
    <t>https://www.amazon.in/Electvision-Remote-Control-Compatible-Without/dp/B098TV3L96/ref=sr_1_279?qid=1672909138&amp;s=electronics&amp;sr=1-279</t>
  </si>
  <si>
    <t>B08NCKT9FG</t>
  </si>
  <si>
    <t>Boat A 350 Type C Cable 1.5m(Jet Black)</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</si>
  <si>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</si>
  <si>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</si>
  <si>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</si>
  <si>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https://www.amazon.in/pTron-Charging-480Mbps-Durable-1-Meter/dp/B0B4T6MR8N/ref=sr_1_287?qid=1672909138&amp;s=electronics&amp;sr=1-287</t>
  </si>
  <si>
    <t>B01GGKZ4NU</t>
  </si>
  <si>
    <t>AmazonBasics USB Type-C to USB Type-C 2.0 Cable for Charging Adapter, Smartphone - 9 Feet (2.7 Meters) - White</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</si>
  <si>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</si>
  <si>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</si>
  <si>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</si>
  <si>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https://www.amazon.in/Croma-transfer-Durability-warranty-CRCMA0106sTC10/dp/B09BW2GP18/ref=sr_1_289?qid=1672909138&amp;s=electronics&amp;sr=1-289</t>
  </si>
  <si>
    <t>B09WN3SRC7</t>
  </si>
  <si>
    <t>Sony Bravia 164 cm (65 inches) 4K Ultra HD Smart LED Google TV KD-65X74K (Black)</t>
  </si>
  <si>
    <t>https://www.amazon.in/Sony-Bravia-inches-Google-KD-65X74K/dp/B09WN3SRC7/ref=sr_1_291?qid=1672909138&amp;s=electronics&amp;sr=1-291</t>
  </si>
  <si>
    <t>B09B125CFJ</t>
  </si>
  <si>
    <t>7SEVEN® Compatible for Mi tv Remote Control Original Suitable with Smart Android 4K LED Non Voice Command Xiaomi Redmi Remote of 4A Model 32 43 55 65 inches</t>
  </si>
  <si>
    <t>https://www.amazon.in/7SEVEN-Compatible-Non-Voice-Infrared-Universal/dp/B09B125CFJ/ref=sr_1_290?qid=1672909139&amp;s=electronics&amp;sr=1-290</t>
  </si>
  <si>
    <t>B09RQRZW2X</t>
  </si>
  <si>
    <t>7SEVEN® Compatible Vu Smart Tv Remote Control Suitable for Original 4K Android LED Ultra HD UHD Vu Tv Remote with Non Voice Feature without google assistant</t>
  </si>
  <si>
    <t>https://www.amazon.in/7SEVENTM-Compatible-Android-Original-Replacement/dp/B09RQRZW2X/ref=sr_1_291?qid=1672909139&amp;s=electronics&amp;sr=1-291</t>
  </si>
  <si>
    <t>B07924P3C5</t>
  </si>
  <si>
    <t>Storite High Speed Micro USB 3.0 Cable A to Micro B for External &amp; Desktop Hard Drives 45cm</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</si>
  <si>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</si>
  <si>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</si>
  <si>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</si>
  <si>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https://www.amazon.in/FLiX-Textured-charging-Lightning-Smartphones/dp/B08N1WL9XW/ref=sr_1_293?qid=1672909139&amp;s=electronics&amp;sr=1-293</t>
  </si>
  <si>
    <t>B07VVXJ2P5</t>
  </si>
  <si>
    <t>SVM Products Unbreakable Set Top Box Stand with Dual Remote Holder (Black)</t>
  </si>
  <si>
    <t>https://www.amazon.in/SVM-Products-Premium-Quality-Unbreakable/dp/B07VVXJ2P5/ref=sr_1_300?qid=1672909139&amp;s=electronics&amp;sr=1-300</t>
  </si>
  <si>
    <t>B0BC8BQ432</t>
  </si>
  <si>
    <t>VU 164 cm (65 inches) The GloLED Series 4K Smart LED Google TV 65GloLED (Grey)</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</si>
  <si>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</si>
  <si>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</si>
  <si>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</si>
  <si>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</si>
  <si>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</si>
  <si>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</si>
  <si>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https://www.amazon.in/Wayona-Charging-Charger-Samsung-Galaxy/dp/B08CT62BM1/ref=sr_1_326?qid=1672909140&amp;s=electronics&amp;sr=1-326</t>
  </si>
  <si>
    <t>B07CRL2GY6</t>
  </si>
  <si>
    <t>boAt Rugged V3 Braided Micro USB Cable (Pearl White)</t>
  </si>
  <si>
    <t>https://www.amazon.in/Rugged-V3-Braided-Micro-Cable/dp/B07CRL2GY6/ref=sr_1_329?qid=1672909140&amp;s=electronics&amp;sr=1-329</t>
  </si>
  <si>
    <t>B07DWFX9YS</t>
  </si>
  <si>
    <t>Amazon Basics USB A to Lightning PVC Molded Nylon MFi Certified Charging Cable (Black, 1.2 meter)</t>
  </si>
  <si>
    <t>https://www.amazon.in/AmazonBasics-Certified-Lightning-Charge-Collection/dp/B07DWFX9YS/ref=sr_1_333?qid=1672909140&amp;s=electronics&amp;sr=1-333</t>
  </si>
  <si>
    <t>B01D5H90L4</t>
  </si>
  <si>
    <t>AmazonBasics - High-Speed Male to Female HDMI Extension Cable - 6 Feet</t>
  </si>
  <si>
    <t>https://www.amazon.in/AmazonBasics-High-Speed-Female-Extension-Cable/dp/B01D5H90L4/ref=sr_1_335?qid=1672909140&amp;s=electronics&amp;sr=1-335</t>
  </si>
  <si>
    <t>B07F1P8KNV</t>
  </si>
  <si>
    <t>Wayona Nylon Braided Usb Type C 3Ft 1M 3A Fast Charger Cable For Samsung Galaxy S9 S8 (Wc3Cb1, Black)</t>
  </si>
  <si>
    <t>https://www.amazon.in/Wayona-Charger-Samsung-Galaxy-Wc3Cb1/dp/B07F1P8KNV/ref=sr_1_338?qid=1672909141&amp;s=electronics&amp;sr=1-338</t>
  </si>
  <si>
    <t>B084N1BM9L</t>
  </si>
  <si>
    <t>Belkin Apple Certified Lightning to USB Charge and Sync Tough Braided Cable for iPhone, iPad, Air Pods, 3.3 feet (1 meters) – Black</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</si>
  <si>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</si>
  <si>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</si>
  <si>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</si>
  <si>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https://www.amazon.in/Compatible-Suitable-Control-Non-Support-Netflix/dp/B09F6D21BY/ref=sr_1_344?qid=1672909141&amp;s=electronics&amp;sr=1-344</t>
  </si>
  <si>
    <t>B09LQQYNZQ</t>
  </si>
  <si>
    <t>Realme Smart TV Stick 4K</t>
  </si>
  <si>
    <t>StreamingClients</t>
  </si>
  <si>
    <t>https://www.amazon.in/Realme-Smart-TV-Stick-4K/dp/B09LQQYNZQ/ref=sr_1_352?qid=1672909141&amp;s=electronics&amp;sr=1-352</t>
  </si>
  <si>
    <t>B0BC9BW512</t>
  </si>
  <si>
    <t>Acer 100 cm (40 inches) P Series Full HD Android Smart LED TV AR40AR2841FDFL (Black)</t>
  </si>
  <si>
    <t>https://www.amazon.in/Acer-inches-Android-Smart-AR40AR2841FDFL/dp/B0BC9BW512/ref=sr_1_367?qid=1672909143&amp;s=electronics&amp;sr=1-367</t>
  </si>
  <si>
    <t>B0B61HYR92</t>
  </si>
  <si>
    <t>Lapster usb 2.0 mantra cable, mantra mfs 100 data cable (black)</t>
  </si>
  <si>
    <t>https://www.amazon.in/Lapster-mantra-cable-data-black/dp/B0B61HYR92/ref=sr_1_371?qid=1672909143&amp;s=electronics&amp;sr=1-371</t>
  </si>
  <si>
    <t>B075ZTJ9XR</t>
  </si>
  <si>
    <t>AmazonBasics High-Speed Braided HDMI Cable - 3 Feet - Supports Ethernet, 3D, 4K and Audio Return (Black)</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</si>
  <si>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</si>
  <si>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</si>
  <si>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</si>
  <si>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AVReceivers&amp;Amplifiers</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</si>
  <si>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</si>
  <si>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</si>
  <si>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</si>
  <si>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TowerSpeakers</t>
  </si>
  <si>
    <t>https://www.amazon.in/KRISONS-Multimedia-Standing-Bluetooth-Connectivity/dp/B09LRZYBH1/ref=sr_1_388?qid=1672909144&amp;s=electronics&amp;sr=1-388</t>
  </si>
  <si>
    <t>B0B997FBZT</t>
  </si>
  <si>
    <t>Acer 139 cm (55 inches) H Series 4K Ultra HD Android Smart LED TV AR55AR2851UDPRO (Black)</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</si>
  <si>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</si>
  <si>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</si>
  <si>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</si>
  <si>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</si>
  <si>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</si>
  <si>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</si>
  <si>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https://www.amazon.in/Wayona-Lightning-Certified-charging-Braided/dp/B09HV71RL1/ref=sr_1_400?qid=1672909144&amp;s=electronics&amp;sr=1-400</t>
  </si>
  <si>
    <t>B08PZ6HZLT</t>
  </si>
  <si>
    <t>VW 80 cm (32 inches) HD Ready Android Smart LED TV VW32PRO (Black)</t>
  </si>
  <si>
    <t>https://www.amazon.in/inches-Ready-Smart-VW32PRO-Black/dp/B08PZ6HZLT/ref=sr_1_404?qid=1672909144&amp;s=electronics&amp;sr=1-404</t>
  </si>
  <si>
    <t>B075TJHWVC</t>
  </si>
  <si>
    <t>Airtel Digital TV HD Set Top Box with 1 Month Basic Pack with Recording + Free Standard Installation</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</si>
  <si>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</si>
  <si>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</si>
  <si>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</si>
  <si>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https://www.amazon.in/LOHAYA-Assistant-Compatible-Xstream-Function/dp/B09LV13JFB/ref=sr_1_408?qid=1672909144&amp;s=electronics&amp;sr=1-408</t>
  </si>
  <si>
    <t>B092BL5DCX</t>
  </si>
  <si>
    <t>Samsung 138 cm (55 inches) Crystal 4K Series Ultra HD Smart LED TV UA55AUE60AKLXL (Black)</t>
  </si>
  <si>
    <t>https://www.amazon.in/Samsung-inches-Crystal-Ultra-UA55AUE60AKLXL/dp/B092BL5DCX/ref=sr_1_411?qid=1672909145&amp;s=electronics&amp;sr=1-411</t>
  </si>
  <si>
    <t>B09VH568H7</t>
  </si>
  <si>
    <t>Amazon Brand - Solimo 3A Fast Charging Tough Type C USB Data Cable  – 1 Meter</t>
  </si>
  <si>
    <t>https://www.amazon.in/Amazon-Brand-Solimo-Charging-Cable/dp/B09VH568H7/ref=sr_1_415?qid=1672909145&amp;s=electronics&amp;sr=1-415</t>
  </si>
  <si>
    <t>B09HQSV46W</t>
  </si>
  <si>
    <t>Mi 100 cm (40 inches) Horizon Edition Full HD Android LED TV 4A | L40M6-EI (Black)</t>
  </si>
  <si>
    <t>https://www.amazon.in/inches-Horizon-Android-L40M6-EI-Black/dp/B09HQSV46W/ref=sr_1_420?qid=1672909145&amp;s=electronics&amp;sr=1-420</t>
  </si>
  <si>
    <t>B08TZD7FQN</t>
  </si>
  <si>
    <t>Astigo Compatible Remote Control for Mi Smart LED 4A (43"/32")</t>
  </si>
  <si>
    <t>https://www.amazon.in/Astigo-Compatible-Remote-Control-Smart/dp/B08TZD7FQN/ref=sr_1_423?qid=1672909145&amp;s=electronics&amp;sr=1-423</t>
  </si>
  <si>
    <t>B0B21XL94T</t>
  </si>
  <si>
    <t>Toshiba 108 cm (43 inches) V Series Full HD Smart Android LED TV 43V35KP (Silver)</t>
  </si>
  <si>
    <t>https://www.amazon.in/Toshiba-inches-Android-43V35KP-Silver/dp/B0B21XL94T/ref=sr_1_425?qid=1672909145&amp;s=electronics&amp;sr=1-425</t>
  </si>
  <si>
    <t>B09PTT8DZF</t>
  </si>
  <si>
    <t>Lenovo USB A to Type-C Tangle-free  Aramid fiber braided 1.2m cable with 4A Fast charging &amp; 480 MBPS data transmission, certified 10000+ bend lifespan, Metallic Grey</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</si>
  <si>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</si>
  <si>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</si>
  <si>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</si>
  <si>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Unknown</t>
  </si>
  <si>
    <t>https://www.amazon.in/Amazon-Brand-Charging-Suitable-Supported/dp/B0B94JPY2N/ref=sr_1_444?qid=1672909146&amp;s=electronics&amp;sr=1-444</t>
  </si>
  <si>
    <t>B0B3XXSB1K</t>
  </si>
  <si>
    <t>LG 139 cm (55 inches) 4K Ultra HD Smart LED TV 55UQ7500PSF (Ceramic Black)</t>
  </si>
  <si>
    <t>https://www.amazon.in/LG-inches-Ultra-55UQ7500PSF-Ceramic/dp/B0B3XXSB1K/ref=sr_1_445?qid=1672909146&amp;s=electronics&amp;sr=1-445</t>
  </si>
  <si>
    <t>B08RZ12GKR</t>
  </si>
  <si>
    <t>Tata Sky Digital TV HD Setup Box Remote</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</si>
  <si>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</si>
  <si>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</si>
  <si>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</si>
  <si>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https://www.amazon.in/pTron-Charging-480Mbps-Durable-Smartphone/dp/B0B4T8RSJ1/ref=sr_1_448?qid=1672909146&amp;s=electronics&amp;sr=1-448</t>
  </si>
  <si>
    <t>B0B7B9V9QP</t>
  </si>
  <si>
    <t>VU 108 cm (43 inches) Premium Series Full HD Smart LED TV 43GA (Black)</t>
  </si>
  <si>
    <t>https://www.amazon.in/VU-inches-Premium-Smart-43GA/dp/B0B7B9V9QP/ref=sr_1_449?qid=1672909146&amp;s=electronics&amp;sr=1-449</t>
  </si>
  <si>
    <t>B08XXVXP3J</t>
  </si>
  <si>
    <t>Storite Super Speed USB 3.0 Male to Male Cable for Hard Drive Enclosures, Laptop Cooling Pad, DVD Players(60cm,Black)</t>
  </si>
  <si>
    <t>https://www.amazon.in/Storite-USB-3-0-Transfer-Enclosures/dp/B08XXVXP3J/ref=sr_1_450?qid=1672909146&amp;s=electronics&amp;sr=1-450</t>
  </si>
  <si>
    <t>B06XGWRKYT</t>
  </si>
  <si>
    <t>Kodak 80 cm (32 Inches) HD Ready LED TV Kodak 32HDX900S (Black)</t>
  </si>
  <si>
    <t>https://www.amazon.in/Kodak-inches-32HDX900S-Ready-Black/dp/B06XGWRKYT/ref=sr_1_451?qid=1672909146&amp;s=electronics&amp;sr=1-451</t>
  </si>
  <si>
    <t>B07CWDX49D</t>
  </si>
  <si>
    <t>AmazonBasics Double Braided Nylon USB Type-C to Type-C 2.0 Cable, Charging Adapter, Smartphone 6 feet, Dark Grey</t>
  </si>
  <si>
    <t>https://www.amazon.in/AmazonBasics-Double-Braided-Nylon-Type-C/dp/B07CWDX49D/ref=sr_1_452?qid=1672909146&amp;s=electronics&amp;sr=1-452</t>
  </si>
  <si>
    <t>B09TY4MSH3</t>
  </si>
  <si>
    <t>https://www.amazon.in/V-smash-Firestick-Remote/dp/B09TY4MSH3/ref=sr_1_453?qid=1672909146&amp;s=electronics&amp;sr=1-453</t>
  </si>
  <si>
    <t>B07RY2X9MP</t>
  </si>
  <si>
    <t>AmazonBasics 10.2 Gbps High-Speed 4K HDMI Cable with Braided Cord (10-Foot, Dark Grey)</t>
  </si>
  <si>
    <t>https://www.amazon.in/AmazonBasics-High-Speed-Braided-10-Foot-1-Pack/dp/B07RY2X9MP/ref=sr_1_454?qid=1672909146&amp;s=electronics&amp;sr=1-454</t>
  </si>
  <si>
    <t>B0B2C5MJN6</t>
  </si>
  <si>
    <t>Hisense 126 cm (50 inches) Bezelless Series 4K Ultra HD Smart LED Google TV 50A6H (Black)</t>
  </si>
  <si>
    <t>https://www.amazon.in/Hisense-inches-Bezelless-Google-50A6H/dp/B0B2C5MJN6/ref=sr_1_456?qid=1672909146&amp;s=electronics&amp;sr=1-456</t>
  </si>
  <si>
    <t>B0BBMGLQDW</t>
  </si>
  <si>
    <t>Tuarso 8K HDMI 2.1 Cable 48Gbps , 1.5 Meter High-Speed Braided HDMI Cable ( 8K@60HZ、4K@120HZ、2K@240HZ ) HDMI 2.1 Cable Compatible with Monitors , Television , Laptops , Projectors , Game Consoles and more with HDMI Ports Device</t>
  </si>
  <si>
    <t>https://www.amazon.in/Tuarso-High-Speed-Compatible-Television-Projectors/dp/B0BBMGLQDW/ref=sr_1_457?qid=1672909147&amp;s=electronics&amp;sr=1-457</t>
  </si>
  <si>
    <t>B01LONQBDG</t>
  </si>
  <si>
    <t>AmazonBasics USB Type-C to Micro-B 2.0 Cable - 6 Inches (15.2 Centimeters) - White</t>
  </si>
  <si>
    <t>https://www.amazon.in/AmazonBasics-USB-Type-C-Micro-B-Cable/dp/B01LONQBDG/ref=sr_1_458?qid=1672909147&amp;s=electronics&amp;sr=1-458</t>
  </si>
  <si>
    <t>B08XXF5V6G</t>
  </si>
  <si>
    <t>Kodak 139 cm (55 inches) 4K Ultra HD Smart LED TV 55CA0909 (Black)</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</si>
  <si>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</si>
  <si>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</si>
  <si>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</si>
  <si>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</si>
  <si>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 Suitable Sony Tv Remote Original Bravia for Smart Android Television Compatible for Any Model of LCD LED OLED UHD 4K Universal Sony Remote Control</t>
  </si>
  <si>
    <t>https://www.amazon.in/7SEVENTM-Universal-Replacement-Original-Television/dp/B09MMD1FDN/ref=sr_1_464?qid=1672909147&amp;s=electronics&amp;sr=1-464</t>
  </si>
  <si>
    <t>B09HN7LD5L</t>
  </si>
  <si>
    <t>PROLEGEND® PL-T002 Universal TV Stand Table Top for Most 22 to 65 inch LCD Flat Screen TV, VESA up to 800 by 400mm</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</si>
  <si>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</si>
  <si>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</si>
  <si>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</si>
  <si>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https://www.amazon.in/WANBO-X1-Pro-Projector-Correction/dp/B0BNDD9TN6/ref=sr_1_466?qid=1672909147&amp;s=electronics&amp;sr=1-466</t>
  </si>
  <si>
    <t>B0941392C8</t>
  </si>
  <si>
    <t>Lava Charging Adapter Elements D3 2A Fast Charging Speed Usb Type C Data Cable, White</t>
  </si>
  <si>
    <t>https://www.amazon.in/Lava-Elements-Charging-Speed-Type-C/dp/B0941392C8/ref=sr_1_467?qid=1672909147&amp;s=electronics&amp;sr=1-467</t>
  </si>
  <si>
    <t>B01M5967SY</t>
  </si>
  <si>
    <t>TIZUM High Speed HDMI Cable Aura -Gold Plated-High Speed Data 10.2Gbps, 3D, 4K, HD 1080P (10 Ft/ 3 M)</t>
  </si>
  <si>
    <t>https://www.amazon.in/Tizum-10-2Gbps-Speed-Plated-Cable/dp/B01M5967SY/ref=sr_1_468?qid=1672909147&amp;s=electronics&amp;sr=1-468</t>
  </si>
  <si>
    <t>B016MDK4F4</t>
  </si>
  <si>
    <t>Technotech High Speed HDMI Cable 5 Meter V1.4 - Supports Full HD 1080p (Color May Vary)</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</si>
  <si>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</si>
  <si>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</si>
  <si>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</si>
  <si>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</si>
  <si>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</si>
  <si>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</si>
  <si>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https://www.amazon.in/LS-LAPSTER-Quality-Assured-Biometric/dp/B0B61GCHC1/ref=sr_1_471?qid=1672909147&amp;s=electronics&amp;sr=1-471</t>
  </si>
  <si>
    <t>B07RX14W1Q</t>
  </si>
  <si>
    <t>Amazon Basics 10.2 Gbps High-Speed 4K HDMI Cable with Braided Cord, 1.8 Meter, Dark Grey</t>
  </si>
  <si>
    <t>https://www.amazon.in/AmazonBasics-High-Speed-Braided-6-Foot-1-Pack/dp/B07RX14W1Q/ref=sr_1_472?qid=1672909147&amp;s=electronics&amp;sr=1-472</t>
  </si>
  <si>
    <t>B09PLD9TCD</t>
  </si>
  <si>
    <t>Kodak 126 cm (50 inches) Bezel-Less Design Series 4K Ultra HD Smart Android LED TV 50UHDX7XPROBL (Black)</t>
  </si>
  <si>
    <t>https://www.amazon.in/Kodak-inches-Android-50UHDX7XPROBL-Bezel-Less/dp/B09PLD9TCD/ref=sr_1_473?qid=1672909147&amp;s=electronics&amp;sr=1-473</t>
  </si>
  <si>
    <t>B0B8ZKWGKD</t>
  </si>
  <si>
    <t>ZORBES® Wall Adapter Holder for Alexa Echo Dot 4th Generation,A Space-Saving Solution with Cord Management for Your Smart Home Speakers -White (Holder Only)</t>
  </si>
  <si>
    <t>https://www.amazon.in/Generation-Space-Saving-Solution-Management-Speakers/dp/B0B8ZKWGKD/ref=sr_1_474?qid=1672909147&amp;s=electronics&amp;sr=1-474</t>
  </si>
  <si>
    <t>B09NNJ9WYM</t>
  </si>
  <si>
    <t>Sansui 80cm (32 inches) HD Ready Smart LED TV JSY32SKHD (BLACK) With Bezel-less Design</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</si>
  <si>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</si>
  <si>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</si>
  <si>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</si>
  <si>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https://www.amazon.in/Synqe-Charging-Charger-Samsung-Galaxy/dp/B08H5L8V1L/ref=sr_1_476?qid=1672909147&amp;s=electronics&amp;sr=1-476</t>
  </si>
  <si>
    <t>B0B8CXTTG3</t>
  </si>
  <si>
    <t>MI 80 cm (32 inches) HD Ready Smart Android LED TV 5A Pro | L32M7-EAIN (Black)</t>
  </si>
  <si>
    <t>https://www.amazon.in/MI-inches-Ready-Android-L32M7-EAIN/dp/B0B8CXTTG3/ref=sr_1_477?qid=1672909147&amp;s=electronics&amp;sr=1-477</t>
  </si>
  <si>
    <t>B09HCH3JZG</t>
  </si>
  <si>
    <t>Bestor ® 8K Hdmi 2.1 Cable 48Gbps 9.80Ft/Ultra High Speed Hdmi Braided Cord For Roku Tv/Ps5/Hdtv/Blu-Ray Projector, Laptop, Television, Personal Computer, Xbox, Ps4, Ps5, Ps4 Pro (1 M, Grey)</t>
  </si>
  <si>
    <t>https://www.amazon.in/BESTOR%C2%AE-48Gbps-9-80FT-Braided-Cord-4K/dp/B09HCH3JZG/ref=sr_1_478?qid=1672909147&amp;s=electronics&amp;sr=1-478</t>
  </si>
  <si>
    <t>B097JVLW3L</t>
  </si>
  <si>
    <t>Irusu Play VR Plus Virtual Reality Headset with Headphones for Gaming (Black)</t>
  </si>
  <si>
    <t>3DGlasses</t>
  </si>
  <si>
    <t>https://www.amazon.in/Virtual-Reality-Headset-Headphones-Gaming/dp/B097JVLW3L/ref=sr_1_479?qid=1672909147&amp;s=electronics&amp;sr=1-479</t>
  </si>
  <si>
    <t>B09SB6SJB4</t>
  </si>
  <si>
    <t>Amazon Brand - Solimo Fast Charging Braided Type C Data Cable Seam, Suitable For All Supported Mobile Phones (1 Meter, Black)</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</si>
  <si>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</si>
  <si>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</si>
  <si>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</si>
  <si>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https://www.amazon.in/Charging-Braided-Compatible-Samsung-Galaxy/dp/B08NW8GHCJ/ref=sr_1_481?qid=1672909149&amp;s=electronics&amp;sr=1-481</t>
  </si>
  <si>
    <t>B09YHLPQYT</t>
  </si>
  <si>
    <t>Shopoflux Silicone Remote Cover for Mi Smart TV and Mi TV Stick/MI Box S / 3S / MI 4X / 4A Smart LED TV (Black)</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</si>
  <si>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</si>
  <si>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</si>
  <si>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</si>
  <si>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https://www.amazon.in/EYNK-Charging-Charger-Transfer-Smartphones/dp/B08G1RW2Q3/ref=sr_1_483?qid=1672909149&amp;s=electronics&amp;sr=1-483</t>
  </si>
  <si>
    <t>B08YXJJW8H</t>
  </si>
  <si>
    <t>LUNAGARIYA®, Protective Case Compatible with JIO Settop Box Remote Control,PU Leather Cover Holder (Before Placing Order,Please Compare The Dimensions of The Product with Your Remote)</t>
  </si>
  <si>
    <t>https://www.amazon.in/LUNAGARIYA%C2%AE-Protective-Compatible-Control-Dimensions/dp/B08YXJJW8H/ref=sr_1_484?qid=1672909149&amp;s=electronics&amp;sr=1-484</t>
  </si>
  <si>
    <t>B09P8M18QM</t>
  </si>
  <si>
    <t>7SEVEN® Compatible with Fire Tv Stick Remote with Voice Command Feature Suitable for Second Generation Amazon Fire Tv Stick Remote Only - Pairing Must</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</si>
  <si>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</si>
  <si>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</si>
  <si>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</si>
  <si>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https://www.amazon.in/PRUSHTI-COVER-BAGS-Protective-Xstream/dp/B08BG4M4N7/ref=sr_1_486?qid=1672909149&amp;s=electronics&amp;sr=1-486</t>
  </si>
  <si>
    <t>B07VJ9ZTXS</t>
  </si>
  <si>
    <t>Aine HDMI Male to VGA Female Video Converter Adapter Cable (Black)</t>
  </si>
  <si>
    <t>https://www.amazon.in/Female-Converter-Adapter-Projectors-Devices/dp/B07VJ9ZTXS/ref=sr_1_487?qid=1672909149&amp;s=electronics&amp;sr=1-487</t>
  </si>
  <si>
    <t>B084872DQY</t>
  </si>
  <si>
    <t>Mi 80 cm (32 inches) HD Ready Android Smart LED TV 4A PRO | L32M5-AL (Black)</t>
  </si>
  <si>
    <t>https://www.amazon.in/Mi-inches-Ready-Android-Black/dp/B084872DQY/ref=sr_1_488?qid=1672909149&amp;s=electronics&amp;sr=1-488</t>
  </si>
  <si>
    <t>B00GGGOYEU</t>
  </si>
  <si>
    <t>Storite USB 2.0 A to Mini 5 pin B Cable for External HDDS/Camera/Card Readers (150cm - 1.5M)</t>
  </si>
  <si>
    <t>https://www.amazon.in/Storite-USB-2-0-Mini-External/dp/B00GGGOYEU/ref=sr_1_489?qid=1672909149&amp;s=electronics&amp;sr=1-489</t>
  </si>
  <si>
    <t>B08FD2VSD9</t>
  </si>
  <si>
    <t>TCL 108 cm (43 inches) 4K Ultra HD Certified Android Smart LED TV 43P615 (Black)</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</si>
  <si>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</si>
  <si>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</si>
  <si>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</si>
  <si>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https://www.amazon.in/REDTECH-Lightning-Certified-Charging-Compatible/dp/B0BQRJ3C47/ref=sr_1_491?qid=1672909149&amp;s=electronics&amp;sr=1-491</t>
  </si>
  <si>
    <t>B095JPKPH3</t>
  </si>
  <si>
    <t>OnePlus 163.8 cm (65 inches) U Series 4K LED Smart Android TV 65U1S (Black)</t>
  </si>
  <si>
    <t>https://www.amazon.in/OnePlus-163-8-inches-Android-65U1S/dp/B095JPKPH3/ref=sr_1_492?qid=1672909149&amp;s=electronics&amp;sr=1-492</t>
  </si>
  <si>
    <t>B087JWLZ2K</t>
  </si>
  <si>
    <t>AmazonBasics 108 cm (43 inches) 4K Ultra HD Smart LED Fire TV AB43U20PS (Black)</t>
  </si>
  <si>
    <t>https://www.amazon.in/AmazonBasics-108cm-inch-Ultra-Smart/dp/B087JWLZ2K/ref=sr_1_493?qid=1672909149&amp;s=electronics&amp;sr=1-493</t>
  </si>
  <si>
    <t>B09DSXK8JX</t>
  </si>
  <si>
    <t>Kodak 80 cm (32 inches) HD Ready Certified Android Smart LED TV 32HDX7XPROBL (Black)</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</si>
  <si>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</si>
  <si>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</si>
  <si>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</si>
  <si>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https://www.amazon.in/Synqe-Braided-Charging-Compatible-Samsung/dp/B08V9C4B1J/ref=sr_1_495?qid=1672909149&amp;s=electronics&amp;sr=1-495</t>
  </si>
  <si>
    <t>B08PKBMJKS</t>
  </si>
  <si>
    <t>Airtel DigitalTV HD Setup Box Remote</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</si>
  <si>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</si>
  <si>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</si>
  <si>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</si>
  <si>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</si>
  <si>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</si>
  <si>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</si>
  <si>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https://www.amazon.in/ESR-Lightning-MFi-Certified-Delivery-Charging/dp/B086JTMRYL/ref=sr_1_498?qid=1672909149&amp;s=electronics&amp;sr=1-498</t>
  </si>
  <si>
    <t>B09RWQ7YR6</t>
  </si>
  <si>
    <t>MI 138.8 cm (55 inches) 5X Series 4K Ultra HD LED Smart Android TV L55M6-ES (Grey)</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</si>
  <si>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</si>
  <si>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</si>
  <si>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</si>
  <si>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</si>
  <si>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</si>
  <si>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</si>
  <si>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WearableTechnology</t>
  </si>
  <si>
    <t>SmartWatches</t>
  </si>
  <si>
    <t>https://www.amazon.in/Fire-Boltt-Bluetooth-Calling-Assistance-Resolution/dp/B0BF57RN3K/ref=sr_1_1?qid=1672895748&amp;s=electronics&amp;sr=1-1</t>
  </si>
  <si>
    <t>B08HV83HL3</t>
  </si>
  <si>
    <t>MI Power Bank 3i 20000mAh Lithium Polymer 18W Fast Power Delivery Charging | Input- Type C | Micro USB| Triple Output | Sandstone Black</t>
  </si>
  <si>
    <t>Mobiles&amp;Accessories</t>
  </si>
  <si>
    <t>PowerBanks</t>
  </si>
  <si>
    <t>https://www.amazon.in/20000mAh-Sandstone-Triple-Charging-Delivery/dp/B08HV83HL3/ref=sr_1_6?qid=1672895748&amp;s=electronics&amp;sr=1-6</t>
  </si>
  <si>
    <t>B0BBN4DZBD</t>
  </si>
  <si>
    <t>Redmi A1 (Light Blue, 2GB RAM, 32GB Storage) | Segment Best AI Dual Cam | 5000mAh Battery | Leather Texture Design | Android 12</t>
  </si>
  <si>
    <t>Smartphones</t>
  </si>
  <si>
    <t>https://www.amazon.in/Redmi-Storage-Segment-5000mAh-Battery/dp/B0BBN4DZBD/ref=sr_1_7?qid=1672895748&amp;s=electronics&amp;sr=1-7</t>
  </si>
  <si>
    <t>B0B3CPQ5PF</t>
  </si>
  <si>
    <t>OnePlus Nord 2T 5G (Jade Fog, 8GB RAM, 128GB Storage)</t>
  </si>
  <si>
    <t>https://www.amazon.in/OnePlus-Nord-Jade-128GB-Storage/dp/B0B3CPQ5PF/ref=sr_1_8?qid=1672895748&amp;s=electronics&amp;sr=1-8</t>
  </si>
  <si>
    <t>B0B3CQBRB4</t>
  </si>
  <si>
    <t>OnePlus Nord 2T 5G (Gray Shadow, 8GB RAM, 128GB Storage)</t>
  </si>
  <si>
    <t>https://www.amazon.in/OnePlus-Nord-Shadow-128GB-Storage/dp/B0B3CQBRB4/ref=sr_1_9?qid=1672895748&amp;s=electronics&amp;sr=1-9</t>
  </si>
  <si>
    <t>B0BBN56J5H</t>
  </si>
  <si>
    <t>Redmi A1 (Black, 2GB RAM, 32GB Storage) | Segment Best AI Dual Cam | 5000mAh Battery | Leather Texture Design | Android 12</t>
  </si>
  <si>
    <t>https://www.amazon.in/Redmi-Storage-Segment-5000mAh-Battery/dp/B0BBN56J5H/ref=sr_1_10?qid=1672895748&amp;s=electronics&amp;sr=1-10</t>
  </si>
  <si>
    <t>B0BBN3WF7V</t>
  </si>
  <si>
    <t>Redmi A1 (Light Green, 2GB RAM 32GB ROM) | Segment Best AI Dual Cam | 5000mAh Battery | Leather Texture Design | Android 12</t>
  </si>
  <si>
    <t>https://www.amazon.in/Redmi-Segment-5000mAh-Battery-Leather/dp/B0BBN3WF7V/ref=sr_1_11?qid=1672895748&amp;s=electronics&amp;sr=1-11</t>
  </si>
  <si>
    <t>B0B5LVS732</t>
  </si>
  <si>
    <t>Noise Pulse Go Buzz Smart Watch Bluetooth Calling with 1.69" Display, 550 NITS, 150+ Cloud Watch Face, SPo2, Heart Rate Tracking, 100 Sports Mode with Auto Detection, Longer Battery (Jet Black)</t>
  </si>
  <si>
    <t>https://www.amazon.in/Noise-Bluetooth-Calling-Tracking-Detection/dp/B0B5LVS732/ref=sr_1_13?qid=1672895748&amp;s=electronics&amp;sr=1-13</t>
  </si>
  <si>
    <t>B09V2Q4QVQ</t>
  </si>
  <si>
    <t>Nokia 105 Single SIM, Keypad Mobile Phone with Wireless FM Radio | Charcoal</t>
  </si>
  <si>
    <t>BasicMobiles</t>
  </si>
  <si>
    <t>https://www.amazon.in/Nokia-105-Single-Wireless-Charcoal/dp/B09V2Q4QVQ/ref=sr_1_14?qid=1672895748&amp;s=electronics&amp;sr=1-14</t>
  </si>
  <si>
    <t>B01DEWVZ2C</t>
  </si>
  <si>
    <t>JBL C100SI Wired In Ear Headphones with Mic, JBL Pure Bass Sound, One Button Multi-function Remote, Angled Buds for Comfort fit (Black)</t>
  </si>
  <si>
    <t>Headphones,Earbuds&amp;Accessories</t>
  </si>
  <si>
    <t>In-Ear</t>
  </si>
  <si>
    <t>https://www.amazon.in/JBL-C100SI-Ear-Headphones-Black/dp/B01DEWVZ2C/ref=sr_1_16?qid=1672895748&amp;s=electronics&amp;sr=1-16</t>
  </si>
  <si>
    <t>B0BMGB3CH9</t>
  </si>
  <si>
    <t>Samsung Galaxy M04 Dark Blue, 4GB RAM, 64GB Storage | Upto 8GB RAM with RAM Plus | MediaTek Helio P35 | 5000 mAh Battery</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</si>
  <si>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</si>
  <si>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</si>
  <si>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</si>
  <si>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</si>
  <si>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</si>
  <si>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</si>
  <si>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https://www.amazon.in/Redmi-Charcoal-Storage-Battery-Booster/dp/B09XB8GFBQ/ref=sr_1_19?qid=1672895748&amp;s=electronics&amp;sr=1-19</t>
  </si>
  <si>
    <t>B07GPXXNNG</t>
  </si>
  <si>
    <t>boAt Bassheads 100 in Ear Wired Earphones with Mic(Taffy Pink)</t>
  </si>
  <si>
    <t>https://www.amazon.in/Boat-BassHeads-100-Inspired-Earphones/dp/B07GPXXNNG/ref=sr_1_21?qid=1672895748&amp;s=electronics&amp;sr=1-21</t>
  </si>
  <si>
    <t>B0BDYVC5TD</t>
  </si>
  <si>
    <t>SanDisk Ultra® microSDXC™ UHS-I Card, 128GB, 140MB/s R, 10 Y Warranty, for Smartphones</t>
  </si>
  <si>
    <t>Accessories</t>
  </si>
  <si>
    <t>MicroSD</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</si>
  <si>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</si>
  <si>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</si>
  <si>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</si>
  <si>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</si>
  <si>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</si>
  <si>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</si>
  <si>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https://www.amazon.in/Pocket-10000mAh-Triple-Charging-Delivery/dp/B08MC57J31/ref=sr_1_24?qid=1672895748&amp;s=electronics&amp;sr=1-24</t>
  </si>
  <si>
    <t>B08HVL8QN3</t>
  </si>
  <si>
    <t>Mi 10000mAH Li-Polymer, Micro-USB and Type C Input Port, Power Bank 3i with 18W Fast Charging (Midnight Black)</t>
  </si>
  <si>
    <t>https://www.amazon.in/10000mAH-Li-Polymer-Power-Charging-Midnight/dp/B08HVL8QN3/ref=sr_1_25?qid=1672895755&amp;s=electronics&amp;sr=1-25</t>
  </si>
  <si>
    <t>B0746JGVDS</t>
  </si>
  <si>
    <t>ELV Car Mount Adjustable Car Phone Holder Universal Long Arm, Windshield for Smartphones - Black</t>
  </si>
  <si>
    <t>Cradles</t>
  </si>
  <si>
    <t>https://www.amazon.in/Adjustable-Holder-Universal-Windshield-Smartphones/dp/B0746JGVDS/ref=sr_1_26?qid=1672895755&amp;s=electronics&amp;sr=1-26</t>
  </si>
  <si>
    <t>B08VFF6JQ8</t>
  </si>
  <si>
    <t>Samsung 25W USB Travel Adapter for Cellular Phones - White</t>
  </si>
  <si>
    <t>WallChargers</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</si>
  <si>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</si>
  <si>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</si>
  <si>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</si>
  <si>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https://www.amazon.in/Noise-ColorFit-Display-Monitoring-Smartwatches/dp/B09NVPSCQT/ref=sr_1_28?qid=1672895755&amp;s=electronics&amp;sr=1-28</t>
  </si>
  <si>
    <t>B09TWHTBKQ</t>
  </si>
  <si>
    <t>Samsung Galaxy M33 5G (Mystique Green, 8GB, 128GB Storage) | 6000mAh Battery | Upto 16GB RAM with RAM Plus | Travel Adapter to be Purchased Separately</t>
  </si>
  <si>
    <t>https://www.amazon.in/Samsung-Mystique-Storage-Purchased-Separately/dp/B09TWHTBKQ/ref=sr_1_30?qid=1672895755&amp;s=electronics&amp;sr=1-30</t>
  </si>
  <si>
    <t>B08L5HMJVW</t>
  </si>
  <si>
    <t>SanDisk Ultra microSD UHS-I Card 32GB, 120MB/s R</t>
  </si>
  <si>
    <t>https://www.amazon.in/SanDisk-Ultra-microSD-UHS-I-120MB/dp/B08L5HMJVW/ref=sr_1_31?qid=1672895755&amp;s=electronics&amp;sr=1-31</t>
  </si>
  <si>
    <t>B0B4F2XCK3</t>
  </si>
  <si>
    <t>Samsung Galaxy M13 (Aqua Green, 6GB, 128GB Storage) | 6000mAh Battery | Upto 12GB RAM with RAM Plus</t>
  </si>
  <si>
    <t>https://www.amazon.in/Samsung-Galaxy-Storage-6000mAh-Battery/dp/B0B4F2XCK3/ref=sr_1_32?qid=1672895755&amp;s=electronics&amp;sr=1-32</t>
  </si>
  <si>
    <t>B0BF54972T</t>
  </si>
  <si>
    <t>https://www.amazon.in/Fire-Boltt-Bluetooth-Calling-Assistance-Resolution/dp/B0BF54972T/ref=sr_1_33?qid=1672895755&amp;s=electronics&amp;sr=1-33</t>
  </si>
  <si>
    <t>B09TWH8YHM</t>
  </si>
  <si>
    <t>Samsung Galaxy M33 5G (Emerald Brown, 6GB, 128GB Storage) | 6000mAh Battery | Upto 12GB RAM with RAM Plus | Travel Adapter to be Purchased Separately</t>
  </si>
  <si>
    <t>https://www.amazon.in/Samsung-Storage-6000mAh-Purchased-Separately/dp/B09TWH8YHM/ref=sr_1_35?qid=1672895755&amp;s=electronics&amp;sr=1-35</t>
  </si>
  <si>
    <t>B07WGMMQGP</t>
  </si>
  <si>
    <t>iQOO vivo Z6 5G (Chromatic Blue, 6GB RAM, 128GB Storage) | Snapdragon 695-6nm Processor | 120Hz FHD+ Display | 5000mAh Battery</t>
  </si>
  <si>
    <t>https://www.amazon.in/iQOO-Chromatic-Storage-Snapdragon-Processor/dp/B07WGMMQGP/ref=sr_1_36?qid=1672895755&amp;s=electronics&amp;sr=1-36</t>
  </si>
  <si>
    <t>B0BF563HB4</t>
  </si>
  <si>
    <t>https://www.amazon.in/Fire-Boltt-Bluetooth-Calling-Assistance-Resolution/dp/B0BF563HB4/ref=sr_1_37?qid=1672895755&amp;s=electronics&amp;sr=1-37</t>
  </si>
  <si>
    <t>B07JW9H4J1</t>
  </si>
  <si>
    <t>Wayona Nylon Braided USB to Lightning Fast Charging and Data Sync Cable Compatible for iPhone 13, 12,11, X, 8, 7, 6, 5, iPad Air, Pro, Mini (3 FT Pack of 1, Grey)</t>
  </si>
  <si>
    <t>https://www.amazon.in/Wayona-Braided-WN3LG1-Syncing-Charging/dp/B07JW9H4J1/ref=sr_1_38?qid=1672895755&amp;s=electronics&amp;sr=1-38</t>
  </si>
  <si>
    <t>B09GFPVD9Y</t>
  </si>
  <si>
    <t>Redmi 9 Activ (Carbon Black, 4GB RAM, 64GB Storage) | Octa-core Helio G35 | 5000 mAh Battery</t>
  </si>
  <si>
    <t>https://www.amazon.in/Redmi-Activ-Carbon-Black-Storage/dp/B09GFPVD9Y/ref=sr_1_39?qid=1672895755&amp;s=electronics&amp;sr=1-39</t>
  </si>
  <si>
    <t>B09GFLXVH9</t>
  </si>
  <si>
    <t>Redmi 9A Sport (Coral Green, 2GB RAM, 32GB Storage) | 2GHz Octa-core Helio G25 Processor | 5000 mAh Battery</t>
  </si>
  <si>
    <t>https://www.amazon.in/Redmi-9A-Sport-Octa-core-Processor/dp/B09GFLXVH9/ref=sr_1_40?qid=1672895755&amp;s=electronics&amp;sr=1-40</t>
  </si>
  <si>
    <t>B0BF4YBLPX</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</si>
  <si>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</si>
  <si>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</si>
  <si>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</si>
  <si>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https://www.amazon.in/Redmi-Storage-Battery-Finger-Booster/dp/B09XB7DPW1/ref=sr_1_42?qid=1672895755&amp;s=electronics&amp;sr=1-42</t>
  </si>
  <si>
    <t>B07PFJ5W31</t>
  </si>
  <si>
    <t>AGARO Blaze USB 3.0 to USB Type C OTG Adapter</t>
  </si>
  <si>
    <t>OTGAdapters</t>
  </si>
  <si>
    <t>https://www.amazon.in/AGARO-Type-C-USB-Female-Adapter/dp/B07PFJ5W31/ref=sr_1_43?qid=1672895755&amp;s=electronics&amp;sr=1-43</t>
  </si>
  <si>
    <t>B07WJV6P1R</t>
  </si>
  <si>
    <t>iQOO Z6 Lite 5G by vivo (Stellar Green, 6GB RAM, 128GB Storage) | World's First Snapdragon 4 Gen 1 | 120Hz Refresh Rate | 5000mAh Battery | Travel Adapter to be Purchased Separately</t>
  </si>
  <si>
    <t>https://www.amazon.in/iQOO-Stellar-Snapdragon-Purchased-Separately/dp/B07WJV6P1R/ref=sr_1_47?qid=1672895755&amp;s=electronics&amp;sr=1-47</t>
  </si>
  <si>
    <t>B096MSW6CT</t>
  </si>
  <si>
    <t>Sounce Fast Phone Charging Cable &amp; Data Sync USB Cable Compatible for iPhone 13, 12,11, X, 8, 7, 6, 5, iPad Air, Pro, Mini &amp; iOS Devices</t>
  </si>
  <si>
    <t>https://www.amazon.in/Sounce-iPhone-Charging-Compatible-Devices/dp/B096MSW6CT/ref=sr_1_48?qid=1672895755&amp;s=electronics&amp;sr=1-48</t>
  </si>
  <si>
    <t>B0BF54LXW6</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</si>
  <si>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</si>
  <si>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</si>
  <si>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</si>
  <si>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</si>
  <si>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</si>
  <si>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</si>
  <si>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AutomobileChargers</t>
  </si>
  <si>
    <t>https://www.amazon.in/DURACELL-Charger-Qualcomm-Certified-Charge/dp/B09FFK1PQG/ref=sr_1_51?qid=1672895762&amp;s=electronics&amp;sr=1-51</t>
  </si>
  <si>
    <t>B09RMQYHLH</t>
  </si>
  <si>
    <t>realme narzo 50 (Speed Blue, 4GB RAM+64GB Storage) Helio G96 Processor | 50MP AI Triple Camera | 120Hz Ultra Smooth Display</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</si>
  <si>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</si>
  <si>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</si>
  <si>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</si>
  <si>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Tripods</t>
  </si>
  <si>
    <t>https://www.amazon.in/WeCool-Bluetooth-Extendable-Multifunctional-Compatible/dp/B08ZN4B121/ref=sr_1_53?qid=1672895762&amp;s=electronics&amp;sr=1-53</t>
  </si>
  <si>
    <t>B0B3RSDSZ3</t>
  </si>
  <si>
    <t>Fire-Boltt Phoenix Smart Watch with Bluetooth Calling 1.3",120+ Sports Modes, 240*240 PX High Res with SpO2, Heart Rate Monitoring &amp; IP67 Rating</t>
  </si>
  <si>
    <t>https://www.amazon.in/Fire-Boltt-Phoenix-Bluetooth-Calling-Monitoring/dp/B0B3RSDSZ3/ref=sr_1_54?qid=1672895762&amp;s=electronics&amp;sr=1-54</t>
  </si>
  <si>
    <t>B08VB34KJ1</t>
  </si>
  <si>
    <t>OPPO A74 5G (Fantastic Purple,6GB RAM,128GB Storage) with No Cost EMI/Additional Exchange Offers</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</si>
  <si>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</si>
  <si>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</si>
  <si>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</si>
  <si>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https://www.amazon.in/Redmi-Stealth-Additional-Exchange-Included/dp/B09T39K9YL/ref=sr_1_56?qid=1672895762&amp;s=electronics&amp;sr=1-56</t>
  </si>
  <si>
    <t>B08VF8V79P</t>
  </si>
  <si>
    <t>Samsung Original 25W USB Travel Lightning Adapter for Cellular Phones, Black</t>
  </si>
  <si>
    <t>https://www.amazon.in/Samsung-EP-TA800NBEGIN-25W-Travel-Adapter/dp/B08VF8V79P/ref=sr_1_57?qid=1672895762&amp;s=electronics&amp;sr=1-57</t>
  </si>
  <si>
    <t>B08G28Z33M</t>
  </si>
  <si>
    <t>realme Buds Classic Wired in Ear Earphones with Mic (Black)</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</si>
  <si>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</si>
  <si>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</si>
  <si>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</si>
  <si>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https://www.amazon.in/Noise-ColorFit-Display-Monitoring-Smartwatches/dp/B09PNKXSKF/ref=sr_1_59?qid=1672895762&amp;s=electronics&amp;sr=1-59</t>
  </si>
  <si>
    <t>B0B5DDJNH4</t>
  </si>
  <si>
    <t>boAt Wave Call Smart Watch, Smart Talk with Advanced Dedicated Bluetooth Calling Chip, 1.69” HD Display with 550 NITS &amp; 70% Color Gamut, 150+ Watch Faces, Multi-Sport Modes, HR, SpO2, IP68(Mauve)</t>
  </si>
  <si>
    <t>https://www.amazon.in/boAt-Wave-Call-Dedicated-Multi-Sport/dp/B0B5DDJNH4/ref=sr_1_60?qid=1672895762&amp;s=electronics&amp;sr=1-60</t>
  </si>
  <si>
    <t>B08CF3B7N1</t>
  </si>
  <si>
    <t>Portronics Konnect L 1.2M Fast Charging 3A 8 Pin USB Cable with Charge &amp; Sync Function for iPhone, iPad (Grey)</t>
  </si>
  <si>
    <t>https://www.amazon.in/Portronics-Konnect-POR-1080-Charging-Function/dp/B08CF3B7N1/ref=sr_1_62?qid=1672895762&amp;s=electronics&amp;sr=1-62</t>
  </si>
  <si>
    <t>B07WDKLDRX</t>
  </si>
  <si>
    <t>iQOO Neo 6 5G (Dark Nova, 8GB RAM, 128GB Storage) | Snapdragon® 870 5G | 80W FlashCharge</t>
  </si>
  <si>
    <t>https://www.amazon.in/iQOO-128GB-Storage-Snapdragon%C2%AE-FlashCharge/dp/B07WDKLDRX/ref=sr_1_63?qid=1672895762&amp;s=electronics&amp;sr=1-63</t>
  </si>
  <si>
    <t>B09MQSCJQ1</t>
  </si>
  <si>
    <t>boAt Xtend Smartwatch with Alexa Built-in, 1.69” HD Display, Multiple Watch Faces, Stress Monitor, Heart &amp; SpO2 Monitoring, 14 Sports Modes, Sleep Monitor, 5 ATM &amp; 7 Days Battery(Charcoal Black)</t>
  </si>
  <si>
    <t>https://www.amazon.in/boAt-Display-Multiple-Monitoring-Charcoal/dp/B09MQSCJQ1/ref=sr_1_64?qid=1672895762&amp;s=electronics&amp;sr=1-64</t>
  </si>
  <si>
    <t>B09MT84WV5</t>
  </si>
  <si>
    <t>Samsung EVO Plus 128GB microSDXC UHS-I U3 130MB/s Full HD &amp; 4K UHD Memory Card with Adapter (MB-MC128KA), Blue</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</si>
  <si>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</si>
  <si>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</si>
  <si>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</si>
  <si>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https://www.amazon.in/Portronics-Adapto-Adapter-Charger-Charging/dp/B08VS3YLRK/ref=sr_1_67?qid=1672895762&amp;s=electronics&amp;sr=1-67</t>
  </si>
  <si>
    <t>B0B4F3QNDM</t>
  </si>
  <si>
    <t>Samsung Galaxy M13 5G (Aqua Green, 6GB, 128GB Storage) | 5000mAh Battery | Upto 12GB RAM with RAM Plus</t>
  </si>
  <si>
    <t>https://www.amazon.in/Samsung-Galaxy-Storage-5000mAh-Battery/dp/B0B4F3QNDM/ref=sr_1_68?qid=1672895762&amp;s=electronics&amp;sr=1-68</t>
  </si>
  <si>
    <t>B07GQD4K6L</t>
  </si>
  <si>
    <t>boAt Bassheads 100 in Ear Wired Earphones with Mic(Furious Red)</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</si>
  <si>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</si>
  <si>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</si>
  <si>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</si>
  <si>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</si>
  <si>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</si>
  <si>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</si>
  <si>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https://www.amazon.in/Fire-Boltt-Gladiator-Bluetooth-Assistant-Interactions/dp/B0BP18W8TM/ref=sr_1_71?qid=1672895762&amp;s=electronics&amp;sr=1-71</t>
  </si>
  <si>
    <t>B07GXHC691</t>
  </si>
  <si>
    <t>STRIFF PS2_01 Multi Angle Mobile/Tablet Tabletop Stand. Phone Holder for iPhone, Android, Samsung, OnePlus, Xiaomi. Portable, Foldable Cell Phone Stand. Perfect for Bed, Office, Home &amp; Desktop (Black)</t>
  </si>
  <si>
    <t>Stands</t>
  </si>
  <si>
    <t>https://www.amazon.in/STRIFF-Mobile-Android-Samsung-OnePlus/dp/B07GXHC691/ref=sr_1_73?qid=1672895770&amp;s=electronics&amp;sr=1-73</t>
  </si>
  <si>
    <t>B08FN6WGDQ</t>
  </si>
  <si>
    <t>Samsung Galaxy Buds Live Bluetooth Truly Wireless in Ear Earbuds with Mic, Upto 21 Hours Playtime, Mystic Black</t>
  </si>
  <si>
    <t>https://www.amazon.in/Samsung-Galaxy-SM-R180NZKAINU-Mystic-Black/dp/B08FN6WGDQ/ref=sr_1_74?qid=1672895770&amp;s=electronics&amp;sr=1-74</t>
  </si>
  <si>
    <t>B0B3D39RKV</t>
  </si>
  <si>
    <t>OnePlus Nord 2T 5G (Jade Fog, 12GB RAM, 256GB Storage)</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</si>
  <si>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</si>
  <si>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</si>
  <si>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</si>
  <si>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CableConnectionProtectors</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</si>
  <si>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</si>
  <si>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</si>
  <si>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</si>
  <si>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https://www.amazon.in/Boom-Ultima-Headphones-Cancelling-Earphones/dp/B08D75R3Z1/ref=sr_1_77?qid=1672895770&amp;s=electronics&amp;sr=1-77</t>
  </si>
  <si>
    <t>B0B4F2TTTS</t>
  </si>
  <si>
    <t>Samsung Galaxy M13 (Aqua Green, 4GB, 64GB Storage) | 6000mAh Battery | Upto 8GB RAM with RAM Plus</t>
  </si>
  <si>
    <t>https://www.amazon.in/Samsung-Galaxy-Storage-6000mAh-Battery/dp/B0B4F2TTTS/ref=sr_1_78?qid=1672895770&amp;s=electronics&amp;sr=1-78</t>
  </si>
  <si>
    <t>B09WRMNJ9G</t>
  </si>
  <si>
    <t>OnePlus 10R 5G (Forest Green, 8GB RAM, 128GB Storage, 80W SuperVOOC)</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</si>
  <si>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</si>
  <si>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</si>
  <si>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</si>
  <si>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</si>
  <si>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</si>
  <si>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</si>
  <si>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</si>
  <si>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</si>
  <si>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https://www.amazon.in/Ambrane-Multi-Layer-Protection-Li-Polymer-Stylo-10k/dp/B0993BB11X/ref=sr_1_82?qid=1672895770&amp;s=electronics&amp;sr=1-82</t>
  </si>
  <si>
    <t>B09V2PZDX8</t>
  </si>
  <si>
    <t>Nokia 105 Single SIM, Keypad Mobile Phone with Wireless FM Radio | Blue</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</si>
  <si>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</si>
  <si>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</si>
  <si>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</si>
  <si>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https://www.amazon.in/Tangent-Lite-Magnetic-Bluetooth-Headphones/dp/B085W8CFLH/ref=sr_1_84?qid=1672895770&amp;s=electronics&amp;sr=1-84</t>
  </si>
  <si>
    <t>B09MT6XSFW</t>
  </si>
  <si>
    <t>Samsung EVO Plus 64GB microSDXC UHS-I U1 130MB/s Full HD &amp; 4K UHD Memory Card with Adapter (MB-MC64KA), Blue</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</si>
  <si>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</si>
  <si>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</si>
  <si>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</si>
  <si>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https://www.amazon.in/Ambrane-20000mAh-Lithium-Polymer-Stylo-20K/dp/B07RD611Z8/ref=sr_1_86?qid=1672895770&amp;s=electronics&amp;sr=1-86</t>
  </si>
  <si>
    <t>B0B4F52B5X</t>
  </si>
  <si>
    <t>Samsung Galaxy M13 (Midnight Blue, 4GB, 64GB Storage) | 6000mAh Battery | Upto 8GB RAM with RAM Plus</t>
  </si>
  <si>
    <t>https://www.amazon.in/Samsung-Midnight-Storage-6000mAh-Battery/dp/B0B4F52B5X/ref=sr_1_88?qid=1672895770&amp;s=electronics&amp;sr=1-88</t>
  </si>
  <si>
    <t>B096VF5YYF</t>
  </si>
  <si>
    <t>boAt Xtend Smartwatch with Alexa Built-in, 1.69” HD Display, Multiple Watch Faces, Stress Monitor, Heart &amp; SpO2 Monitoring, 14 Sports Modes, Sleep Monitor, 5 ATM &amp; 7 Days Battery(Pitch Black)</t>
  </si>
  <si>
    <t>https://www.amazon.in/boAt-Smartwatch-Multiple-Monitoring-Resistance/dp/B096VF5YYF/ref=sr_1_89?qid=1672895770&amp;s=electronics&amp;sr=1-89</t>
  </si>
  <si>
    <t>B0B5D39BCD</t>
  </si>
  <si>
    <t>boAt Wave Call Smart Watch, Smart Talk with Advanced Dedicated Bluetooth Calling Chip, 1.69” HD Display with 550 NITS &amp; 70% Color Gamut, 150+ Watch Faces, Multi-Sport Modes, HR, SpO2, IP68(Deep Blue)</t>
  </si>
  <si>
    <t>https://www.amazon.in/boAt-Wave-Call-Dedicated-Multi-Sport/dp/B0B5D39BCD/ref=sr_1_90?qid=1672895770&amp;s=electronics&amp;sr=1-90</t>
  </si>
  <si>
    <t>B09XBJ1CTN</t>
  </si>
  <si>
    <t>MI Xiaomi 22.5W Fast USB Type C Charger Combo for Tablets - White</t>
  </si>
  <si>
    <t>https://www.amazon.in/Xiaomi-22-5W-Fast-Charger-Cable/dp/B09XBJ1CTN/ref=sr_1_93?qid=1672895770&amp;s=electronics&amp;sr=1-93</t>
  </si>
  <si>
    <t>B0B4F5L738</t>
  </si>
  <si>
    <t>https://www.amazon.in/Samsung-Midnight-Storage-5000mAh-Battery/dp/B0B4F5L738/ref=sr_1_94?qid=1672895770&amp;s=electronics&amp;sr=1-94</t>
  </si>
  <si>
    <t>B09QS8V5N8</t>
  </si>
  <si>
    <t>Redmi Note 11 (Space Black, 4GB RAM, 64GB Storage)|90Hz FHD+ AMOLED Display | Qualcomm® Snapdragon™ 680-6nm | 33W Charger Included</t>
  </si>
  <si>
    <t>https://www.amazon.in/Redmi-Storage-Qualcomm%C2%AE-SnapdragonTM-Included/dp/B09QS8V5N8/ref=sr_1_96?qid=1672895770&amp;s=electronics&amp;sr=1-96</t>
  </si>
  <si>
    <t>B09T2WRLJJ</t>
  </si>
  <si>
    <t>Redmi Note 11 Pro + 5G (Phantom White, 8GB RAM, 128GB Storage) | 67W Turbo Charge | 120Hz Super AMOLED Display | Additional Exchange Offers | Charger Included</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</si>
  <si>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</si>
  <si>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</si>
  <si>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</si>
  <si>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https://www.amazon.in/oraimo-firefly-2s-charger-micro-usb-multi-protection/dp/B089WB69Y1/ref=sr_1_102?qid=1672895777&amp;s=electronics&amp;sr=1-102</t>
  </si>
  <si>
    <t>B0116MIKKC</t>
  </si>
  <si>
    <t>Goldmedal Curve Plus 202042 Plastic Spice 3-Pin 240V Universal Travel Adaptor (White)</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</si>
  <si>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</si>
  <si>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</si>
  <si>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</si>
  <si>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https://www.amazon.in/WeCool-C1-Technology-Windshield-Extendable/dp/B09P858DK8/ref=sr_1_104?qid=1672895777&amp;s=electronics&amp;sr=1-104</t>
  </si>
  <si>
    <t>B07DJLFMPS</t>
  </si>
  <si>
    <t>HP 32GB Class 10 MicroSD Memory Card (U1 TF Card 32GB)</t>
  </si>
  <si>
    <t>https://www.amazon.in/HP-MicroSD-U1-TF-Card-32GB/dp/B07DJLFMPS/ref=sr_1_106?qid=1672895777&amp;s=electronics&amp;sr=1-106</t>
  </si>
  <si>
    <t>B07WHQWXL7</t>
  </si>
  <si>
    <t>iQOO Z6 44W by vivo (Lumina Blue, 6GB RAM, 128GB Storage) | 6.44" FHD+ AMOLED Display | 50% Charge in just 27 mins | in-Display Fingerprint Scanning</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</si>
  <si>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</si>
  <si>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</si>
  <si>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</si>
  <si>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</si>
  <si>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</si>
  <si>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</si>
  <si>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https://www.amazon.in/Redmi-Stealth-Additional-Exchange-Included/dp/B09T2S8X9C/ref=sr_1_109?qid=1672895777&amp;s=electronics&amp;sr=1-109</t>
  </si>
  <si>
    <t>B07S9S86BF</t>
  </si>
  <si>
    <t>boAt Bassheads 242 in Ear Wired Earphones with Mic(Active Black)</t>
  </si>
  <si>
    <t>https://www.amazon.in/Boat-Bassheads-242-Earphones-Resistance/dp/B07S9S86BF/ref=sr_1_110?qid=1672895777&amp;s=electronics&amp;sr=1-110</t>
  </si>
  <si>
    <t>B07N8RQ6W7</t>
  </si>
  <si>
    <t>Portronics MODESK POR-122 Universal Mobile Tabletop Holder (Black)</t>
  </si>
  <si>
    <t>https://www.amazon.in/Portronics-POR-122-MODESK-Universal-Mobile/dp/B07N8RQ6W7/ref=sr_1_111?qid=1672895777&amp;s=electronics&amp;sr=1-111</t>
  </si>
  <si>
    <t>B09FKDH6FS</t>
  </si>
  <si>
    <t>realme narzo 50i (Mint Green, 2GB RAM+32GB Storage) Octa Core Processor | 6.5" inch Large Display</t>
  </si>
  <si>
    <t>https://www.amazon.in/realme-narzo-Mint-Green-Storage/dp/B09FKDH6FS/ref=sr_1_115?qid=1672895777&amp;s=electronics&amp;sr=1-115</t>
  </si>
  <si>
    <t>B08HVJCW95</t>
  </si>
  <si>
    <t>MI 10000mAh 3i Lithium Polymer Power Bank Dual Input(Micro-USB and Type C) and Output Ports 18W Fast Charging (Metallic Blue)</t>
  </si>
  <si>
    <t>https://www.amazon.in/Power-10000mAh-Metallic-Output-Charging/dp/B08HVJCW95/ref=sr_1_116?qid=1672895777&amp;s=electronics&amp;sr=1-116</t>
  </si>
  <si>
    <t>B09YDFDVNS</t>
  </si>
  <si>
    <t>Nokia 105 Plus Single SIM, Keypad Mobile Phone with Wireless FM Radio, Memory Card Slot and MP3 Player | Red</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</si>
  <si>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</si>
  <si>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</si>
  <si>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</si>
  <si>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https://www.amazon.in/iQOO-Raven-Black-128GB-Storage/dp/B07WGPKTS4/ref=sr_1_118?qid=1672895777&amp;s=electronics&amp;sr=1-118</t>
  </si>
  <si>
    <t>B0789LZTCJ</t>
  </si>
  <si>
    <t>boAt Rugged v3 Extra Tough Unbreakable Braided Micro USB Cable 1.5 Meter (Black)</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</si>
  <si>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</si>
  <si>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</si>
  <si>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</si>
  <si>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https://www.amazon.in/Ambrane-Multi-Layer-Protection-Li-Polymer-Stylo-10k/dp/B09MZCQYHZ/ref=sr_1_120?qid=1672895777&amp;s=electronics&amp;sr=1-120</t>
  </si>
  <si>
    <t>B0B4F2ZWL3</t>
  </si>
  <si>
    <t>Samsung Galaxy M13 (Stardust Brown, 6GB, 128GB Storage) | 6000mAh Battery | Upto 12GB RAM with RAM Plus</t>
  </si>
  <si>
    <t>https://www.amazon.in/Samsung-Stardust-Storage-6000mAh-Battery/dp/B0B4F2ZWL3/ref=sr_1_121?qid=1672895777&amp;s=electronics&amp;sr=1-121</t>
  </si>
  <si>
    <t>B08VB2CMR3</t>
  </si>
  <si>
    <t>OPPO A74 5G (Fluid Black, 6GB RAM, 128GB Storage) with No Cost EMI/Additional Exchange Offers</t>
  </si>
  <si>
    <t>https://www.amazon.in/OPPO-Fluid-Black-128GB-Storage/dp/B08VB2CMR3/ref=sr_1_122?qid=1672895777&amp;s=electronics&amp;sr=1-122</t>
  </si>
  <si>
    <t>B095RTJH1M</t>
  </si>
  <si>
    <t>Spigen EZ Fit Tempered Glass Screen Protector Guard for iPhone 14/13/13 Pro - 2 Pack</t>
  </si>
  <si>
    <t>ScreenProtectors</t>
  </si>
  <si>
    <t>https://www.amazon.in/Spigen-Tempered-Screen-Protector-iPhone/dp/B095RTJH1M/ref=sr_1_123?qid=1672895777&amp;s=electronics&amp;sr=1-123</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</si>
  <si>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</si>
  <si>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</si>
  <si>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</si>
  <si>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</si>
  <si>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</si>
  <si>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https://www.amazon.in/iQOO-Storage-Snapdragon-FlashCharge-Brightness/dp/B07WDK3ZS2/ref=sr_1_126?qid=1672895777&amp;s=electronics&amp;sr=1-126</t>
  </si>
  <si>
    <t>B08RZ5K9YH</t>
  </si>
  <si>
    <t>MI 33W SonicCharge 2.0 USB Charger for Cellular Phones - White</t>
  </si>
  <si>
    <t>https://www.amazon.in/33W-SonicCharge-2-0-Charger-Combo/dp/B08RZ5K9YH/ref=sr_1_121?qid=1672895784&amp;s=electronics&amp;sr=1-121</t>
  </si>
  <si>
    <t>B08444S68L</t>
  </si>
  <si>
    <t>OPPO A31 (Mystery Black, 6GB RAM, 128GB Storage) with No Cost EMI/Additional Exchange Offers</t>
  </si>
  <si>
    <t>https://www.amazon.in/Oppo-Mystery-Storage-Additional-Exchange/dp/B08444S68L/ref=sr_1_122?qid=1672895784&amp;s=electronics&amp;sr=1-122</t>
  </si>
  <si>
    <t>B07WHQBZLS</t>
  </si>
  <si>
    <t>iQOO vivo Z6 5G (Chromatic Blue, 8GB RAM, 128GB Storage) | Snapdragon 695-6nm Processor | 120Hz FHD+ Display | 5000mAh Battery</t>
  </si>
  <si>
    <t>https://www.amazon.in/iQOO-Chromatic-Storage-Snapdragon-Processor/dp/B07WHQBZLS/ref=sr_1_123?qid=1672895784&amp;s=electronics&amp;sr=1-123</t>
  </si>
  <si>
    <t>B085DTN6R2</t>
  </si>
  <si>
    <t>Portronics Konnect CL 20W POR-1067 Type-C to 8 Pin USB 1.2M Cable with Power Delivery &amp; 3A Quick Charge Support, Nylon Braided for All Type-C and 8 Pin Devices, Green</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</si>
  <si>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</si>
  <si>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</si>
  <si>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</si>
  <si>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https://www.amazon.in/Motorola-keypad-Mobile-Expandable-Battery/dp/B09JS562TP/ref=sr_1_125?qid=1672895784&amp;s=electronics&amp;sr=1-125</t>
  </si>
  <si>
    <t>B09V17S2BG</t>
  </si>
  <si>
    <t>boAt Wave Lite Smartwatch with 1.69" HD Display, Heart Rate &amp; SpO2 Level Monitor, Multiple Watch Faces, Activity Tracker, Multiple Sports Modes &amp; IP68 (Deep Blue)</t>
  </si>
  <si>
    <t>https://www.amazon.in/boAt-Wave-Lite-Smartwatch-Multiple/dp/B09V17S2BG/ref=sr_1_127?qid=1672895784&amp;s=electronics&amp;sr=1-127</t>
  </si>
  <si>
    <t>B0B5CGTBKV</t>
  </si>
  <si>
    <t>boAt Wave Call Smart Watch, Smart Talk with Advanced Dedicated Bluetooth Calling Chip, 1.69” HD Display with 550 NITS &amp; 70% Color Gamut, 150+ Watch Faces, Multi-Sport Modes,HR,SpO2(Caribbean Green)</t>
  </si>
  <si>
    <t>https://www.amazon.in/boAt-Wave-Call-Dedicated-Multi-Sport/dp/B0B5CGTBKV/ref=sr_1_128?qid=1672895784&amp;s=electronics&amp;sr=1-128</t>
  </si>
  <si>
    <t>B0B23LW7NV</t>
  </si>
  <si>
    <t>Spigen EZ Fit Tempered Glass Screen Protector for iPhone 14 Pro Max - 2 Pack (Sensor Protection)</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</si>
  <si>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</si>
  <si>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</si>
  <si>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</si>
  <si>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StylusPens</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</si>
  <si>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</si>
  <si>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</si>
  <si>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</si>
  <si>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</si>
  <si>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</si>
  <si>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</si>
  <si>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</si>
  <si>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</si>
  <si>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</si>
  <si>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https://www.amazon.in/PTron-Force-Bluetooth-Smartwatch-Waterproof/dp/B0B53QFZPY/ref=sr_1_134?qid=1672895784&amp;s=electronics&amp;sr=1-134</t>
  </si>
  <si>
    <t>B07WJWRNVK</t>
  </si>
  <si>
    <t>iQOO vivo Z6 5G (Dynamo Black, 6GB RAM, 128GB Storage) | Snapdragon 695-6nm Processor | 120Hz FHD+ Display | 5000mAh Battery</t>
  </si>
  <si>
    <t>https://www.amazon.in/iQOO-Storage-Snapdragon-695-6nm-Processor/dp/B07WJWRNVK/ref=sr_1_136?qid=1672895784&amp;s=electronics&amp;sr=1-136</t>
  </si>
  <si>
    <t>B01F25X6RQ</t>
  </si>
  <si>
    <t>Samsung Ehs64 Ehs64Avfwecinu Hands-Free Wired In Ear Earphones With Mic With Remote Note (White)</t>
  </si>
  <si>
    <t>https://www.amazon.in/Samsung-Original-EHS64AVFWECINU-Stereo-Headset/dp/B01F25X6RQ/ref=sr_1_137?qid=1672895784&amp;s=electronics&amp;sr=1-137</t>
  </si>
  <si>
    <t>B0B244R4KB</t>
  </si>
  <si>
    <t>Spigen EZ Fit Tempered Glass Screen Protector for iPhone 14 Pro - 2 Pack (Sensor Protection)</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</si>
  <si>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</si>
  <si>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</si>
  <si>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</si>
  <si>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</si>
  <si>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B092JHPL72</t>
  </si>
  <si>
    <t>SWAPKART Flexible Mobile Tabletop Stand, Metal Built, Heavy Duty Foldable Lazy Bracket Clip Mount Multi Angle Clamp for All Smartphones (Pack of 1), Multi Color</t>
  </si>
  <si>
    <t>Bedstand&amp;DeskMounts</t>
  </si>
  <si>
    <t>https://www.amazon.in/SWAPKART-Flexible-Desktop-Foldable-Smartphones/dp/B092JHPL72/ref=sr_1_142?qid=1672895784&amp;s=electronics&amp;sr=1-142</t>
  </si>
  <si>
    <t>B09GFM8CGS</t>
  </si>
  <si>
    <t>Redmi 9A Sport (Carbon Black, 2GB RAM, 32GB Storage) | 2GHz Octa-core Helio G25 Processor | 5000 mAh Battery</t>
  </si>
  <si>
    <t>https://www.amazon.in/Redmi-9A-Sport-Octa-core-Processor/dp/B09GFM8CGS/ref=sr_1_144?qid=1672895784&amp;s=electronics&amp;sr=1-144</t>
  </si>
  <si>
    <t>B09J2MM5C6</t>
  </si>
  <si>
    <t>Amozo Ultra Hybrid Camera and Drop Protection Back Cover Case for iPhone 13 (TPU + Polycarbonate | Crystal Transparent)</t>
  </si>
  <si>
    <t>BasicCases</t>
  </si>
  <si>
    <t>https://www.amazon.in/Amozo-Cover-iPhone-Polycarbonate-Transparent/dp/B09J2MM5C6/ref=sr_1_148?qid=1672895791&amp;s=electronics&amp;sr=1-148</t>
  </si>
  <si>
    <t>B07Q4QV1DL</t>
  </si>
  <si>
    <t>ELV Aluminum Adjustable Mobile Phone Foldable Tabletop Stand Dock Mount for All Smartphones, Tabs, Kindle, iPad (Black)</t>
  </si>
  <si>
    <t>https://www.amazon.in/Aluminum-Adjustable-Mobile-Foldable-Smartphones/dp/B07Q4QV1DL/ref=sr_1_149?qid=1672895791&amp;s=electronics&amp;sr=1-149</t>
  </si>
  <si>
    <t>B0B56YRBNT</t>
  </si>
  <si>
    <t>Tecno Spark 9 (Sky Mirror, 6GB RAM,128GB Storage) | 11GB Expandable RAM | Helio G37 Gaming Processor</t>
  </si>
  <si>
    <t>https://www.amazon.in/Tecno-Spark-Storage-Expandable-Processor/dp/B0B56YRBNT/ref=sr_1_153?qid=1672895791&amp;s=electronics&amp;sr=1-153</t>
  </si>
  <si>
    <t>B01DF26V7A</t>
  </si>
  <si>
    <t>JBL C100SI Wired In Ear Headphones with Mic, JBL Pure Bass Sound, One Button Multi-function Remote, Premium Metallic Finish, Angled Buds for Comfort fit (Red)</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</si>
  <si>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</si>
  <si>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</si>
  <si>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</si>
  <si>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</si>
  <si>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</si>
  <si>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</si>
  <si>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</si>
  <si>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</si>
  <si>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https://www.amazon.in/Tukzer-Capacitive-Lightweight-Magnetism-Smartphones/dp/B08K4RDQ71/ref=sr_1_163?qid=1672895791&amp;s=electronics&amp;sr=1-163</t>
  </si>
  <si>
    <t>B085CZ3SR1</t>
  </si>
  <si>
    <t>Mi 10W Wall Charger for Mobile Phones with Micro USB Cable (Black)</t>
  </si>
  <si>
    <t>https://www.amazon.in/10W-Charger-Cable-Meter-Black/dp/B085CZ3SR1/ref=sr_1_164?qid=1672895791&amp;s=electronics&amp;sr=1-164</t>
  </si>
  <si>
    <t>B09YV3K34W</t>
  </si>
  <si>
    <t>Fire-Boltt India's No 1 Smartwatch Brand Talk 2 Bluetooth Calling Smartwatch with Dual Button, Hands On Voice Assistance, 60 Sports Modes, in Built Mic &amp; Speaker with IP68 Rating</t>
  </si>
  <si>
    <t>https://www.amazon.in/Fire-Boltt-Smartwatch-Bluetooth-Calling-Assistance/dp/B09YV3K34W/ref=sr_1_168?qid=1672895791&amp;s=electronics&amp;sr=1-168</t>
  </si>
  <si>
    <t>B09NL4DJ2Z</t>
  </si>
  <si>
    <t>FLiX (Beetel) USB to Type C PVC Data Sync &amp; 2A Smartphone Fast Charging Cable, Made in India, 480Mbps Data Sync, Tough Cable, 1 Meter Long USB Cable for USB Type C Devices Black XCD-C12</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</si>
  <si>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</si>
  <si>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</si>
  <si>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</si>
  <si>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https://www.amazon.in/Noise-ColorFit-Bluetooth-instacharge-Functional/dp/B0BGSV43WY/ref=sr_1_172?qid=1672895799&amp;s=electronics&amp;sr=1-172</t>
  </si>
  <si>
    <t>B0926V9CTV</t>
  </si>
  <si>
    <t>Elv Mobile Phone Mount Tabletop Holder for Phones and Tablets - Black</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</si>
  <si>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</si>
  <si>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</si>
  <si>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</si>
  <si>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</si>
  <si>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</si>
  <si>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</si>
  <si>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</si>
  <si>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</si>
  <si>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</si>
  <si>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</si>
  <si>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</si>
  <si>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</si>
  <si>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https://www.amazon.in/PTron-Force-Bluetooth-Smartwatch-Waterproof/dp/B0B53NXFFR/ref=sr_1_184?qid=1672895799&amp;s=electronics&amp;sr=1-184</t>
  </si>
  <si>
    <t>B07GNC2592</t>
  </si>
  <si>
    <t>Portronics CLAMP X Car-Vent Mobile Holder 360 Degree Rotational(Black)</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</si>
  <si>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</si>
  <si>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</si>
  <si>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</si>
  <si>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</si>
  <si>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</si>
  <si>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</si>
  <si>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</si>
  <si>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</si>
  <si>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</si>
  <si>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</si>
  <si>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</si>
  <si>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</si>
  <si>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https://www.amazon.in/iQOO-Phantom-Snapdragon-FlashCharge-Brightness/dp/B07WHSJXLF/ref=sr_1_192?qid=1672895799&amp;s=electronics&amp;sr=1-192</t>
  </si>
  <si>
    <t>B0BD3T6Z1D</t>
  </si>
  <si>
    <t>Samsung Galaxy M32 Prime Edition (Light Blue, 4GB RAM, 64GB)</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</si>
  <si>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</si>
  <si>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</si>
  <si>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</si>
  <si>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https://www.amazon.in/Redmi-Note-11T-5G-Dimensity/dp/B09LHYZ3GJ/ref=sr_1_196?qid=1672895806&amp;s=electronics&amp;sr=1-196</t>
  </si>
  <si>
    <t>B07WFPMGQQ</t>
  </si>
  <si>
    <t>iQOO Z6 Pro 5G by vivo (Legion Sky, 6GB RAM, 128GB Storage) | Snapdragon 778G 5G | 66W FlashCharge | 1300 nits Peak Brightness | HDR10+</t>
  </si>
  <si>
    <t>https://www.amazon.in/iQOO-Storage-Snapdragon-FlashCharge-Brightness/dp/B07WFPMGQQ/ref=sr_1_198?qid=1672895806&amp;s=electronics&amp;sr=1-198</t>
  </si>
  <si>
    <t>B09QS9X9L8</t>
  </si>
  <si>
    <t>Redmi Note 11 (Horizon Blue, 6GB RAM, 64GB Storage)|90Hz FHD+ AMOLED Display | Qualcomm® Snapdragon™ 680-6nm | 33W Charger Included</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</si>
  <si>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</si>
  <si>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</si>
  <si>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</si>
  <si>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https://www.amazon.in/Noise-Advanced-Bluetooth-Brightness-Smartwatch/dp/B0B6BLTGTT/ref=sr_1_202?qid=1672895806&amp;s=electronics&amp;sr=1-202</t>
  </si>
  <si>
    <t>B084DTMYWK</t>
  </si>
  <si>
    <t>Myvn 30W Warp/20W Dash Charging Usb Type C Charger Cable Compatible For Cellular Phones Oneplus 8T 8 8Pro 7 Pro / 7T / 7T Pro Nord And Oneplus 3 / 3T / 5 / 5T / 6 / 6T / 7</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</si>
  <si>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</si>
  <si>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</si>
  <si>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</si>
  <si>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https://www.amazon.in/PTron-Force-Bluetooth-Smartwatch-Waterproof/dp/B0B53QLB9H/ref=sr_1_209?qid=1672895806&amp;s=electronics&amp;sr=1-209</t>
  </si>
  <si>
    <t>B0BDYW3RN3</t>
  </si>
  <si>
    <t>SanDisk Ultra® microSDXC™ UHS-I Card, 256GB, 150MB/s R, 10 Y Warranty, for Smartphones</t>
  </si>
  <si>
    <t>https://www.amazon.in/SanDisk-Ultra%C2%AE-microSDXCTM-Warranty-Smartphones/dp/B0BDYW3RN3/ref=sr_1_210?qid=1672895806&amp;s=electronics&amp;sr=1-210</t>
  </si>
  <si>
    <t>B0B3RS9DNF</t>
  </si>
  <si>
    <t>https://www.amazon.in/Fire-Boltt-Phoenix-Bluetooth-Calling-Monitoring/dp/B0B3RS9DNF/ref=sr_1_214?qid=1672895806&amp;s=electronics&amp;sr=1-214</t>
  </si>
  <si>
    <t>B09QS9X16F</t>
  </si>
  <si>
    <t>Redmi Note 11 (Space Black, 6GB RAM, 64GB Storage) | 90Hz FHD+ AMOLED Display | Qualcomm® Snapdragon™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</si>
  <si>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</si>
  <si>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</si>
  <si>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</si>
  <si>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</si>
  <si>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</si>
  <si>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</si>
  <si>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</si>
  <si>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</si>
  <si>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</si>
  <si>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https://www.amazon.in/Boult-Bluetooth-Smartwatch-Brightness-Waterproof/dp/B0BMVWKZ8G/ref=sr_1_230?qid=1672895814&amp;s=electronics&amp;sr=1-230</t>
  </si>
  <si>
    <t>B0BD92GDQH</t>
  </si>
  <si>
    <t>OnePlus Nord Watch with 1.78” AMOLED Display, 60 Hz Refresh Rate, 105 Fitness Modes, 10 Days Battery, SPO2, Heart Rate, Stress Monitor, Women Health Tracker &amp; Multiple Watch Face [Midnight Black]</t>
  </si>
  <si>
    <t>https://www.amazon.in/OnePlus-Display-Refresh-Multiple-Midnight/dp/B0BD92GDQH/ref=sr_1_231?qid=1672895814&amp;s=electronics&amp;sr=1-231</t>
  </si>
  <si>
    <t>B0B5GF6DQD</t>
  </si>
  <si>
    <t>Noise Agile 2 Buzz Bluetooth Calling Smart Watch with 1.28" TFT Display,Dual Button,in-Built Mic &amp; Speaker,AI Voice Assistant, Health Suite,in-Built Games, 100 Watch Faces-(Jet Black)</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</si>
  <si>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</si>
  <si>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</si>
  <si>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</si>
  <si>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</si>
  <si>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</si>
  <si>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</si>
  <si>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https://www.amazon.in/Fire-Boltt-Smartwatch-Sports-Tracking-Silver/dp/B09YV463SW/ref=sr_1_242?qid=1672895821&amp;s=electronics&amp;sr=1-242</t>
  </si>
  <si>
    <t>B07XLCFSSN</t>
  </si>
  <si>
    <t>Amazonbasics Nylon Braided Usb-C To Lightning Cable, Fast Charging Mfi Certified Smartphone, Iphone Charger (6-Foot, Dark Grey)</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</si>
  <si>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</si>
  <si>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</si>
  <si>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</si>
  <si>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</si>
  <si>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</si>
  <si>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</si>
  <si>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</si>
  <si>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</si>
  <si>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</si>
  <si>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D√©cor</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</si>
  <si>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</si>
  <si>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</si>
  <si>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</si>
  <si>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https://www.amazon.in/Redmi-Thunder-Storage-Dimensity-5000mAh/dp/B0BBFJLP21/ref=sr_1_255?qid=1672895821&amp;s=electronics&amp;sr=1-255</t>
  </si>
  <si>
    <t>B01F262EUU</t>
  </si>
  <si>
    <t>Samsung Original EHS64 Wired in Ear Earphones with Mic, Black</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</si>
  <si>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</si>
  <si>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</si>
  <si>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</si>
  <si>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</si>
  <si>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</si>
  <si>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</si>
  <si>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</si>
  <si>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</si>
  <si>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</si>
  <si>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HandlebarMounts</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</si>
  <si>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</si>
  <si>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</si>
  <si>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</si>
  <si>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https://www.amazon.in/Sounce-Adjustable-Universal-Flexible-Gooseneck/dp/B096TWZRJC/ref=sr_1_269?qid=1672895828&amp;s=electronics&amp;sr=1-269</t>
  </si>
  <si>
    <t>B09GP6FBZT</t>
  </si>
  <si>
    <t>OpenTech® Military-Grade Tempered Glass Screen Protector Compatible for iPhone 13/13 Pro / 14 with Edge to Edge Coverage and Easy Installation kit (6.1 Inches)</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</si>
  <si>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</si>
  <si>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</si>
  <si>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</si>
  <si>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https://www.amazon.in/EN-LIGNE-Adjustable-Tabletop-Compatible/dp/B0B3DV7S9B/ref=sr_1_293?qid=1672895835&amp;s=electronics&amp;sr=1-293</t>
  </si>
  <si>
    <t>B09MKP344P</t>
  </si>
  <si>
    <t>Tecno Spark 8T (Turquoise Cyan, 4GB RAM,64GB Storage) | 50MP AI Camera | 7GB Expandable RAM</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</si>
  <si>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</si>
  <si>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</si>
  <si>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</si>
  <si>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</si>
  <si>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</si>
  <si>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</si>
  <si>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https://www.amazon.in/Redmi-Note-11T-5G-Dimensity/dp/B09LHZSMRR/ref=sr_1_297?qid=1672895835&amp;s=electronics&amp;sr=1-297</t>
  </si>
  <si>
    <t>B0B5V47VK4</t>
  </si>
  <si>
    <t>OnePlus 10T 5G (Moonstone Black, 8GB RAM, 128GB Storage)</t>
  </si>
  <si>
    <t>https://www.amazon.in/OnePlus-Moonstone-Black-128GB-Storage/dp/B0B5V47VK4/ref=sr_1_300?qid=1672895835&amp;s=electronics&amp;sr=1-300</t>
  </si>
  <si>
    <t>B08H21B6V7</t>
  </si>
  <si>
    <t>Nokia 150 (2020) (Cyan)</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</si>
  <si>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</si>
  <si>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</si>
  <si>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</si>
  <si>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https://www.amazon.in/Noise-ColorFit-Ultra-SE-Smartwatch/dp/B09BNXQ6BR/ref=sr_1_303?qid=1672895835&amp;s=electronics&amp;sr=1-303</t>
  </si>
  <si>
    <t>B01FSYQ2A4</t>
  </si>
  <si>
    <t>boAt Rockerz 400 Bluetooth On Ear Headphones With Mic With Upto 8 Hours Playback &amp; Soft Padded Ear Cushions(Grey/Green)</t>
  </si>
  <si>
    <t>On-Ear</t>
  </si>
  <si>
    <t>https://www.amazon.in/Super-Rockerz-400-Bluetooth-Headphones/dp/B01FSYQ2A4/ref=sr_1_307?qid=1672895835&amp;s=electronics&amp;sr=1-307</t>
  </si>
  <si>
    <t>B08L5FM4JC</t>
  </si>
  <si>
    <t>SanDisk Ultra microSD UHS-I Card 64GB, 120MB/s R</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</si>
  <si>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</si>
  <si>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</si>
  <si>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</si>
  <si>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</si>
  <si>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</si>
  <si>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</si>
  <si>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CameraPrivacyCovers</t>
  </si>
  <si>
    <t>https://www.amazon.in/LIRAMARK-Webcam-Blocker-Computer-MacBook/dp/B08BQ947H3/ref=sr_1_317?qid=1672895842&amp;s=electronics&amp;sr=1-317</t>
  </si>
  <si>
    <t>B082T6V3DT</t>
  </si>
  <si>
    <t>AmazonBasics New Release Nylon USB-A to Lightning Cable Cord, Fast Charging MFi Certified Charger for Apple iPhone, iPad (6-Ft, Rose Gold)</t>
  </si>
  <si>
    <t>https://www.amazon.in/AmazonBasics-Nylon-Braided-Lightning-Cable/dp/B082T6V3DT/ref=sr_1_320?qid=1672895842&amp;s=electronics&amp;sr=1-320</t>
  </si>
  <si>
    <t>B0B7DHSKS7</t>
  </si>
  <si>
    <t>Nokia 8210 4G Volte keypad Phone with Dual SIM, Big Display, inbuilt MP3 Player &amp; Wireless FM Radio | Blue</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</si>
  <si>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</si>
  <si>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</si>
  <si>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</si>
  <si>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</si>
  <si>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</si>
  <si>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</si>
  <si>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https://www.amazon.in/Samsung-Storage-sAmoled-Purchased-Separately/dp/B09XJ5LD6L/ref=sr_1_333?qid=1672895842&amp;s=electronics&amp;sr=1-333</t>
  </si>
  <si>
    <t>B07WHS7MZ1</t>
  </si>
  <si>
    <t>iQOO 9 SE 5G (Sunset Sierra, 8GB RAM, 128GB Storage) | Qualcomm Snapdragon 888 | 66W Flash Charge</t>
  </si>
  <si>
    <t>https://www.amazon.in/iQOO-Sunset-Storage-Qualcomm-Snapdragon/dp/B07WHS7MZ1/ref=sr_1_336?qid=1672895842&amp;s=electronics&amp;sr=1-336</t>
  </si>
  <si>
    <t>B0BBVKRP7B</t>
  </si>
  <si>
    <t>SHREENOVA ID116 Plus Bluetooth Fitness Smart Watch for Men Women and Kids Activity Tracker (Black)</t>
  </si>
  <si>
    <t>https://www.amazon.in/SHREENOVA-Bluetooth-Fitness-Activity-Tracker/dp/B0BBVKRP7B/ref=sr_1_338?qid=1672895850&amp;s=electronics&amp;sr=1-338</t>
  </si>
  <si>
    <t>B09NY7W8YD</t>
  </si>
  <si>
    <t>POCO C31 (Shadow Gray, 64 GB) (4 GB RAM)</t>
  </si>
  <si>
    <t>https://www.amazon.in/POCO-C31-Shadow-Gray-RAM/dp/B09NY7W8YD/ref=sr_1_353?qid=1672895850&amp;s=electronics&amp;sr=1-353</t>
  </si>
  <si>
    <t>B0BMM7R92G</t>
  </si>
  <si>
    <t>Noise_Colorfit Smart Watch Charger 2 Pin USB Fast Charger Magnetic Charging Cable Adapter (Smart Watch Charger 2 pin)</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</si>
  <si>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</si>
  <si>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</si>
  <si>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</si>
  <si>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</si>
  <si>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</si>
  <si>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</si>
  <si>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https://www.amazon.in/10WERUN-Bluetooth-Smartwatch-Wireless-Fitness/dp/B09RFB2SJQ/ref=sr_1_367?qid=1672895857&amp;s=electronics&amp;sr=1-367</t>
  </si>
  <si>
    <t>B0B82YGCF6</t>
  </si>
  <si>
    <t>Tokdis MX-1 Pro Bluetooth Calling Smartwatch - 1.69” LCD Display, Multiple Watch Faces, Sleep Monitor, Heart &amp; SpO2 Monitoring, Multiple Sports Modes, Water Resistant</t>
  </si>
  <si>
    <t>https://www.amazon.in/Tokdis-MX-1-Bluetooth-Calling-Smartwatch/dp/B0B82YGCF6/ref=sr_1_370?qid=1672895857&amp;s=electronics&amp;sr=1-370</t>
  </si>
  <si>
    <t>B08HF4W2CT</t>
  </si>
  <si>
    <t>URBN 20000 mAh lithium_polymer Power Bank with 12 Watt Fast Charging, Camo</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</si>
  <si>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</si>
  <si>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</si>
  <si>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 (Black,20cm)</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</si>
  <si>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</si>
  <si>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</si>
  <si>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</si>
  <si>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</si>
  <si>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</si>
  <si>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</si>
  <si>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</si>
  <si>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</si>
  <si>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</si>
  <si>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</si>
  <si>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</si>
  <si>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https://www.amazon.in/ORAIMO-SUPER-FAST-CHARGER/dp/B078G6ZF5Z/ref=sr_1_402?qid=1672895864&amp;s=electronics&amp;sr=1-402</t>
  </si>
  <si>
    <t>B0BBW521YC</t>
  </si>
  <si>
    <t>LAPSTER 12pcs Spiral Cable Protectors for Charger, Wires, Data Charger Cable Protector for Computers, Cell Phones etc.(Grey)</t>
  </si>
  <si>
    <t>PhoneCharms</t>
  </si>
  <si>
    <t>https://www.amazon.in/LAPSTER-Protectors-Charger-Protector-Computers/dp/B0BBW521YC/ref=sr_1_403?qid=1672895864&amp;s=electronics&amp;sr=1-403</t>
  </si>
  <si>
    <t>B09HSKYMB3</t>
  </si>
  <si>
    <t>MI REDMI 9i Sport (Carbon Black, 64 GB) (4 GB RAM)</t>
  </si>
  <si>
    <t>https://www.amazon.in/REDMI-Sport-Carbon-Black-RAM/dp/B09HSKYMB3/ref=sr_1_405?qid=1672895864&amp;s=electronics&amp;sr=1-405</t>
  </si>
  <si>
    <t>B09YV42QHZ</t>
  </si>
  <si>
    <t>Fire-Boltt Ninja 3 Smartwatch Full Touch 1.69 " &amp; 60 Sports Modes with IP68, Sp02 Tracking, Over 100 Cloud based watch faces ( Green )</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</si>
  <si>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</si>
  <si>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</si>
  <si>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</si>
  <si>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</si>
  <si>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</si>
  <si>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</si>
  <si>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https://www.amazon.in/POPIO-Compatible-iPhone-Transparent-Installation/dp/B0B5YBGCKD/ref=sr_1_417?qid=1672895872&amp;s=electronics&amp;sr=1-417</t>
  </si>
  <si>
    <t>B09MY4W73Q</t>
  </si>
  <si>
    <t>Amozo Ultra Hybrid Camera and Drop Protection Back Cover Case for iPhone 13 (Polycarbonate| Back Transparent - Sides Black)</t>
  </si>
  <si>
    <t>https://www.amazon.in/Amozo-iPhone-13-Polycarbonate-Transparent/dp/B09MY4W73Q/ref=sr_1_419?qid=1672895872&amp;s=electronics&amp;sr=1-419</t>
  </si>
  <si>
    <t>B09T37CKQ5</t>
  </si>
  <si>
    <t>FLiX Usb Charger,Flix (Beetel) Bolt 2.4 Dual Poart,5V/2.4A/12W Usb Wall Charger Fast Charging,Adapter For Android/Iphone 11/Xs/Xs Max/Xr/X/8/7/6/Plus,Ipad Pro/Air 2/Mini 3/4,Samsung S4/S5 &amp; More-Black</t>
  </si>
  <si>
    <t>https://www.amazon.in/FLiX-Charger-Charging-Adapter-More-Black/dp/B09T37CKQ5/ref=sr_1_431?qid=1672895872&amp;s=electronics&amp;sr=1-431</t>
  </si>
  <si>
    <t>B09GFPN6TP</t>
  </si>
  <si>
    <t>Redmi 9A Sport (Coral Green, 3GB RAM, 32GB Storage) | 2GHz Octa-core Helio G25 Processor | 5000 mAh Battery</t>
  </si>
  <si>
    <t>https://www.amazon.in/Redmi-9A-Sport-Octa-core-Processor/dp/B09GFPN6TP/ref=sr_1_432?qid=1672895872&amp;s=electronics&amp;sr=1-432</t>
  </si>
  <si>
    <t>B0B298D54H</t>
  </si>
  <si>
    <t>Prolet Classic Bumper Case Cover for Samsung Galaxy Watch 4 44mm TPU Plated Full Screen Protector (Black)</t>
  </si>
  <si>
    <t>https://www.amazon.in/Prolet-Classic-Bumper-Samsung-Protector/dp/B0B298D54H/ref=sr_1_433?qid=1672895879&amp;s=electronics&amp;sr=1-433</t>
  </si>
  <si>
    <t>B08VB57558</t>
  </si>
  <si>
    <t>Samsung Galaxy S20 FE 5G (Cloud Navy, 8GB RAM, 128GB Storage) with No Cost EMI &amp; Additional Exchange Offers</t>
  </si>
  <si>
    <t>https://www.amazon.in/Samsung-Galaxy-Cloud-128GB-Storage/dp/B08VB57558/ref=sr_1_434?qid=1672895879&amp;s=electronics&amp;sr=1-434</t>
  </si>
  <si>
    <t>B09NY6TRXG</t>
  </si>
  <si>
    <t>POCO C31 (Royal Blue, 64 GB) (4 GB RAM)</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</si>
  <si>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</si>
  <si>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</si>
  <si>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</si>
  <si>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https://www.amazon.in/Noise-ColorFit-Monitoring-Smartwatches-Electric/dp/B09NVPJ3P4/ref=sr_1_457?qid=1672895886&amp;s=electronics&amp;sr=1-457</t>
  </si>
  <si>
    <t>B0B3NDPCS9</t>
  </si>
  <si>
    <t>Fire-Boltt Visionary 1.78" AMOLED Bluetooth Calling Smartwatch with 368*448 Pixel Resolution 100+ Sports Mode, TWS Connection, Voice Assistance, SPO2 &amp; Heart Rate Monitoring</t>
  </si>
  <si>
    <t>https://www.amazon.in/Fire-Boltt-Smartwatch-Resolution-Connection-Assistance/dp/B0B3NDPCS9/ref=sr_1_459?qid=1672895886&amp;s=electronics&amp;sr=1-459</t>
  </si>
  <si>
    <t>B09VGKFM7Y</t>
  </si>
  <si>
    <t>Amazon Basics 2 Amp USB Wall Charger &amp; Micro USB Cable (White)</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</si>
  <si>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</si>
  <si>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</si>
  <si>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</si>
  <si>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SelfieSticks</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</si>
  <si>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</si>
  <si>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</si>
  <si>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</si>
  <si>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</si>
  <si>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</si>
  <si>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</si>
  <si>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Shower&amp;WallMounts</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</si>
  <si>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</si>
  <si>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</si>
  <si>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</si>
  <si>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</si>
  <si>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</si>
  <si>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</si>
  <si>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https://www.amazon.in/Aluminium-Adjustable-Mobile-Foldable-Smartphones/dp/B088ZFJY82/ref=sr_1_493?qid=1672895894&amp;s=electronics&amp;sr=1-493</t>
  </si>
  <si>
    <t>B0B4F4QZ1H</t>
  </si>
  <si>
    <t>Samsung Galaxy M13 5G (Stardust Brown, 6GB, 128GB Storage) | 5000mAh Battery | Upto 12GB RAM with RAM Plus</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</si>
  <si>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</si>
  <si>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</si>
  <si>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</si>
  <si>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</si>
  <si>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</si>
  <si>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</si>
  <si>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https://www.amazon.in/Wireless-Generation-Sensitive-Rejection-Compatible/dp/B0B9BD2YL4/ref=sr_1_500?qid=1672895894&amp;s=electronics&amp;sr=1-500</t>
  </si>
  <si>
    <t>B071Z8M4KX</t>
  </si>
  <si>
    <t>boAt BassHeads 100 in-Ear Wired Headphones with Mic (Black)</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</si>
  <si>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</si>
  <si>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</si>
  <si>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</si>
  <si>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https://www.amazon.in/Airdopes-141-Playtime-Resistance-Bluetooth/dp/B09N3ZNHTY/ref=sr_1_2?qid=1672902995&amp;s=computers&amp;sr=1-2</t>
  </si>
  <si>
    <t>B0B3RRWSF6</t>
  </si>
  <si>
    <t>https://www.amazon.in/Fire-Boltt-Phoenix-Bluetooth-Calling-Monitoring/dp/B0B3RRWSF6/ref=sr_1_3?qid=1672902995&amp;s=computers&amp;sr=1-3</t>
  </si>
  <si>
    <t>B0B5B6PQCT</t>
  </si>
  <si>
    <t>boAt Wave Call Smart Watch, Smart Talk with Advanced Dedicated Bluetooth Calling Chip, 1.69” HD Display with 550 NITS &amp; 70% Color Gamut, 150+ Watch Faces, Multi-Sport Modes,HR,SpO2, IP68(Active Black)</t>
  </si>
  <si>
    <t>https://www.amazon.in/boAt-Wave-Call-Dedicated-Multi-Sport/dp/B0B5B6PQCT/ref=sr_1_4?qid=1672902995&amp;s=computers&amp;sr=1-4</t>
  </si>
  <si>
    <t>B005FYNT3G</t>
  </si>
  <si>
    <t>SanDisk Cruzer Blade 32GB USB Flash Drive</t>
  </si>
  <si>
    <t>ExternalDevices&amp;DataStorage</t>
  </si>
  <si>
    <t>PenDrives</t>
  </si>
  <si>
    <t>https://www.amazon.in/SanDisk-Cruzer-Blade-Flash-Drive/dp/B005FYNT3G/ref=sr_1_5?qid=1672902995&amp;s=computers&amp;sr=1-5</t>
  </si>
  <si>
    <t>B01J0XWYKQ</t>
  </si>
  <si>
    <t>Logitech B170 Wireless Mouse, 2.4 GHz with USB Nano Receiver, Optical Tracking, 12-Months Battery Life, Ambidextrous, PC/Mac/Laptop - Black</t>
  </si>
  <si>
    <t>Mice</t>
  </si>
  <si>
    <t>https://www.amazon.in/Logitech-B170-Wireless-Mouse-Black/dp/B01J0XWYKQ/ref=sr_1_6?qid=1672902995&amp;s=computers&amp;sr=1-6</t>
  </si>
  <si>
    <t>B09CTRPSJR</t>
  </si>
  <si>
    <t>Storio Kids Toys LCD Writing Tablet 8.5Inch E-Note Pad Best Birthday Gift for Girls Boys, Multicolor (SC1667)</t>
  </si>
  <si>
    <t>GraphicTablets</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</si>
  <si>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</si>
  <si>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</si>
  <si>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</si>
  <si>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</si>
  <si>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</si>
  <si>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</si>
  <si>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Lapdesks</t>
  </si>
  <si>
    <t>https://www.amazon.in/SKE-Portable-Multifunction-Laptop-Table-Children/dp/B0B72BSW7K/ref=sr_1_9?qid=1672902995&amp;s=computers&amp;sr=1-9</t>
  </si>
  <si>
    <t>B0BDRVFDKP</t>
  </si>
  <si>
    <t>SanDisk Ultra® microSDXC™ UHS-I Card, 64GB, 140MB/s R, 10 Y Warranty, for Smartphones</t>
  </si>
  <si>
    <t>https://www.amazon.in/SanDisk-Ultra%C2%AE-microSDXCTM-Warranty-Smartphones/dp/B0BDRVFDKP/ref=sr_1_10?qid=1672902995&amp;s=computers&amp;sr=1-10</t>
  </si>
  <si>
    <t>B08TV2P1N8</t>
  </si>
  <si>
    <t>boAt Rockerz 255 Pro+ in-Ear Bluetooth Neckband with Upto 40 Hours Playback, ASAP  Charge, IPX7, Dual Pairing, BT v5.0, with Mic (Active Black)</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</si>
  <si>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</si>
  <si>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</si>
  <si>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</si>
  <si>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NotebookComputerStands</t>
  </si>
  <si>
    <t>https://www.amazon.in/STRIFF-Adjustable-Patented-Ventilated-Compatible/dp/B07XCM6T4N/ref=sr_1_13?qid=1672902995&amp;s=computers&amp;sr=1-13</t>
  </si>
  <si>
    <t>B07T5DKR5D</t>
  </si>
  <si>
    <t>ZEBRONICS Zeb-Bro in Ear Wired Earphones with Mic, 3.5mm Audio Jack, 10mm Drivers, Phone/Tablet Compatible(Black)</t>
  </si>
  <si>
    <t>https://www.amazon.in/Zebronics-Zeb-Bro-Wired-Earphone/dp/B07T5DKR5D/ref=sr_1_14?qid=1672902995&amp;s=computers&amp;sr=1-14</t>
  </si>
  <si>
    <t>B07PR1CL3S</t>
  </si>
  <si>
    <t>boAt Rockerz 450 Bluetooth On Ear Headphones with Mic, Upto 15 Hours Playback, 40MM Drivers, Padded Ear Cushions, Integrated Controls and Dual Modes(Luscious Black)</t>
  </si>
  <si>
    <t>https://www.amazon.in/Rockerz-450-Wireless-Bluetooth-Headphone/dp/B07PR1CL3S/ref=sr_1_16?qid=1672902995&amp;s=computers&amp;sr=1-16</t>
  </si>
  <si>
    <t>B09V12K8NT</t>
  </si>
  <si>
    <t>boAt Wave Lite Smartwatch with 1.69" HD Display, Sleek Metal Body, HR &amp; SpO2 Level Monitor, 140+ Watch Faces, Activity Tracker, Multiple Sports Modes, IP68 &amp; 7 Days Battery Life(Active Black)</t>
  </si>
  <si>
    <t>https://www.amazon.in/boAt-Wave-Lite-Smartwatch-Activity/dp/B09V12K8NT/ref=sr_1_17?qid=1672902995&amp;s=computers&amp;sr=1-17</t>
  </si>
  <si>
    <t>B07JQKQ91F</t>
  </si>
  <si>
    <t>JBL C50HI, Wired in Ear Headphones with Mic, One Button Multi-Function Remote, Lightweight &amp; Comfortable fit (Black)</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</si>
  <si>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</si>
  <si>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</si>
  <si>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</si>
  <si>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https://www.amazon.in/LAPSTER-Charger-Protectors-Charging-Protective/dp/B08W56G1K9/ref=sr_1_19?qid=1672902995&amp;s=computers&amp;sr=1-19</t>
  </si>
  <si>
    <t>B07WG8PDCW</t>
  </si>
  <si>
    <t>pTron Bullet Pro 36W PD Quick Charger, 3 Port Fast Car Charger Adapter - Compatible with All Smartphones &amp; Tablets (Black)</t>
  </si>
  <si>
    <t>https://www.amazon.in/PTron-Bullet-Pro-Lightweight-Smartphones/dp/B07WG8PDCW/ref=sr_1_20?qid=1672902995&amp;s=computers&amp;sr=1-20</t>
  </si>
  <si>
    <t>B01L8ZNWN2</t>
  </si>
  <si>
    <t>HP v236w USB 2.0 64GB Pen Drive, Metal</t>
  </si>
  <si>
    <t>https://www.amazon.in/HP-v236w-64GB-USB-Drive/dp/B01L8ZNWN2/ref=sr_1_21?qid=1672902995&amp;s=computers&amp;sr=1-21</t>
  </si>
  <si>
    <t>B009VCGPSY</t>
  </si>
  <si>
    <t>HP X1000 Wired USB Mouse with 3 Handy Buttons, Fast-Moving Scroll Wheel and Optical Sensor works on most Surfaces (H2C21AA, Black/Grey)</t>
  </si>
  <si>
    <t>https://www.amazon.in/HP-X1000-Wired-Mouse-Black/dp/B009VCGPSY/ref=sr_1_22?qid=1672902995&amp;s=computers&amp;sr=1-22</t>
  </si>
  <si>
    <t>B0B296NTFV</t>
  </si>
  <si>
    <t>Portronics Toad 23 Wireless Optical Mouse with 2.4GHz, USB Nano Dongle, Optical Orientation, Click Wheel, Adjustable DPI(Black)</t>
  </si>
  <si>
    <t>https://www.amazon.in/Portronics-Wireless-Optical-Orientation-Adjustable/dp/B0B296NTFV/ref=sr_1_23?qid=1672902995&amp;s=computers&amp;sr=1-23</t>
  </si>
  <si>
    <t>B09YV4RG4D</t>
  </si>
  <si>
    <t>Fire-Boltt Ninja 3 Smartwatch Full Touch 1.69 &amp; 60 Sports Modes with IP68, Sp02 Tracking, Over 100 Cloud based watch faces - Black</t>
  </si>
  <si>
    <t>https://www.amazon.in/Fire-Boltt-Ninja-Smartwatch-Sports-Tracking/dp/B09YV4RG4D/ref=sr_1_27?qid=1672902996&amp;s=computers&amp;sr=1-27</t>
  </si>
  <si>
    <t>B07TCN5VR9</t>
  </si>
  <si>
    <t>Boult Audio BassBuds X1 in-Ear Wired Earphones with 10mm Extra Bass Driver and HD Sound with mic(Black)</t>
  </si>
  <si>
    <t>https://www.amazon.in/Boult-Audio-X1-Earphones-Cancellation/dp/B07TCN5VR9/ref=sr_1_28?qid=1672902996&amp;s=computers&amp;sr=1-28</t>
  </si>
  <si>
    <t>B00ZYLMQH0</t>
  </si>
  <si>
    <t>Dell KB216 Wired Multimedia USB Keyboard with Super Quite Plunger Keys with Spill-Resistant – Black</t>
  </si>
  <si>
    <t>Keyboards</t>
  </si>
  <si>
    <t>https://www.amazon.in/Dell-KB216-Wired-Multimedia-Keyboard/dp/B00ZYLMQH0/ref=sr_1_29?qid=1672902996&amp;s=computers&amp;sr=1-29</t>
  </si>
  <si>
    <t>B09YV4MW2T</t>
  </si>
  <si>
    <t>https://www.amazon.in/Fire-Boltt-Smartwatch-Bluetooth-Calling-Assistance/dp/B09YV4MW2T/ref=sr_1_30?qid=1672902996&amp;s=computers&amp;sr=1-30</t>
  </si>
  <si>
    <t>B01HJI0FS2</t>
  </si>
  <si>
    <t>Dell MS116 1000Dpi USB Wired Optical Mouse, Led Tracking, Scrolling Wheel, Plug and Play.</t>
  </si>
  <si>
    <t>https://www.amazon.in/Dell-MS116-1000DPI-Wired-Optical/dp/B01HJI0FS2/ref=sr_1_31?qid=1672902996&amp;s=computers&amp;sr=1-31</t>
  </si>
  <si>
    <t>B076B8G5D8</t>
  </si>
  <si>
    <t>Boya ByM1 Auxiliary Omnidirectional Lavalier Condenser Microphone with 20ft Audio Cable (Black)</t>
  </si>
  <si>
    <t>MusicalInstruments</t>
  </si>
  <si>
    <t>Other</t>
  </si>
  <si>
    <t>Microphones</t>
  </si>
  <si>
    <t>Condenser</t>
  </si>
  <si>
    <t>https://www.amazon.in/Boya-Omnidirectional-Lavalier-Condenser-Microphone/dp/B076B8G5D8/ref=sr_1_32?qid=1672902996&amp;s=computers&amp;sr=1-32</t>
  </si>
  <si>
    <t>B014SZO90Y</t>
  </si>
  <si>
    <t>Duracell Ultra Alkaline AA Battery, 8 Pcs</t>
  </si>
  <si>
    <t>GeneralPurposeBatteries&amp;BatteryChargers</t>
  </si>
  <si>
    <t>DisposableBatteries</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</si>
  <si>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</si>
  <si>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</si>
  <si>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</si>
  <si>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t>
  </si>
  <si>
    <t>OfficePaperProducts</t>
  </si>
  <si>
    <t>GelInkRollerballPens</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</si>
  <si>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</si>
  <si>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</si>
  <si>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</si>
  <si>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t>
  </si>
  <si>
    <t>CraftMaterials</t>
  </si>
  <si>
    <t>Tape</t>
  </si>
  <si>
    <t>https://www.amazon.in/Scotch-Double-Foam-Tape-24/dp/B00N1U9AJS/ref=sr_1_36?qid=1672902996&amp;s=computers&amp;sr=1-36</t>
  </si>
  <si>
    <t>B07KY3FNQP</t>
  </si>
  <si>
    <t>boAt Bassheads 152 in Ear Wired Earphones with Mic(Active Black)</t>
  </si>
  <si>
    <t>https://www.amazon.in/BassHeads-152-ToneSecure-Braided-Earphones/dp/B07KY3FNQP/ref=sr_1_37?qid=1672902996&amp;s=computers&amp;sr=1-37</t>
  </si>
  <si>
    <t>B0B3N7LR6K</t>
  </si>
  <si>
    <t>https://www.amazon.in/Fire-Boltt-Smartwatch-Resolution-Connection-Assistance/dp/B0B3N7LR6K/ref=sr_1_38?qid=1672902996&amp;s=computers&amp;sr=1-38</t>
  </si>
  <si>
    <t>B07QZ3CZ48</t>
  </si>
  <si>
    <t>boAt BassHeads 122 Wired Earphones with Heavy Bass, Integrated Controls and Mic (Gun Metal)</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</si>
  <si>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</si>
  <si>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</si>
  <si>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</si>
  <si>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Keyboard&amp;MouseSets</t>
  </si>
  <si>
    <t>https://www.amazon.in/Dell-Wireless-Keyboard-Mouse-Spill-Resistant/dp/B09T3H12GV/ref=sr_1_40?qid=1672902996&amp;s=computers&amp;sr=1-40</t>
  </si>
  <si>
    <t>B098NS6PVG</t>
  </si>
  <si>
    <t>Ambrane Unbreakable 60W / 3A Fast Charging 1.5m Braided Type C Cable for Smartphones, Tablets, Laptops &amp; other Type C devices, PD Technology, 480Mbps Data Sync, Quick Charge 3.0 (RCT15A, Black)</t>
  </si>
  <si>
    <t>https://www.amazon.in/Ambrane-Unbreakable-Charging-Braided-Cable/dp/B098NS6PVG/ref=sr_1_41?qid=1672902996&amp;s=computers&amp;sr=1-41</t>
  </si>
  <si>
    <t>B09ZQK9X8G</t>
  </si>
  <si>
    <t>Noise ColorFit Pro 4 Advanced Bluetooth Calling Smart Watch with 1.72" TruView Display, Fully-Functional Digital Crown, 311 PPI, 60Hz Refresh Rate, 500 NITS Brightness (Charcoal Black)</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</si>
  <si>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</si>
  <si>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</si>
  <si>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</si>
  <si>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ExternalHardDisks</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</si>
  <si>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</si>
  <si>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</si>
  <si>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</si>
  <si>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Cameras&amp;Photography</t>
  </si>
  <si>
    <t>VideoCameras</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</si>
  <si>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</si>
  <si>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</si>
  <si>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</si>
  <si>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https://www.amazon.in/ZEBRONICS-Zeb-Dash-Wireless-Receiver-Buttons/dp/B08YDFX7Y1/ref=sr_1_46?qid=1672902996&amp;s=computers&amp;sr=1-46</t>
  </si>
  <si>
    <t>B08HDJ86NZ</t>
  </si>
  <si>
    <t>boAt Deuce USB 300 2 in 1 Type-C &amp; Micro USB Stress Resistant, Tangle-Free, Sturdy Cable with 3A Fast Charging &amp; 480mbps Data Transmission, 10000+ Bends Lifespan and Extended 1.5m Length(Martian Red)</t>
  </si>
  <si>
    <t>https://www.amazon.in/Deuce-300-Resistant-Tangle-Free-Transmission/dp/B08HDJ86NZ/ref=sr_1_47?qid=1672902996&amp;s=computers&amp;sr=1-47</t>
  </si>
  <si>
    <t>B087FXHB6J</t>
  </si>
  <si>
    <t>Zebronics Zeb-Companion 107 USB Wireless Keyboard and Mouse Set with Nano Receiver (Black)</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</si>
  <si>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</si>
  <si>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</si>
  <si>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</si>
  <si>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Tabletop&amp;TravelTripods</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</si>
  <si>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</si>
  <si>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</si>
  <si>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</si>
  <si>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https://www.amazon.in/Boult-Audio-Lightning-Environmental-Cancellation/dp/B0B31BYXQQ/ref=sr_1_50?qid=1672902997&amp;s=computers&amp;sr=1-50</t>
  </si>
  <si>
    <t>B07SLMR1K6</t>
  </si>
  <si>
    <t>SanDisk Ultra Flair 64GB USB 3.0 Pen Drive, Multicolor</t>
  </si>
  <si>
    <t>https://www.amazon.in/SanDisk-Ultra-Flair-USB-64GB/dp/B07SLMR1K6/ref=sr_1_52?qid=1672902997&amp;s=computers&amp;sr=1-52</t>
  </si>
  <si>
    <t>B094YFFSMY</t>
  </si>
  <si>
    <t>Tygot Bluetooth Extendable Selfie Sticks with Wireless Remote and Tripod Stand, 3-in-1 Multifunctional Selfie Stick with Tripod Stand Compatible with iPhone/OnePlus/Samsung/Oppo/Vivo and All Phones</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</si>
  <si>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</si>
  <si>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</si>
  <si>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</si>
  <si>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https://www.amazon.in/boAt-Rockerz-330-Bluetooth-Assistant/dp/B092X94QNQ/ref=sr_1_55?qid=1672902997&amp;s=computers&amp;sr=1-55</t>
  </si>
  <si>
    <t>B0846D5CBP</t>
  </si>
  <si>
    <t>Casio FX-991ES Plus-2nd Edition Scientific Calculator, Black</t>
  </si>
  <si>
    <t>OfficeElectronics</t>
  </si>
  <si>
    <t>Scientific</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</si>
  <si>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</si>
  <si>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</si>
  <si>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</si>
  <si>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Repeaters&amp;Extenders</t>
  </si>
  <si>
    <t>https://www.amazon.in/Tp-Link-300Mbps-AC750-Range-Extender/dp/B00KXULGJQ/ref=sr_1_57?qid=1672902997&amp;s=computers&amp;sr=1-57</t>
  </si>
  <si>
    <t>B08H9Z3XQW</t>
  </si>
  <si>
    <t>boAt Bassheads 242 in Ear Wired Earphones with Mic(Blue)</t>
  </si>
  <si>
    <t>https://www.amazon.in/boAt-Bassheads-242-Wired-Earphones/dp/B08H9Z3XQW/ref=sr_1_58?qid=1672902997&amp;s=computers&amp;sr=1-58</t>
  </si>
  <si>
    <t>B08LPJZSSW</t>
  </si>
  <si>
    <t>DIGITEK® (DTR 260 GT) Gorilla Tripod/Mini 33 cm (13 Inch) Tripod for Mobile Phone with Phone Mount &amp; Remote, Flexible Gorilla Stand for DSLR &amp; Action Cameras</t>
  </si>
  <si>
    <t>TripodLegs</t>
  </si>
  <si>
    <t>https://www.amazon.in/DIGITEK%C2%AE-DTR-260-GT-Flexible/dp/B08LPJZSSW/ref=sr_1_59?qid=1672902997&amp;s=computers&amp;sr=1-59</t>
  </si>
  <si>
    <t>B08CYPB15D</t>
  </si>
  <si>
    <t>HP 805 Black Original Ink Cartridge</t>
  </si>
  <si>
    <t>Printers,Inks&amp;Accessories</t>
  </si>
  <si>
    <t>InkjetInkCartridges</t>
  </si>
  <si>
    <t>https://www.amazon.in/805-Black-Original-Ink-Cartridge/dp/B08CYPB15D/ref=sr_1_62?qid=1672902997&amp;s=computers&amp;sr=1-62</t>
  </si>
  <si>
    <t>B00MFPCY5C</t>
  </si>
  <si>
    <t>GIZGA essentials Universal Silicone Keyboard Protector Skin for 15.6-inches Laptop (5 x 6 x 3 inches)</t>
  </si>
  <si>
    <t>DustCovers</t>
  </si>
  <si>
    <t>https://www.amazon.in/Universal-Silicone-Keyboard-Protector-15-6-inch/dp/B00MFPCY5C/ref=sr_1_65?qid=1672902997&amp;s=computers&amp;sr=1-65</t>
  </si>
  <si>
    <t>B07JJFSG2B</t>
  </si>
  <si>
    <t>SanDisk Ultra 128 GB USB 3.0 Pen Drive (Black)</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</si>
  <si>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</si>
  <si>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</si>
  <si>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</si>
  <si>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</si>
  <si>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</si>
  <si>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</si>
  <si>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</si>
  <si>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</si>
  <si>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</si>
  <si>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https://www.amazon.in/Boult-Audio-PowerBuds-Wireless-Waterproof/dp/B08D11DZ2W/ref=sr_1_69?qid=1672902997&amp;s=computers&amp;sr=1-69</t>
  </si>
  <si>
    <t>B07Q7561HD</t>
  </si>
  <si>
    <t>Eveready 1015 Carbon Zinc AA Battery - 10 Pieces</t>
  </si>
  <si>
    <t>https://www.amazon.in/Eveready-1015-Carbon-Zinc-Battery/dp/B07Q7561HD/ref=sr_1_70?qid=1672902997&amp;s=computers&amp;sr=1-70</t>
  </si>
  <si>
    <t>B0819HZPXL</t>
  </si>
  <si>
    <t>Zebronics Zeb-Transformer-M Optical USB Gaming Mouse with LED Effect(Black)</t>
  </si>
  <si>
    <t>GamingMice</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</si>
  <si>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</si>
  <si>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</si>
  <si>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</si>
  <si>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Paints</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</si>
  <si>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</si>
  <si>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</si>
  <si>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</si>
  <si>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MousePads</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</si>
  <si>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</si>
  <si>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</si>
  <si>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</si>
  <si>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HardDiskBags</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</si>
  <si>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</si>
  <si>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</si>
  <si>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</si>
  <si>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</si>
  <si>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</si>
  <si>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</si>
  <si>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https://www.amazon.in/Boult-Audio-Curve-Sweatproof-Headphones/dp/B07LG59NPV/ref=sr_1_76?qid=1672902998&amp;s=computers&amp;sr=1-76</t>
  </si>
  <si>
    <t>B08WRWPM22</t>
  </si>
  <si>
    <t>boAt Micro USB 55 Tangle-free, Sturdy Micro USB Cable with 3A Fast Charging &amp; 480mbps Data Transmission (Black)</t>
  </si>
  <si>
    <t>https://www.amazon.in/boAt-Micro-USB-Tangle-Free-Transmission/dp/B08WRWPM22/ref=sr_1_78?qid=1672902998&amp;s=computers&amp;sr=1-78</t>
  </si>
  <si>
    <t>B00AXHBBXU</t>
  </si>
  <si>
    <t>Casio FX-82MS 2nd Gen Non-Programmable Scientific Calculator, 240 Functions and 2-line Display, Black</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</si>
  <si>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</si>
  <si>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</si>
  <si>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</si>
  <si>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Macro&amp;RinglightFlashes</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</si>
  <si>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</si>
  <si>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</si>
  <si>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</si>
  <si>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</si>
  <si>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</si>
  <si>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</si>
  <si>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</si>
  <si>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</si>
  <si>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</si>
  <si>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Routers</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</si>
  <si>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</si>
  <si>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</si>
  <si>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</si>
  <si>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Over-Ear</t>
  </si>
  <si>
    <t>https://www.amazon.in/Boat-Rockerz-550-Headphone-Aesthetics/dp/B0856HY85J/ref=sr_1_85?qid=1672902998&amp;s=computers&amp;sr=1-85</t>
  </si>
  <si>
    <t>B07CD2BN46</t>
  </si>
  <si>
    <t>Xiaomi Mi Wired in Ear Earphones with Mic Basic with Ultra Deep Bass &amp; Aluminum Alloy Sound Chamber (Black)</t>
  </si>
  <si>
    <t>https://www.amazon.in/Mi-Earphones-Basic-Mic-Black/dp/B07CD2BN46/ref=sr_1_87?qid=1672902998&amp;s=computers&amp;sr=1-87</t>
  </si>
  <si>
    <t>B07PLHTTB4</t>
  </si>
  <si>
    <t>Zodo 8. 5 inch LCD E-Writer Electronic Writing Pad/Tablet Drawing Board (Paperless Memo Digital Tablet)</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</si>
  <si>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</si>
  <si>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</si>
  <si>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</si>
  <si>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https://www.amazon.in/Zebronics-Km2100-Multimedia-USB-Keyboard/dp/B077T3BG5L/ref=sr_1_89?qid=1672902998&amp;s=computers&amp;sr=1-89</t>
  </si>
  <si>
    <t>B08DDRGWTJ</t>
  </si>
  <si>
    <t>MI Usb Type-C Cable Smartphone (Black)</t>
  </si>
  <si>
    <t>https://www.amazon.in/MI-MTCY001IN-USB-Type-C-Cable/dp/B08DDRGWTJ/ref=sr_1_90?qid=1672902998&amp;s=computers&amp;sr=1-90</t>
  </si>
  <si>
    <t>B079Y6JZC8</t>
  </si>
  <si>
    <t>ZEBRONICS Zeb-Comfort Wired USB Mouse, 3-Button, 1000 DPI Optical Sensor, Plug &amp; Play, for Windows/Mac, Black</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</si>
  <si>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</si>
  <si>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</si>
  <si>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</si>
  <si>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</si>
  <si>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</si>
  <si>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</si>
  <si>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BluetoothSpeakers</t>
  </si>
  <si>
    <t>https://www.amazon.in/ZEBRONICS-Zeb-Astra-20-Wireless-Rechargeable/dp/B0B12K5BPM/ref=sr_1_93?qid=1672902998&amp;s=computers&amp;sr=1-93</t>
  </si>
  <si>
    <t>B08MTCKDYN</t>
  </si>
  <si>
    <t>Gizga Essentials Spiral Cable Protector Cord Saver for Mac Charger, iPhone Charger, Wire Protector, Lightweight Durable Flexible Wire Winder for Charging Cables, Data Cables, Earphones, Pack of 10</t>
  </si>
  <si>
    <t>https://www.amazon.in/GIZGA-Protector-Charging-Protective-G55/dp/B08MTCKDYN/ref=sr_1_94?qid=1672902998&amp;s=computers&amp;sr=1-94</t>
  </si>
  <si>
    <t>B08CF3D7QR</t>
  </si>
  <si>
    <t>Portronics Konnect L POR-1081 Fast Charging 3A Type-C Cable 1.2Meter with Charge &amp; Sync Function for All Type-C Devices (Grey)</t>
  </si>
  <si>
    <t>https://www.amazon.in/Portronics-POR-1081-Charging-1-2Meter-Function/dp/B08CF3D7QR/ref=sr_1_95?qid=1672902998&amp;s=computers&amp;sr=1-95</t>
  </si>
  <si>
    <t>B00LVMTA2A</t>
  </si>
  <si>
    <t>Panasonic CR-2032/5BE Lithium Coin Battery - Pack of 5</t>
  </si>
  <si>
    <t>https://www.amazon.in/Panasonic-Lithium-CR2032-5BE-Battery/dp/B00LVMTA2A/ref=sr_1_97?qid=1672903000&amp;s=computers&amp;sr=1-97</t>
  </si>
  <si>
    <t>B07TR5HSR9</t>
  </si>
  <si>
    <t>MemeHo® Smart Standard Multi-Purpose Laptop Table with Dock Stand/Study Table/Bed Table/Foldable and Portable/Ergonomic &amp; Rounded Edges/Non-Slip Legs/Engineered Wood with Cup Holder (Black)</t>
  </si>
  <si>
    <t>https://www.amazon.in/Multi-Purpose-Foldable-Portable-Ergonomic-Non-Slip/dp/B07TR5HSR9/ref=sr_1_98?qid=1672903000&amp;s=computers&amp;sr=1-98</t>
  </si>
  <si>
    <t>B0819ZZK5K</t>
  </si>
  <si>
    <t>SanDisk Ultra Dual Drive Go USB Type C Pendrive for Mobile (Black, 128 GB, 5Y - SDDDC3-128G-I35)</t>
  </si>
  <si>
    <t>https://www.amazon.in/SanDisk-Ultra-Drive-Pendrive-Mobile/dp/B0819ZZK5K/ref=sr_1_99?qid=1672903000&amp;s=computers&amp;sr=1-99</t>
  </si>
  <si>
    <t>B08QJJCY2Q</t>
  </si>
  <si>
    <t>Tizum Mouse Pad/ Computer Mouse Mat with Anti-Slip Rubber Base | Smooth Mouse Control | Spill-Resistant Surface for Laptop, Notebook, MacBook, Gaming, Laser/ Optical Mouse, 9.4”x 7.9”, Multicolored</t>
  </si>
  <si>
    <t>https://www.amazon.in/Notebook-MacBook-Computer-Anti-Skid-Mousepad/dp/B08QJJCY2Q/ref=sr_1_101?qid=1672903000&amp;s=computers&amp;sr=1-101</t>
  </si>
  <si>
    <t>B07L5L4GTB</t>
  </si>
  <si>
    <t>Epson 003 65 ml for EcoTank L1110/L3100/L3101/L3110/L3115/L3116/L3150/L3151/L3152/L3156/L5190 Black Ink Bottle</t>
  </si>
  <si>
    <t>https://www.amazon.in/Epson-003-Black-Ink-Bottle/dp/B07L5L4GTB/ref=sr_1_102?qid=1672903000&amp;s=computers&amp;sr=1-102</t>
  </si>
  <si>
    <t>B07L8KNP5F</t>
  </si>
  <si>
    <t>ZEBRONICS Zeb-Thunder Bluetooth Wireless Over Ear Headphone FM, mSD, 9 hrs Playback with Mic (Black)</t>
  </si>
  <si>
    <t>https://www.amazon.in/Zebronics-Zeb-Thunder-Bluetooth-Headphone-Input/dp/B07L8KNP5F/ref=sr_1_103?qid=1672903000&amp;s=computers&amp;sr=1-103</t>
  </si>
  <si>
    <t>B08CF4SCNP</t>
  </si>
  <si>
    <t>Quantum QHM-7406 Full-Sized Keyboard with ( ) Rupee Symbol, Hotkeys and 3-pieces LED function for Desktop/Laptop/Smart TV Spill-Resistant Wired USB Keyboard with 10 million keystrokes lifespan (Black)</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</si>
  <si>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</si>
  <si>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</si>
  <si>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</si>
  <si>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</si>
  <si>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</si>
  <si>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</si>
  <si>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https://www.amazon.in/Logitech-Silent-Wireless-Mouse-Charcoal/dp/B01M72LILF/ref=sr_1_106?qid=1672903000&amp;s=computers&amp;sr=1-106</t>
  </si>
  <si>
    <t>B00LZLQ624</t>
  </si>
  <si>
    <t>Classmate Soft Cover 6 Subject Spiral Binding Notebook, Single Line, 300 Pages</t>
  </si>
  <si>
    <t>WireboundNotebooks</t>
  </si>
  <si>
    <t>https://www.amazon.in/Classmate-Premium-Subject-Notebook-Single/dp/B00LZLQ624/ref=sr_1_108?qid=1672903000&amp;s=computers&amp;sr=1-108</t>
  </si>
  <si>
    <t>B09GB5B4BK</t>
  </si>
  <si>
    <t>HP 150 Wireless USB Mouse with Ergonomic and ambidextrous Design, 1600 DPI Optical Tracking, 2.4 GHz Wireless connectivity, Dual-Function Scroll Wheel and 12 Month Long Battery Life. 3-Years Warranty.</t>
  </si>
  <si>
    <t>https://www.amazon.in/HP-150-Ambidextrous-Wireless-Mouse/dp/B09GB5B4BK/ref=sr_1_113?qid=1672903000&amp;s=computers&amp;sr=1-113</t>
  </si>
  <si>
    <t>B015ZXUDD0</t>
  </si>
  <si>
    <t>Duracell Rechargeable AA 1300mAh Batteries, 4Pcs</t>
  </si>
  <si>
    <t>RechargeableBatteries</t>
  </si>
  <si>
    <t>https://www.amazon.in/Duracell-5000174-Rechargeable-Batteries-Green/dp/B015ZXUDD0/ref=sr_1_114?qid=1672903000&amp;s=computers&amp;sr=1-114</t>
  </si>
  <si>
    <t>B09PL79D2X</t>
  </si>
  <si>
    <t>boAt Airdopes 181 in-Ear True Wireless Earbuds with ENx  Tech, Beast  Mode(Low Latency Upto 60ms) for Gaming, with Mic, ASAP  Charge, 20H Playtime, Bluetooth v5.2, IPX4 &amp; IWP (Cool Grey)</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</si>
  <si>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</si>
  <si>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</si>
  <si>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</si>
  <si>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BluetoothAdapters</t>
  </si>
  <si>
    <t>https://www.amazon.in/TP-Link-Bluetooth-Receiver-UB500-Controllers/dp/B098K3H92Z/ref=sr_1_117?qid=1672903000&amp;s=computers&amp;sr=1-117</t>
  </si>
  <si>
    <t>B084PJSSQ1</t>
  </si>
  <si>
    <t>SanDisk Ultra Dual Drive Luxe USB Type C Flash Drive (Silver, 128 GB, 5Y - SDDDC4-128G-I35)</t>
  </si>
  <si>
    <t>https://www.amazon.in/SanDisk-Ultra-Drive-Flash-128GB/dp/B084PJSSQ1/ref=sr_1_119?qid=1672903000&amp;s=computers&amp;sr=1-119</t>
  </si>
  <si>
    <t>B097R25DP7</t>
  </si>
  <si>
    <t>Noise ColorFit Pulse Smartwatch with 3.56 cm (1.4") Full Touch HD Display, SpO2, Heart Rate, Sleep Monitors &amp; 10-Day Battery - Jet Black</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</si>
  <si>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</si>
  <si>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</si>
  <si>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</si>
  <si>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USBtoUSBAdapters</t>
  </si>
  <si>
    <t>https://www.amazon.in/rts-Adapter-Charging-Converter-compatible/dp/B097C564GC/ref=sr_1_121?qid=1672903001&amp;s=computers&amp;sr=1-121</t>
  </si>
  <si>
    <t>B08CYNJ5KY</t>
  </si>
  <si>
    <t>HP 682 Black Original Ink Cartridge</t>
  </si>
  <si>
    <t>https://www.amazon.in/682-Black-Original-Ink-Cartridge/dp/B08CYNJ5KY/ref=sr_1_122?qid=1672903001&amp;s=computers&amp;sr=1-122</t>
  </si>
  <si>
    <t>B00Y4ORQ46</t>
  </si>
  <si>
    <t>Logitech H111 Wired On Ear Headphones With Mic Black</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</si>
  <si>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</si>
  <si>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</si>
  <si>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</si>
  <si>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CompleteTripodUnits</t>
  </si>
  <si>
    <t>https://www.amazon.in/Digitek-DTR-550-LW-Tripod/dp/B074CWD7MS/ref=sr_1_124?qid=1672903001&amp;s=computers&amp;sr=1-124</t>
  </si>
  <si>
    <t>B09C6HXFC1</t>
  </si>
  <si>
    <t>Duracell USB Lightning Apple Certified (Mfi) Braided Sync &amp; Charge Cable For Iphone, Ipad And Ipod. Fast Charging Lightning Cable, 3.9 Feet (1.2M) - Black</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</si>
  <si>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</si>
  <si>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</si>
  <si>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</si>
  <si>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https://www.amazon.in/TP-Link-TL-WA850RE-300Mbps-Universal-Extender/dp/B00A0VCJPI/ref=sr_1_127?qid=1672903001&amp;s=computers&amp;sr=1-127</t>
  </si>
  <si>
    <t>B00UGZWM2I</t>
  </si>
  <si>
    <t>COI Note Pad/Memo Book with Sticky Notes &amp; Clip Holder with Pen for Gifting</t>
  </si>
  <si>
    <t>Notepads&amp;MemoBooks</t>
  </si>
  <si>
    <t>https://www.amazon.in/COI-Sticky-Notes-Holder-Gifting/dp/B00UGZWM2I/ref=sr_1_128?qid=1672903001&amp;s=computers&amp;sr=1-128</t>
  </si>
  <si>
    <t>B00R1P3B4O</t>
  </si>
  <si>
    <t>Fujifilm Instax Mini Single Pack 10 Sheets Instant Film for Fuji Instant Cameras</t>
  </si>
  <si>
    <t>Film</t>
  </si>
  <si>
    <t>https://www.amazon.in/Fujifilm-Instax-Instant-Fuji-Cameras/dp/B00R1P3B4O/ref=sr_1_129?qid=1672903001&amp;s=computers&amp;sr=1-129</t>
  </si>
  <si>
    <t>B0B3MWYCHQ</t>
  </si>
  <si>
    <t>Fire-Boltt Ring 3 Smart Watch 1.8 Biggest Display with Advanced Bluetooth Calling Chip, Voice Assistance,118 Sports Modes, in Built Calculator &amp; Games, SpO2, Heart Rate Monitoring</t>
  </si>
  <si>
    <t>https://www.amazon.in/Fire-Boltt-Bluetooth-Assistance-Calculator-Monitoring/dp/B0B3MWYCHQ/ref=sr_1_130?qid=1672903001&amp;s=computers&amp;sr=1-130</t>
  </si>
  <si>
    <t>B09DG9VNWB</t>
  </si>
  <si>
    <t>Samsung Galaxy Watch4 Bluetooth(4.4 cm, Black, Compatible with Android only)</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</si>
  <si>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</si>
  <si>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</si>
  <si>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</si>
  <si>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https://www.amazon.in/Noise-Bluetooth-Wireless-30-Hours-Instacharge/dp/B09Y5MP7C4/ref=sr_1_132?qid=1672903001&amp;s=computers&amp;sr=1-132</t>
  </si>
  <si>
    <t>B01DJJVFPC</t>
  </si>
  <si>
    <t>Duracell Ultra Alkaline AAA Battery, 8 Pcs</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</si>
  <si>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</si>
  <si>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</si>
  <si>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</si>
  <si>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</si>
  <si>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</si>
  <si>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</si>
  <si>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Monitors</t>
  </si>
  <si>
    <t>https://www.amazon.in/Acer-Features-Bluelight-Flickerless-Comfyview/dp/B08L879JSN/ref=sr_1_135?qid=1672903001&amp;s=computers&amp;sr=1-135</t>
  </si>
  <si>
    <t>B08TDJNM3G</t>
  </si>
  <si>
    <t>E-COSMOS 5V 1.2W Portable Flexible USB LED Light (Colors May Vary, Small) - Set of 2 Pieces</t>
  </si>
  <si>
    <t>Lamps</t>
  </si>
  <si>
    <t>https://www.amazon.in/COSMOS-Portable-Flexible-Light-Colours/dp/B08TDJNM3G/ref=sr_1_136?qid=1672903001&amp;s=computers&amp;sr=1-136</t>
  </si>
  <si>
    <t>B06XSK3XL6</t>
  </si>
  <si>
    <t>boAt Dual Port Rapid Car Charger (Qualcomm Certified) with Quick Charge 3.0 + Free Micro USB Cable - (Black)</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</si>
  <si>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</si>
  <si>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</si>
  <si>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</si>
  <si>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https://www.amazon.in/Zebronics-Zeb-County-Bluetooth-Speaker-Function/dp/B07YNTJ8ZM/ref=sr_1_138?qid=1672903001&amp;s=computers&amp;sr=1-138</t>
  </si>
  <si>
    <t>B08DPLCM6T</t>
  </si>
  <si>
    <t>LG 80 cm (32 inches) HD Ready Smart LED TV 32LM563BPTC (Dark Iron Gray)</t>
  </si>
  <si>
    <t>https://www.amazon.in/LG-inches-Ready-Smart-32LM563BPTC/dp/B08DPLCM6T/ref=sr_1_140?qid=1672903001&amp;s=computers&amp;sr=1-140</t>
  </si>
  <si>
    <t>B07KR5P3YD</t>
  </si>
  <si>
    <t>Zebronics Wired Keyboard and Mouse Combo with 104 Keys and a USB Mouse with 1200 DPI - JUDWAA 750</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</si>
  <si>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</si>
  <si>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</si>
  <si>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</si>
  <si>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</si>
  <si>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</si>
  <si>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</si>
  <si>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CleaningKits</t>
  </si>
  <si>
    <t>https://www.amazon.in/Essentials-Gz-Ck-101-Professional-Micro-Fiber-Antibacterial/dp/B01IBRHE3E/ref=sr_1_144?qid=1672903001&amp;s=computers&amp;sr=1-144</t>
  </si>
  <si>
    <t>B01N6LU1VF</t>
  </si>
  <si>
    <t>SanDisk Ultra Dual 64 GB USB 3.0 OTG Pen Drive (Black)</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</si>
  <si>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</si>
  <si>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</si>
  <si>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</si>
  <si>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DomeCameras</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</si>
  <si>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</si>
  <si>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</si>
  <si>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</si>
  <si>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https://www.amazon.in/Boat-Airdopes-171-Functionality-Resistance/dp/B086WMSCN3/ref=sr_1_147?qid=1672903002&amp;s=computers&amp;sr=1-147</t>
  </si>
  <si>
    <t>B003B00484</t>
  </si>
  <si>
    <t>Duracell Plus AAA Rechargeable Batteries (750 mAh) Pack of 4</t>
  </si>
  <si>
    <t>https://www.amazon.in/Duracell-AAA-750mAh-Rechargeable-Batteries/dp/B003B00484/ref=sr_1_148?qid=1672903002&amp;s=computers&amp;sr=1-148</t>
  </si>
  <si>
    <t>B085194JFL</t>
  </si>
  <si>
    <t>tizum HDMI to VGA Adapter Cable 1080P for Projector, Computer, Laptop, TV, Projectors &amp; TV</t>
  </si>
  <si>
    <t>https://www.amazon.in/Adapter-Projector-Computer-Laptop-Projectors/dp/B085194JFL/ref=sr_1_149?qid=1672903002&amp;s=computers&amp;sr=1-149</t>
  </si>
  <si>
    <t>B003L62T7W</t>
  </si>
  <si>
    <t>Logitech B100 Wired USB Mouse, 3 yr Warranty, 800 DPI Optical Tracking, Ambidextrous PC/Mac/Laptop - Black</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</si>
  <si>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</si>
  <si>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</si>
  <si>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</si>
  <si>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https://www.amazon.in/Noise-ColorFit-Bluetooth-Monitoring-SmartWatch/dp/B09P18XVW6/ref=sr_1_152?qid=1672903002&amp;s=computers&amp;sr=1-152</t>
  </si>
  <si>
    <t>B00LZLPYHW</t>
  </si>
  <si>
    <t>Classmate 2100117 Soft Cover 6 Subject Spiral Binding Notebook, Single Line, 300 Pages</t>
  </si>
  <si>
    <t>https://www.amazon.in/Classmate-Premium-Subject-Notebook-Single/dp/B00LZLPYHW/ref=sr_1_153?qid=1672903002&amp;s=computers&amp;sr=1-153</t>
  </si>
  <si>
    <t>B00NNQMYNE</t>
  </si>
  <si>
    <t>AirCase Rugged Hard Drive Case for 2.5-inch Western Digital, Seagate, Toshiba, Portable Storage Shell for Gadget Hard Disk USB Cable Power Bank Mobile Charger Earphone, Waterproof (Black)</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</si>
  <si>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</si>
  <si>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</si>
  <si>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</si>
  <si>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</si>
  <si>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</si>
  <si>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</si>
  <si>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https://www.amazon.in/JBL-Portable-Waterproof-Bluetooth-Speaker/dp/B07B88KQZ8/ref=sr_1_158?qid=1672903002&amp;s=computers&amp;sr=1-158</t>
  </si>
  <si>
    <t>B07Z3K96FR</t>
  </si>
  <si>
    <t>Robustrion Tempered Glass Screen Protector for iPad 10.2 inch 9th Gen Generation 2021 8th Gen 2020 7th Gen 2019</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</si>
  <si>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</si>
  <si>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</si>
  <si>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</si>
  <si>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Gamepads</t>
  </si>
  <si>
    <t>https://www.amazon.in/Redgear-Pro-Wireless-Gamepad-Black/dp/B0756CLQWL/ref=sr_1_162?qid=1672903002&amp;s=computers&amp;sr=1-162</t>
  </si>
  <si>
    <t>B004IO5BMQ</t>
  </si>
  <si>
    <t>Logitech M235 Wireless Mouse, 1000 DPI Optical Tracking, 12 Month Life Battery, Compatible with Windows, Mac, Chromebook/PC/Laptop</t>
  </si>
  <si>
    <t>https://www.amazon.in/Logitech-M235-Wireless-Mouse-Grey/dp/B004IO5BMQ/ref=sr_1_163?qid=1672903002&amp;s=computers&amp;sr=1-163</t>
  </si>
  <si>
    <t>B09Z6WH2N1</t>
  </si>
  <si>
    <t>STRIFF 12 Pieces Highly Flexible Silicone Micro USB Protector, Mouse Cable Protector, Suit for All Cell Phones, Computers and Chargers (White)</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</si>
  <si>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</si>
  <si>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</si>
  <si>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</si>
  <si>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</si>
  <si>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</si>
  <si>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</si>
  <si>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</si>
  <si>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</si>
  <si>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</si>
  <si>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https://www.amazon.in/Callas-Multipurpose-Breakfast-Ergonomic-WA-27-Black/dp/B08MZQBFLN/ref=sr_1_167?qid=1672903002&amp;s=computers&amp;sr=1-167</t>
  </si>
  <si>
    <t>B0752LL57V</t>
  </si>
  <si>
    <t>Casio MJ-12D 150 Steps Check and Correct Desktop Calculator</t>
  </si>
  <si>
    <t>Basic</t>
  </si>
  <si>
    <t>https://www.amazon.in/Casio-MJ-12D-Desktop-Calculator-Grey/dp/B0752LL57V/ref=sr_1_168?qid=1672903002&amp;s=computers&amp;sr=1-168</t>
  </si>
  <si>
    <t>B09Z28BQZT</t>
  </si>
  <si>
    <t>Amazon Basics Multipurpose Foldable Laptop Table with Cup Holder, Brown</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</si>
  <si>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</si>
  <si>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</si>
  <si>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</si>
  <si>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https://www.amazon.in/Kanget-Female-Adapter-Standard-Interface/dp/B094DQWV9B/ref=sr_1_171?qid=1672903004&amp;s=computers&amp;sr=1-171</t>
  </si>
  <si>
    <t>B0BBMPH39N</t>
  </si>
  <si>
    <t>Amazon Basics Magic Slate 8.5-inch LCD Writing Tablet with Stylus Pen, for Drawing, Playing, Noting by Kids &amp; Adults, Black</t>
  </si>
  <si>
    <t>https://www.amazon.in/Amazon-Basics-8-5-inch-Writing-Drawing/dp/B0BBMPH39N/ref=sr_1_173?qid=1672903004&amp;s=computers&amp;sr=1-173</t>
  </si>
  <si>
    <t>B097JQ1J5G</t>
  </si>
  <si>
    <t>Zebronics ZEB-90HB USB Hub, 4 Ports, Pocket Sized, Plug &amp; Play, for Laptop &amp; Computers</t>
  </si>
  <si>
    <t>USBHubs</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</si>
  <si>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</si>
  <si>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</si>
  <si>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</si>
  <si>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</si>
  <si>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</si>
  <si>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</si>
  <si>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https://www.amazon.in/Zeb-Buds-C2-Controller-Blue/dp/B08VRMK55F/ref=sr_1_176?qid=1672903004&amp;s=computers&amp;sr=1-176</t>
  </si>
  <si>
    <t>B08CHZ3ZQ7</t>
  </si>
  <si>
    <t>Redgear A-15 Wired Gaming Mouse with Upto 6400 DPI, RGB &amp; Driver Customization for PC(Black)</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</si>
  <si>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</si>
  <si>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</si>
  <si>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</si>
  <si>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PCMicrophones</t>
  </si>
  <si>
    <t>https://www.amazon.in/JBL-Commercial-Omnidirectional-Microphone-Recording/dp/B08SCCG9D4/ref=sr_1_179?qid=1672903004&amp;s=computers&amp;sr=1-179</t>
  </si>
  <si>
    <t>B0972BQ2RS</t>
  </si>
  <si>
    <t>Fire-Boltt India's No 1 Smartwatch Brand Ring Bluetooth Calling with SpO2 &amp; 1.7” Metal Body with Blood Oxygen Monitoring, Continuous Heart Rate, Full Touch &amp; Multiple Watch Faces</t>
  </si>
  <si>
    <t>https://www.amazon.in/Fire-Boltt-Smartwatch-Monitoring-Continuous-BSW005/dp/B0972BQ2RS/ref=sr_1_180?qid=1672903004&amp;s=computers&amp;sr=1-180</t>
  </si>
  <si>
    <t>B00ZRBWPA0</t>
  </si>
  <si>
    <t>Eveready Red 1012 AAA Batteries - Pack of 10</t>
  </si>
  <si>
    <t>https://www.amazon.in/Eveready-Alkaline-Batteries-1012-Battery/dp/B00ZRBWPA0/ref=sr_1_181?qid=1672903004&amp;s=computers&amp;sr=1-181</t>
  </si>
  <si>
    <t>B0B2DD66GS</t>
  </si>
  <si>
    <t>SanDisk Extreme microSD UHS I Card 128GB for 4K Video on Smartphones,Action Cams 190MB/s Read,90MB/s Write</t>
  </si>
  <si>
    <t>https://www.amazon.in/SanDisk-Extreme-microSD-Smartphones-Action/dp/B0B2DD66GS/ref=sr_1_182?qid=1672903004&amp;s=computers&amp;sr=1-182</t>
  </si>
  <si>
    <t>B09M869Z5V</t>
  </si>
  <si>
    <t>Portronics MPORT 31C 4-in-1 USB Hub (Type C to 4 USB-A Ports) with Fast Data Transfer</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</si>
  <si>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</si>
  <si>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</si>
  <si>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</si>
  <si>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OutdoorSpeakers</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</si>
  <si>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</si>
  <si>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</si>
  <si>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</si>
  <si>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LaptopSleeves&amp;Slipcases</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</si>
  <si>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</si>
  <si>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</si>
  <si>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</si>
  <si>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ExternalMemoryCardReaders</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</si>
  <si>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</si>
  <si>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</si>
  <si>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</si>
  <si>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https://www.amazon.in/TP-Link-Archer-C20-Wireless-Router/dp/B0759QMF85/ref=sr_1_187?qid=1672903004&amp;s=computers&amp;sr=1-187</t>
  </si>
  <si>
    <t>B00LM4X0KU</t>
  </si>
  <si>
    <t>Parker Quink Ink Bottle, Blue</t>
  </si>
  <si>
    <t>BottledInk</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</si>
  <si>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</si>
  <si>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</si>
  <si>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 Laptops Black(Black)</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</si>
  <si>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</si>
  <si>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</si>
  <si>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</si>
  <si>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https://www.amazon.in/Logitech-MK215-Wireless-Keyboard-Mouse/dp/B012MQS060/ref=sr_1_190?qid=1672903004&amp;s=computers&amp;sr=1-190</t>
  </si>
  <si>
    <t>B01MF8MB65</t>
  </si>
  <si>
    <t>boAt Bassheads 225 in Ear Wired Earphones with Mic(Blue)</t>
  </si>
  <si>
    <t>https://www.amazon.in/boAt-BassHeads-225-Special-Headphones/dp/B01MF8MB65/ref=sr_1_191?qid=1672903004&amp;s=computers&amp;sr=1-191</t>
  </si>
  <si>
    <t>B00LHZWD0C</t>
  </si>
  <si>
    <t>Luxor 5 Subject Single Ruled Notebook - A4, 70 GSM, 300 pages</t>
  </si>
  <si>
    <t>CompositionNotebooks</t>
  </si>
  <si>
    <t>https://www.amazon.in/Luxor-Subject-Single-Ruled-Notebook/dp/B00LHZWD0C/ref=sr_1_193?qid=1672903005&amp;s=computers&amp;sr=1-193</t>
  </si>
  <si>
    <t>B08QDPB1SL</t>
  </si>
  <si>
    <t>Duracell Chhota Power AA Battery Set of 10 Pcs</t>
  </si>
  <si>
    <t>https://www.amazon.in/Duracell-Chhota-Power-Battery-Set/dp/B08QDPB1SL/ref=sr_1_194?qid=1672903005&amp;s=computers&amp;sr=1-194</t>
  </si>
  <si>
    <t>B07BRKK9JQ</t>
  </si>
  <si>
    <t>Zebronics Zeb-Transformer Gaming Keyboard and Mouse Combo (USB, Braided Cable)</t>
  </si>
  <si>
    <t>https://www.amazon.in/Zebronics-Transformer-Gaming-Multimedia-Keyboard/dp/B07BRKK9JQ/ref=sr_1_195?qid=1672903005&amp;s=computers&amp;sr=1-195</t>
  </si>
  <si>
    <t>B01EZ0X3L8</t>
  </si>
  <si>
    <t>SanDisk Ultra 64 GB USB Pen Drives (SDDDC2-064G-I35, Black, Silver)</t>
  </si>
  <si>
    <t>https://www.amazon.in/SanDisk-Ultra-SDDDC2-064G-G46-Drives-Silver/dp/B01EZ0X3L8/ref=sr_1_196?qid=1672903005&amp;s=computers&amp;sr=1-196</t>
  </si>
  <si>
    <t>B00LM4W1N2</t>
  </si>
  <si>
    <t>Parker Classic Gold Gold Trim Ball Pen</t>
  </si>
  <si>
    <t>RetractableBallpointPens</t>
  </si>
  <si>
    <t>https://www.amazon.in/Parker-Classic-Gold-Ball-Pen/dp/B00LM4W1N2/ref=sr_1_197?qid=1672903005&amp;s=computers&amp;sr=1-197</t>
  </si>
  <si>
    <t>B08YD264ZS</t>
  </si>
  <si>
    <t>Tarkan Portable Folding Laptop Desk for Bed, Lapdesk with Handle, Drawer, Cup &amp; Mobile/Tablet Holder for Study, Eating, Work (Black)</t>
  </si>
  <si>
    <t>https://www.amazon.in/Tarkan-Portable-Folding-Laptop-Lapdesk/dp/B08YD264ZS/ref=sr_1_200?qid=1672903005&amp;s=computers&amp;sr=1-200</t>
  </si>
  <si>
    <t>B094JNXNPV</t>
  </si>
  <si>
    <t>Ambrane Unbreakable 3 in 1 Fast Charging Braided Multipurpose Cable for Speaker with 2.1 A Speed - 1.25 meter, Black</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</si>
  <si>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</si>
  <si>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</si>
  <si>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</si>
  <si>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EthernetCables</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</si>
  <si>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</si>
  <si>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</si>
  <si>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</si>
  <si>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https://www.amazon.in/HP-Multimedia-Wireless-Keyboard-4SC12PA/dp/B07V82W5CN/ref=sr_1_203?qid=1672903005&amp;s=computers&amp;sr=1-203</t>
  </si>
  <si>
    <t>B077Z65HSD</t>
  </si>
  <si>
    <t>boAt A400 USB Type-C to USB-A 2.0 Male Data Cable, 2 Meter (Black)</t>
  </si>
  <si>
    <t>https://www.amazon.in/A400-Type-C-Cable-Meter-Black/dp/B077Z65HSD/ref=sr_1_204?qid=1672903005&amp;s=computers&amp;sr=1-204</t>
  </si>
  <si>
    <t>B08HD7JQHX</t>
  </si>
  <si>
    <t>HUMBLE Dynamic Lapel Collar Mic Voice Recording Filter Microphone for Singing Youtube SmartPhones, Black</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</si>
  <si>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</si>
  <si>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</si>
  <si>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</si>
  <si>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</si>
  <si>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</si>
  <si>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</si>
  <si>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</si>
  <si>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</si>
  <si>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</si>
  <si>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https://www.amazon.in/Wireless-Connection-Battery-Ambidextrous-Suitable/dp/B09ZHCJDP1/ref=sr_1_209?qid=1672903005&amp;s=computers&amp;sr=1-209</t>
  </si>
  <si>
    <t>B08C4Z69LN</t>
  </si>
  <si>
    <t>Crucial RAM 8GB DDR4 3200MHz CL22 (or 2933MHz or 2666MHz) Laptop Memory CT8G4SFRA32A</t>
  </si>
  <si>
    <t>Components</t>
  </si>
  <si>
    <t>Memory</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</si>
  <si>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</si>
  <si>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</si>
  <si>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</si>
  <si>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UninterruptedPowerSupplies</t>
  </si>
  <si>
    <t>https://www.amazon.in/APC-BX600C-600VA-230V-Back/dp/B016XVRKZM/ref=sr_1_211?qid=1672903005&amp;s=computers&amp;sr=1-211</t>
  </si>
  <si>
    <t>B00LHZW3XY</t>
  </si>
  <si>
    <t>Luxor 5 Subject Single Ruled Notebook - A5 Size, 70 GSM, 300 Pages</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</si>
  <si>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</si>
  <si>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</si>
  <si>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</si>
  <si>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https://www.amazon.in/Zebronics-Zeb-Jaguar-Wireless-Precision-Ambidextrous/dp/B098JYT4SY/ref=sr_1_214?qid=1672903005&amp;s=computers&amp;sr=1-214</t>
  </si>
  <si>
    <t>B08CFCK6CW</t>
  </si>
  <si>
    <t>Boult Audio Truebuds with 30H Playtime, IPX7 Waterproof, Lightning Boult™ Type C Fast Charging (10 Min=100Mins), BoomX™ Tech Rich Bass, Pro+ Calling HD Mic, Touch Controls in Ear Earbuds TWS (Grey)</t>
  </si>
  <si>
    <t>https://www.amazon.in/Boult-Audio-TrueBuds-Wireless-Waterproof/dp/B08CFCK6CW/ref=sr_1_215?qid=1672903005&amp;s=computers&amp;sr=1-215</t>
  </si>
  <si>
    <t>B09P564ZTJ</t>
  </si>
  <si>
    <t>Wembley LCD Writing Pad/Tab | Writing, Drawing, Reusable, Portable Pad with Colorful Letters | 9 Inch Graphic Tablet (Assorted)</t>
  </si>
  <si>
    <t>https://www.amazon.in/Wembley-LCD-Writing-Tablet-8-5/dp/B09P564ZTJ/ref=sr_1_216?qid=1672903005&amp;s=computers&amp;sr=1-216</t>
  </si>
  <si>
    <t>B07MSLTW8Z</t>
  </si>
  <si>
    <t>Gizga Essentials Multi-Purpose Portable &amp; Foldable Wooden Desk for Bed Tray, Laptop Table, Study Table (Black)</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</si>
  <si>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</si>
  <si>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</si>
  <si>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</si>
  <si>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https://www.amazon.in/DASITON-Flexible-Ambient-Portable-Outdoor/dp/B09N6TTHT6/ref=sr_1_218?qid=1672903006&amp;s=computers&amp;sr=1-218</t>
  </si>
  <si>
    <t>B09W5XR9RT</t>
  </si>
  <si>
    <t>Duracell USB C To Lightning Apple Certified (Mfi) Braided Sync &amp; Charge Cable For Iphone, Ipad And Ipod. Fast Charging Lightning Cable, 3.9 Feet (1.2M) - Black</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</si>
  <si>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</si>
  <si>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</si>
  <si>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</si>
  <si>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</si>
  <si>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</si>
  <si>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</si>
  <si>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</si>
  <si>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</si>
  <si>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</si>
  <si>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Cases</t>
  </si>
  <si>
    <t>https://www.amazon.in/Essentials-G11-Earphone-Carrying-Earphones/dp/B07DKZCZ89/ref=sr_1_222?qid=1672903006&amp;s=computers&amp;sr=1-222</t>
  </si>
  <si>
    <t>B08GYG6T12</t>
  </si>
  <si>
    <t>SanDisk Ultra SDHC UHS-I Card 32GB 120MB/s R for DSLR Cameras, for Full HD Recording, 10Y Warranty</t>
  </si>
  <si>
    <t>SecureDigitalCards</t>
  </si>
  <si>
    <t>https://www.amazon.in/SanDisk-Ultra-UHS-I-Memory-SDSDUN4-032G-GN6IN/dp/B08GYG6T12/ref=sr_1_223?qid=1672903006&amp;s=computers&amp;sr=1-223</t>
  </si>
  <si>
    <t>B09BN2NPBD</t>
  </si>
  <si>
    <t>DIGITEK® (DRL-14C) Professional (31cm) Dual Temperature LED Ring Light with Tripod Stand &amp; Mini Tripod for YouTube, Photo-Shoot, Video Shoot, Live Stream, Makeup, Vlogging &amp; More</t>
  </si>
  <si>
    <t>SelfieLights</t>
  </si>
  <si>
    <t>https://www.amazon.in/DIGITEK%C2%AE-DRL-14C-Temperature-Photo-Shoot-Vlogging/dp/B09BN2NPBD/ref=sr_1_224?qid=1672903006&amp;s=computers&amp;sr=1-224</t>
  </si>
  <si>
    <t>B00J4YG0PC</t>
  </si>
  <si>
    <t>Classmate Long Notebook - 140 Pages, Single Line, 297mm x 210mm (Pack of 12)</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</si>
  <si>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</si>
  <si>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</si>
  <si>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</si>
  <si>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</si>
  <si>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</si>
  <si>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</si>
  <si>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</si>
  <si>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</si>
  <si>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</si>
  <si>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</si>
  <si>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</si>
  <si>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</si>
  <si>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Webcams</t>
  </si>
  <si>
    <t>https://www.amazon.in/Logitech-C270-HD-Webcam-Black/dp/B008QS9J6Y/ref=sr_1_230?qid=1672903006&amp;s=computers&amp;sr=1-230</t>
  </si>
  <si>
    <t>B09M8888DM</t>
  </si>
  <si>
    <t>Portronics MPORT 31 4 Ports USB Hub (USB A to 4 USB-A Ports 4 in 1 Connector USB HUB(Grey)</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</si>
  <si>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</si>
  <si>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</si>
  <si>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</si>
  <si>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https://www.amazon.in/AirCase-15-6-Inch-MacBook-Protective-Neoprene/dp/B07Z1YVP72/ref=sr_1_232?qid=1672903006&amp;s=computers&amp;sr=1-232</t>
  </si>
  <si>
    <t>B082FTPRSK</t>
  </si>
  <si>
    <t>Zinq Five Fan Cooling Pad and Laptop Stand with Dual Height Adjustment and Dual USB Port Extension (Black)</t>
  </si>
  <si>
    <t>CoolingPads</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</si>
  <si>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</si>
  <si>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</si>
  <si>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</si>
  <si>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</si>
  <si>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</si>
  <si>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</si>
  <si>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https://www.amazon.in/HP-Z3700-Wireless-Mouse-Modern/dp/B01KK0HU3Y/ref=sr_1_236?qid=1672903006&amp;s=computers&amp;sr=1-236</t>
  </si>
  <si>
    <t>B07JF9B592</t>
  </si>
  <si>
    <t>MAONO AU-400 Lavalier Auxiliary Omnidirectional Microphone (Black)</t>
  </si>
  <si>
    <t>https://www.amazon.in/Maono-AU-400-Lavalier-Microphone-Black/dp/B07JF9B592/ref=sr_1_237?qid=1672903006&amp;s=computers&amp;sr=1-237</t>
  </si>
  <si>
    <t>B086394NY5</t>
  </si>
  <si>
    <t>TABLE MAGIC Multipurpose Laptop Table Mat Finish Top Work at Home Study Table (TM Regular- Black) (Alloy Steel)</t>
  </si>
  <si>
    <t>LaptopAccessories</t>
  </si>
  <si>
    <t>https://www.amazon.in/TABLE-MAGIC-Midnight-Adjustable-Multiple/dp/B086394NY5/ref=sr_1_238?qid=1672903006&amp;s=computers&amp;sr=1-238</t>
  </si>
  <si>
    <t>B017PDR9N0</t>
  </si>
  <si>
    <t>GIZGA Essentials Portable Tabletop Tablet Stand Mobile Holder, Desktop Stand, Cradle, Dock for iPad, Smartphone, Kindle, E-Reader, Fully Foldable, Adjustable Angle, Anti-Slip Pads, Black</t>
  </si>
  <si>
    <t>https://www.amazon.in/Generic-Multi-Angle-tablets-Samsung-paperwhite-Phablets/dp/B017PDR9N0/ref=sr_1_240?qid=1672903006&amp;s=computers&amp;sr=1-240</t>
  </si>
  <si>
    <t>B07NC12T2R</t>
  </si>
  <si>
    <t>boAt Stone 650 10W Bluetooth Speaker with Upto 7 Hours Playback, IPX5 and Integrated Controls (Blue)</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</si>
  <si>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</si>
  <si>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</si>
  <si>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</si>
  <si>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t>
  </si>
  <si>
    <t>Electrical</t>
  </si>
  <si>
    <t>Adapters&amp;Multi-Outlets</t>
  </si>
  <si>
    <t>https://www.amazon.in/ESnipe-Mart-Worldwide-Protected-Electrical/dp/B07WKBD37W/ref=sr_1_242?qid=1672903007&amp;s=computers&amp;sr=1-242</t>
  </si>
  <si>
    <t>B08JMC1988</t>
  </si>
  <si>
    <t>boAt Stone 180 5W Bluetooth Speaker with Upto 10 Hours Playback, 1.75" Driver, IPX7 &amp; TWS Feature(Black)</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</si>
  <si>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</si>
  <si>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</si>
  <si>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</si>
  <si>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</si>
  <si>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</si>
  <si>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</si>
  <si>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ColouredPaper</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</si>
  <si>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</si>
  <si>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</si>
  <si>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</si>
  <si>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https://www.amazon.in/Cuzor-Router-Switching-Moisture-Resistant/dp/B07ZKD8T1Q/ref=sr_1_246?qid=1672903007&amp;s=computers&amp;sr=1-246</t>
  </si>
  <si>
    <t>B07G3YNLJB</t>
  </si>
  <si>
    <t>Crucial BX500 240GB 3D NAND SATA 6.35 cm (2.5-inch) SSD (CT240BX500SSD1)</t>
  </si>
  <si>
    <t>InternalSolidStateDrives</t>
  </si>
  <si>
    <t>https://www.amazon.in/Crucial-BX500-240GB-2-5-inch-CT240BX500SSD1/dp/B07G3YNLJB/ref=sr_1_247?qid=1672903007&amp;s=computers&amp;sr=1-247</t>
  </si>
  <si>
    <t>B00P93X2H6</t>
  </si>
  <si>
    <t>Classmate Pulse Spiral Notebook - 240 mm x 180 mm, Soft Cover, 200 Pages, Unruled</t>
  </si>
  <si>
    <t>https://www.amazon.in/Classmate-Pulse-Spiral-Notebook-Unruled/dp/B00P93X2H6/ref=sr_1_248?qid=1672903007&amp;s=computers&amp;sr=1-248</t>
  </si>
  <si>
    <t>B0798PJPCL</t>
  </si>
  <si>
    <t>Portronics My buddy plus Adjustable Laptop cooling Table (Brown)</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</si>
  <si>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</si>
  <si>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</si>
  <si>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</si>
  <si>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</si>
  <si>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</si>
  <si>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</si>
  <si>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https://www.amazon.in/INOVERA-Extended-Rubber-Stitched-Computer/dp/B09MZ6WZ6V/ref=sr_1_251?qid=1672903007&amp;s=computers&amp;sr=1-251</t>
  </si>
  <si>
    <t>B094QZLJQ6</t>
  </si>
  <si>
    <t>Seagate One Touch 2TB External HDD with Password Protection – Black, for Windows and Mac, with 3 yr Data Recovery Services, and 4 Months Adobe CC Photography (STKY2000400)</t>
  </si>
  <si>
    <t>https://www.amazon.in/Seagate-Touch-External-Password-Protection/dp/B094QZLJQ6/ref=sr_1_252?qid=1672903007&amp;s=computers&amp;sr=1-252</t>
  </si>
  <si>
    <t>B07L3NDN24</t>
  </si>
  <si>
    <t>ZEBRONICS Zeb-Fame 5watts 2.0 Multi Media Speakers with AUX, USB and Volume Control (Black)</t>
  </si>
  <si>
    <t>MultimediaSpeakerSystems</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</si>
  <si>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</si>
  <si>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</si>
  <si>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</si>
  <si>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https://www.amazon.in/TVARA-Writing-Tablet-Inch-Note/dp/B08WD18LJZ/ref=sr_1_254?qid=1672903007&amp;s=computers&amp;sr=1-254</t>
  </si>
  <si>
    <t>B06XDKWLJH</t>
  </si>
  <si>
    <t>Western Digital WD 1.5TB Elements Portable Hard Disk Drive, USB 3.0, Compatible with PC, PS4 and Xbox, External HDD (WDBU6Y0015BBK-WESN)</t>
  </si>
  <si>
    <t>https://www.amazon.in/Elements-Portable-External-Drive-Black/dp/B06XDKWLJH/ref=sr_1_256?qid=1672903007&amp;s=computers&amp;sr=1-256</t>
  </si>
  <si>
    <t>B01J1CFO5I</t>
  </si>
  <si>
    <t>Redgear MP35 Speed-Type Gaming Mousepad (Black/Red)</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</si>
  <si>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</si>
  <si>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</si>
  <si>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</si>
  <si>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</si>
  <si>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</si>
  <si>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</si>
  <si>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https://www.amazon.in/Logitech-Multi-Device-Bluetooth-Keyboard-Black/dp/B00MUTWLW4/ref=sr_1_259?qid=1672903007&amp;s=computers&amp;sr=1-259</t>
  </si>
  <si>
    <t>B017NC2IPM</t>
  </si>
  <si>
    <t>RESONATE RouterUPS CRU12V2A | Zero Drop | UPS for WiFi Router | Mini UPS | Up to 4 Hours PowerBackup | Battery Replacement Program | Router UPS Compatible with 12V &lt;2A Routers, FTTH, Modem, Set Top Box, Alexa, Mini Camera</t>
  </si>
  <si>
    <t>https://www.amazon.in/Resonate-RouterUPS-CRU12V2-Backup-Router/dp/B017NC2IPM/ref=sr_1_261?qid=1672903007&amp;s=computers&amp;sr=1-261</t>
  </si>
  <si>
    <t>B00N1U7JXM</t>
  </si>
  <si>
    <t>3M Post-it Sticky Note Cube, 200 Sheets (4 Colors x 50 Sheets) | 3" x 3" Size | For notes, reminders, study, school and organizing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</si>
  <si>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</si>
  <si>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</si>
  <si>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</si>
  <si>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</si>
  <si>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</si>
  <si>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</si>
  <si>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https://www.amazon.in/Fire-Boltt-Bluetooth-Smartwatch-Monitoring-Assistant/dp/B09RKFBCV7/ref=sr_1_265?qid=1672903008&amp;s=computers&amp;sr=1-265</t>
  </si>
  <si>
    <t>B08KHM9VBJ</t>
  </si>
  <si>
    <t>Airtel AMF-311WW Data Card (Black), 4g Hotspot Support with 2300 Mah Battery</t>
  </si>
  <si>
    <t>DataCards&amp;Dongles</t>
  </si>
  <si>
    <t>https://www.amazon.in/Airtel-DigitalTV-Hotspot-Router-ongle/dp/B08KHM9VBJ/ref=sr_1_266?qid=1672903008&amp;s=computers&amp;sr=1-266</t>
  </si>
  <si>
    <t>B01IOZUHRS</t>
  </si>
  <si>
    <t>Gizga Essentials Laptop Power Cable Cord- 3 Pin Adapter Isi Certified(1 Meter/3.3 Feet)</t>
  </si>
  <si>
    <t>LaptopChargers&amp;PowerSupplies</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</si>
  <si>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</si>
  <si>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</si>
  <si>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</si>
  <si>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https://www.amazon.in/Logitech-Wireless-mk270r-Keyboard-Mouse/dp/B00CEQEGPI/ref=sr_1_268?qid=1672903008&amp;s=computers&amp;sr=1-268</t>
  </si>
  <si>
    <t>B08B6XWQ1C</t>
  </si>
  <si>
    <t>DIGITEK® (DTR-200MT) (18 CM) Portable &amp; Flexible Mini Tripod with Mobile Holder &amp; 360 Degree Ball Head, For Smart Phones, Compact Cameras, GoPro, Maximum Operating Height: 7.87 Inch, Maximum Load Upto: 1 kgs</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</si>
  <si>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</si>
  <si>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</si>
  <si>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</si>
  <si>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https://www.amazon.in/Technotech-Ethernet-Network-Patch-Cable/dp/B01DGVKBC6/ref=sr_1_270?qid=1672903008&amp;s=computers&amp;sr=1-270</t>
  </si>
  <si>
    <t>B08JD36C6H</t>
  </si>
  <si>
    <t>Kingston DataTraveler Exodia DTX/32 GB Pen Drive USB 3.2 Gen 1 (Multicolor)</t>
  </si>
  <si>
    <t>https://www.amazon.in/Kingston-DataTraveler-Exodia-DTX-Flash/dp/B08JD36C6H/ref=sr_1_272?qid=1672903008&amp;s=computers&amp;sr=1-272</t>
  </si>
  <si>
    <t>B00E3DVQFS</t>
  </si>
  <si>
    <t>Duracell Rechargeable AA 2500mAh Batteries, 4 Pcs</t>
  </si>
  <si>
    <t>https://www.amazon.in/Duracell-Ultra-5000688-Rechargeable-Batteries/dp/B00E3DVQFS/ref=sr_1_274?qid=1672903008&amp;s=computers&amp;sr=1-274</t>
  </si>
  <si>
    <t>B00BN5SNF0</t>
  </si>
  <si>
    <t>ENVIE® (AA10004PLNi-CD) AA Rechargeable Batteries, Low Self Discharge, AA 1000mAh Ni-CD (Pack of 4)</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</si>
  <si>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</si>
  <si>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</si>
  <si>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</si>
  <si>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https://www.amazon.in/Zebronics-Zeb-Buds-30-Multifunction-Lightweight/dp/B09SGGRKV8/ref=sr_1_278?qid=1672903008&amp;s=computers&amp;sr=1-278</t>
  </si>
  <si>
    <t>B084BR3QX8</t>
  </si>
  <si>
    <t>LAPSTER Accessories Power Cable Cord 2 Pin Laptop Adapter and Tape Recorder 1.5M</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</si>
  <si>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</si>
  <si>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</si>
  <si>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</si>
  <si>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https://www.amazon.in/Portronics-Ruffpad-Re-Writable-Writing-Battery/dp/B09VC2D2WG/ref=sr_1_283?qid=1672903008&amp;s=computers&amp;sr=1-283</t>
  </si>
  <si>
    <t>B09163Q5CD</t>
  </si>
  <si>
    <t>Verilux® USB C Hub Multiport Adapter- 6 in 1 Portable Aluminum Type C Hub with 4K HDMI Output, USB 2.0/3.0 Ports, SD/Micro SD Card Reader Compatible for MacBook Pro 2016-2020, MacBook Air 2018-2020, Type-C Devices</t>
  </si>
  <si>
    <t>https://www.amazon.in/Verilux%C2%AE-Multiport-Adapter-Portable-Compatible/dp/B09163Q5CD/ref=sr_1_284?qid=1672903008&amp;s=computers&amp;sr=1-284</t>
  </si>
  <si>
    <t>B08K9PX15C</t>
  </si>
  <si>
    <t>Zebronics Zeb Wonderbar 10 USB Powered 2.0 Computer Speaker with RGB Lights</t>
  </si>
  <si>
    <t>PCSpeakers</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</si>
  <si>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</si>
  <si>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</si>
  <si>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</si>
  <si>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</si>
  <si>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</si>
  <si>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</si>
  <si>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https://www.amazon.in/Anjaney-Enterprise-Multipurpose-Breakfast-Ergonomic/dp/B09Z7YGV3R/ref=sr_1_287?qid=1672903008&amp;s=computers&amp;sr=1-287</t>
  </si>
  <si>
    <t>B00N3XLDW0</t>
  </si>
  <si>
    <t>ENVIE ECR-20 Charger for AA &amp; AAA Rechargeable Batteries</t>
  </si>
  <si>
    <t>BatteryChargers</t>
  </si>
  <si>
    <t>https://www.amazon.in/ENVIE-ECR-20-Charger-Rechargeable-Batteries/dp/B00N3XLDW0/ref=sr_1_288?qid=1672903008&amp;s=computers&amp;sr=1-288</t>
  </si>
  <si>
    <t>B07Z53L5QL</t>
  </si>
  <si>
    <t>ProElite Faux Leather Smart Flip Case Cover for Apple iPad 10.2" 9th Gen (2021) / 8th Gen / 7th Gen with Stylus Pen, Black</t>
  </si>
  <si>
    <t>https://www.amazon.in/ProElite-Smart-Generation-Stylus-Translucent/dp/B07Z53L5QL/ref=sr_1_289?qid=1672903010&amp;s=computers&amp;sr=1-289</t>
  </si>
  <si>
    <t>B00P93X0VO</t>
  </si>
  <si>
    <t>Classmate Pulse 6 Subject Notebook - Unruled, 300 Pages, Spiral Binding, 240mm*180mm</t>
  </si>
  <si>
    <t>https://www.amazon.in/Classmate-Pulse-Spiral-Notebook-Unruled/dp/B00P93X0VO/ref=sr_1_290?qid=1672903010&amp;s=computers&amp;sr=1-290</t>
  </si>
  <si>
    <t>B07SBGFDX9</t>
  </si>
  <si>
    <t>Pentonic Multicolor Ball Point Pen, Pack of 10</t>
  </si>
  <si>
    <t>StickBallpointPens</t>
  </si>
  <si>
    <t>https://www.amazon.in/Linc-Ball-Point-Pentonic-Multicolor/dp/B07SBGFDX9/ref=sr_1_291?qid=1672903010&amp;s=computers&amp;sr=1-291</t>
  </si>
  <si>
    <t>B07X2L5Z8C</t>
  </si>
  <si>
    <t>Logitech Pebble M350 Wireless Mouse with Bluetooth or USB - Silent, Slim Computer Mouse with Quiet Click for Laptop, Notebook, PC and Mac - Graphite</t>
  </si>
  <si>
    <t>https://www.amazon.in/Logitech-Pebble-M350-Wireless-Bluetooth/dp/B07X2L5Z8C/ref=sr_1_295?qid=1672903010&amp;s=computers&amp;sr=1-295</t>
  </si>
  <si>
    <t>B00VA7YYUO</t>
  </si>
  <si>
    <t>Apsara Platinum Pencils Value Pack - Pack of 20</t>
  </si>
  <si>
    <t>WoodenPencils</t>
  </si>
  <si>
    <t>https://www.amazon.in/Apsara-Platinum-Pencils-Value-Pack/dp/B00VA7YYUO/ref=sr_1_296?qid=1672903010&amp;s=computers&amp;sr=1-296</t>
  </si>
  <si>
    <t>B07L9FW9GF</t>
  </si>
  <si>
    <t>Zebronics Zeb-Power Wired USB Mouse, 3-Button, 1200 DPI Optical Sensor, Plug &amp; Play, for Windows/Mac</t>
  </si>
  <si>
    <t>https://www.amazon.in/Zebronics-Zeb-Power-Wired-Mouse-Black/dp/B07L9FW9GF/ref=sr_1_297?qid=1672903010&amp;s=computers&amp;sr=1-297</t>
  </si>
  <si>
    <t>B08D64C9FN</t>
  </si>
  <si>
    <t>Ant Esports GM320 RGB Optical Wired Gaming Mouse | 8 Programmable Buttons | 12800 DPI</t>
  </si>
  <si>
    <t>https://www.amazon.in/Ant-Esports-GM320-Programmable-Comfortable/dp/B08D64C9FN/ref=sr_1_298?qid=1672903010&amp;s=computers&amp;sr=1-298</t>
  </si>
  <si>
    <t>B00LOD70SC</t>
  </si>
  <si>
    <t>Pilot V7 Liquid Ink Roller Ball Pen (2 Blue + 1 Black)</t>
  </si>
  <si>
    <t>https://www.amazon.in/Pilot-Liquid-Roller-Ball-Black/dp/B00LOD70SC/ref=sr_1_300?qid=1672903010&amp;s=computers&amp;sr=1-300</t>
  </si>
  <si>
    <t>B09X76VL5L</t>
  </si>
  <si>
    <t>boAt Airdopes 191G True Wireless Earbuds with ENx™ Tech Equipped Quad Mics, Beast™ Mode(Low Latency- 65ms) for Gaming, 2x6mm Dual Drivers, 30H Playtime, IPX5, IWP™, Appealing Case LEDs(Sport Blue)</t>
  </si>
  <si>
    <t>https://www.amazon.in/boAt-Airdopes-191G-Wireless-Appealing/dp/B09X76VL5L/ref=sr_1_301?qid=1672903010&amp;s=computers&amp;sr=1-301</t>
  </si>
  <si>
    <t>B091JF2TFD</t>
  </si>
  <si>
    <t>Boult Audio BassBuds Oak in-Ear Wired Earphones with 10mm Extra Bass Driver and HD Sound with mic(Brown)</t>
  </si>
  <si>
    <t>https://www.amazon.in/Boult-Audio-BassBuds-Oak-Earphones/dp/B091JF2TFD/ref=sr_1_302?qid=1672903010&amp;s=computers&amp;sr=1-302</t>
  </si>
  <si>
    <t>B07S7DCJKS</t>
  </si>
  <si>
    <t>IT2M Designer Mouse Pad for Laptop/Computer (9.2 X 7.6 Inches, 12788)</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</si>
  <si>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</si>
  <si>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</si>
  <si>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</si>
  <si>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https://www.amazon.in/Noise-ColorFit-Bluetooth-Resolution-Smartwatch/dp/B09NC2TY11/ref=sr_1_305?qid=1672903010&amp;s=computers&amp;sr=1-305</t>
  </si>
  <si>
    <t>B0BDS8MY8J</t>
  </si>
  <si>
    <t>Lapster Caddy for ssd and HDD, Optical Bay 2nd Hard Drive Caddy, Caddy 9.5mm for Laptop</t>
  </si>
  <si>
    <t>InternalHardDrives</t>
  </si>
  <si>
    <t>https://www.amazon.in/Lapster-Caddy-Optical-Drive-Laptop/dp/B0BDS8MY8J/ref=sr_1_306?qid=1672903010&amp;s=computers&amp;sr=1-306</t>
  </si>
  <si>
    <t>B09X7DY7Q4</t>
  </si>
  <si>
    <t>SanDisk Extreme SD UHS I 64GB Card for 4K Video for DSLR and Mirrorless Cameras 170MB/s Read &amp; 80MB/s Write</t>
  </si>
  <si>
    <t>https://www.amazon.in/SanDisk-Extreme-Video-Mirrorless-Cameras/dp/B09X7DY7Q4/ref=sr_1_307?qid=1672903010&amp;s=computers&amp;sr=1-307</t>
  </si>
  <si>
    <t>B09YV575RK</t>
  </si>
  <si>
    <t>Fire-Boltt Ring Pro Bluetooth Calling, 1.75” 320*385px High Res, IP68 &amp; SpO2 Monitoring, Pin Code Locking Functionality &amp; Split Screen Access, Built in Mic &amp; Speaker for HD Calls, Black, Free Size</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</si>
  <si>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</si>
  <si>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</si>
  <si>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</si>
  <si>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</si>
  <si>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</si>
  <si>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</si>
  <si>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https://www.amazon.in/Boult-Audio-Bluetooth-Resistant-Assistant/dp/B09ND94ZRG/ref=sr_1_310?qid=1672903010&amp;s=computers&amp;sr=1-310</t>
  </si>
  <si>
    <t>B00P93X6EK</t>
  </si>
  <si>
    <t>Classmate Soft Cover 6 Subject Spiral Binding Notebook, Unruled, 300 Pages</t>
  </si>
  <si>
    <t>https://www.amazon.in/Classmate-Pulse-Spiral-Notebook-Unruled/dp/B00P93X6EK/ref=sr_1_311?qid=1672903010&amp;s=computers&amp;sr=1-311</t>
  </si>
  <si>
    <t>B07KRCW6LZ</t>
  </si>
  <si>
    <t>TP-Link Nano AC600 USB Wi-Fi Adapter(Archer T2U Nano)- 2.4G/5G Dual Band Wireless Network Adapter for PC Desktop Laptop, Mini Travel Size, Supports Windows 11,10, 8.1, 8, 7, XP/Mac OS 10.9-10.15</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</si>
  <si>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</si>
  <si>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</si>
  <si>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</si>
  <si>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</si>
  <si>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</si>
  <si>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</si>
  <si>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</si>
  <si>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</si>
  <si>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</si>
  <si>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</si>
  <si>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</si>
  <si>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</si>
  <si>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Printers</t>
  </si>
  <si>
    <t>https://www.amazon.in/HP-DeskJet-Inkjet-Colour-Printer/dp/B08D9NDZ1Y/ref=sr_1_317?qid=1672903011&amp;s=computers&amp;sr=1-317</t>
  </si>
  <si>
    <t>B0085IATT6</t>
  </si>
  <si>
    <t>D-Link DIR-615 Wi-fi Ethernet-N300 Single_band 300Mbps Router, Mobile App Support, Router | AP | Repeater | Client Modes(Black)</t>
  </si>
  <si>
    <t>https://www.amazon.in/D-Link-DIR-615-Wireless-N300-Router-Black/dp/B0085IATT6/ref=sr_1_320?qid=1672903011&amp;s=computers&amp;sr=1-320</t>
  </si>
  <si>
    <t>B08WJ86PV2</t>
  </si>
  <si>
    <t>RPM Euro Games Gaming Mousepad Speed Type Extended Large (Size - 800 mm x 300 mm x 3 mm)</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</si>
  <si>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</si>
  <si>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</si>
  <si>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</si>
  <si>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</si>
  <si>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</si>
  <si>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</si>
  <si>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https://www.amazon.in/Lenovo-Megapixel-Ultra-Wide-Rotation-Plug-n-Play/dp/B09P22HXH6/ref=sr_1_323?qid=1672903011&amp;s=computers&amp;sr=1-323</t>
  </si>
  <si>
    <t>B00LM4X3XE</t>
  </si>
  <si>
    <t>Parker Quink Ink Bottle (Black)</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</si>
  <si>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</si>
  <si>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</si>
  <si>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</si>
  <si>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https://www.amazon.in/Sony-Headphones-Customizable-Equalizer-DSEE-Upscale/dp/B09YLFHFDW/ref=sr_1_325?qid=1672903011&amp;s=computers&amp;sr=1-325</t>
  </si>
  <si>
    <t>B07YWS9SP9</t>
  </si>
  <si>
    <t>Zebronics, ZEB-NC3300 USB Powered Laptop Cooling Pad with Dual Fan, Dual USB Port and Blue LED Lights</t>
  </si>
  <si>
    <t>https://www.amazon.in/Zebronics-ZEB-NC3300-Powered-Laptop-Cooling/dp/B07YWS9SP9/ref=sr_1_326?qid=1672903011&amp;s=computers&amp;sr=1-326</t>
  </si>
  <si>
    <t>B08WLY8V9S</t>
  </si>
  <si>
    <t>Tukzer Gel Mouse Pad Wrist Rest Memory-Foam Ergonomic Mousepad| Cushion Wrist Support &amp; Pain Relief| Suitable for Gaming, Computer, Laptop, Home &amp; Office Non-Slip Rubber Base (Blue)</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</si>
  <si>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</si>
  <si>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</si>
  <si>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</si>
  <si>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</si>
  <si>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</si>
  <si>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</si>
  <si>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https://www.amazon.in/Robustrion-Smart-Trifold-Stand-Generation/dp/B07YNHCW6N/ref=sr_1_331?qid=1672903011&amp;s=computers&amp;sr=1-331</t>
  </si>
  <si>
    <t>B01MQ2A86A</t>
  </si>
  <si>
    <t>Logitech M331 Silent Plus Wireless Mouse, 2.4GHz with USB Nano Receiver, 1000 DPI Optical Tracking, 3 Buttons, 24 Month Life Battery, PC/Mac/Laptop - Black</t>
  </si>
  <si>
    <t>https://www.amazon.in/Logitech-Silent-Wireless-Mouse-Black/dp/B01MQ2A86A/ref=sr_1_333?qid=1672903011&amp;s=computers&amp;sr=1-333</t>
  </si>
  <si>
    <t>B00KIE28X0</t>
  </si>
  <si>
    <t>Camel Artist Acrylic Color Box - 9ml Tubes, 12 Shades</t>
  </si>
  <si>
    <t>https://www.amazon.in/Camel-Camlin-Kokuyo-Acrylic-Color/dp/B00KIE28X0/ref=sr_1_334?qid=1672903011&amp;s=computers&amp;sr=1-334</t>
  </si>
  <si>
    <t>B0BHYJ8CVF</t>
  </si>
  <si>
    <t>Portronics Key2 Combo Multimedia USB Wireless Keyboard and Mouse Set with 2.4 GHz Wireless Technology, Soft &amp; Silent Button, Compact Size (Grey)</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</si>
  <si>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</si>
  <si>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</si>
  <si>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</si>
  <si>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</si>
  <si>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</si>
  <si>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</si>
  <si>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https://www.amazon.in/Zebronics-Zeb-Sound-N1-Bluetooth-Assistant/dp/B0B2931FCV/ref=sr_1_338?qid=1672903012&amp;s=computers&amp;sr=1-338</t>
  </si>
  <si>
    <t>B09TMZ1MF8</t>
  </si>
  <si>
    <t>Western Digital WD Green SATA 240GB Internal SSD Solid State Drive - SATA 6Gb/s 2.5 inches - WDS240G3G0A</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</si>
  <si>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</si>
  <si>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</si>
  <si>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</si>
  <si>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https://www.amazon.in/Classmate-Octane-Pen-Neon-Refills/dp/B07VV37FT4/ref=sr_1_340?qid=1672903012&amp;s=computers&amp;sr=1-340</t>
  </si>
  <si>
    <t>B07P681N66</t>
  </si>
  <si>
    <t>TP-Link AC600 600 Mbps WiFi Wireless Network USB Adapter for Desktop PC with 2.4GHz/5GHz High Gain Dual Band 5dBi Antenna Wi-Fi, Supports Windows 11/10/8.1/8/7/XP, Mac OS 10.15 and earlier (Archer T2U Plus)</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</si>
  <si>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</si>
  <si>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</si>
  <si>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</si>
  <si>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Pens</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</si>
  <si>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</si>
  <si>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</si>
  <si>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</si>
  <si>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</si>
  <si>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</si>
  <si>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</si>
  <si>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https://www.amazon.in/Logitech-G102-Customizable-Lighting-Programmable/dp/B08LT9BMPP/ref=sr_1_347?qid=1672903012&amp;s=computers&amp;sr=1-347</t>
  </si>
  <si>
    <t>B0814ZY6FP</t>
  </si>
  <si>
    <t>Zebronics ZEB-VITA Wireless Bluetooth 10W Portable Bar Speaker With Supporting USB, SD Card, AUX, FM, TWS &amp; Call Function</t>
  </si>
  <si>
    <t>https://www.amazon.in/Zebronics-Zeb-Vita-Portable-Speaker-Bluetooth/dp/B0814ZY6FP/ref=sr_1_352?qid=1672903012&amp;s=computers&amp;sr=1-352</t>
  </si>
  <si>
    <t>B09F3PDDRF</t>
  </si>
  <si>
    <t>Lapster USB 3.0 sata Cable for 2.5 inch SSD and HDD , USB 3.0 to SATA III Hard Driver Adapter , sata to USB Cable-(Blue)</t>
  </si>
  <si>
    <t>SATACables</t>
  </si>
  <si>
    <t>https://www.amazon.in/LAPSTER-SATA-CABLE-LAPTOP-DESKTOP/dp/B09F3PDDRF/ref=sr_1_353?qid=1672903012&amp;s=computers&amp;sr=1-353</t>
  </si>
  <si>
    <t>B07X963JNS</t>
  </si>
  <si>
    <t>URBN 10000 mAh Lithium Power Bank UPR10K with 12 Watt Fast Charging, Blue</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</si>
  <si>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</si>
  <si>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</si>
  <si>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</si>
  <si>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https://www.amazon.in/Smart-Camera-Coverage-Intruder-Google/dp/B09LD3116F/ref=sr_1_357?qid=1672903012&amp;s=computers&amp;sr=1-357</t>
  </si>
  <si>
    <t>B08Y5QJTVK</t>
  </si>
  <si>
    <t>Duracell CR2025 3V Lithium Coin Battery, 5 pcs, 2025 Coin Button Cell Battery, DL2025</t>
  </si>
  <si>
    <t>https://www.amazon.in/Duracell-Chhota-Power-Coins-2025-5/dp/B08Y5QJTVK/ref=sr_1_358?qid=1672903012&amp;s=computers&amp;sr=1-358</t>
  </si>
  <si>
    <t>B00LY1FN1K</t>
  </si>
  <si>
    <t>Camel Fabrica Acrylic Ultra Color - 15ml each, 10 Shades</t>
  </si>
  <si>
    <t>https://www.amazon.in/Camel-Camlin-Kokuyo-Fabrica-Acrylic/dp/B00LY1FN1K/ref=sr_1_359?qid=1672903012&amp;s=computers&amp;sr=1-359</t>
  </si>
  <si>
    <t>B07DJ5KYDZ</t>
  </si>
  <si>
    <t>Lenovo GX20L29764 65W Laptop Adapter/Charger with Power Cord for Select Models of Lenovo (Round pin) (Black)</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</si>
  <si>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</si>
  <si>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</si>
  <si>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</si>
  <si>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PCHeadsets</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</si>
  <si>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</si>
  <si>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</si>
  <si>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</si>
  <si>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GamingKeyboards</t>
  </si>
  <si>
    <t>https://www.amazon.in/Redragon-K617-Keyboard-Mechanical-Supported/dp/B09BVCVTBC/ref=sr_1_362?qid=1672903013&amp;s=computers&amp;sr=1-362</t>
  </si>
  <si>
    <t>B07SY4C3TD</t>
  </si>
  <si>
    <t>HP GT 53 XL Cartridge Ink</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</si>
  <si>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</si>
  <si>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</si>
  <si>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</si>
  <si>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</si>
  <si>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</si>
  <si>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</si>
  <si>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SoundbarSpeakers</t>
  </si>
  <si>
    <t>https://www.amazon.in/Zebronics-Zeb-JUKEBAR-3900-Multimedia-Supporting/dp/B08CRRQK6Z/ref=sr_1_366?qid=1672903013&amp;s=computers&amp;sr=1-366</t>
  </si>
  <si>
    <t>B08MTLLSL8</t>
  </si>
  <si>
    <t>boAt Bassheads 102 Wired in Ear Earphones with Mic (Mint Green)</t>
  </si>
  <si>
    <t>https://www.amazon.in/Boat-Bassheads-102-Wired-Earphones/dp/B08MTLLSL8/ref=sr_1_367?qid=1672903013&amp;s=computers&amp;sr=1-367</t>
  </si>
  <si>
    <t>B08Y57TPDM</t>
  </si>
  <si>
    <t>Duracell CR2016 3V Lithium Coin Battery, 5 pcs, 2016 Coin Button Cell Battery, DL2016</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</si>
  <si>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</si>
  <si>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</si>
  <si>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</si>
  <si>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https://www.amazon.in/Security-Bluetooth-Connection-Low-Light-Detection/dp/B09CYTJV3N/ref=sr_1_369?qid=1672903013&amp;s=computers&amp;sr=1-369</t>
  </si>
  <si>
    <t>B07GLNJC25</t>
  </si>
  <si>
    <t>ZEBRONICS Zeb-100HB 4 Ports USB Hub for Laptop, PC Computers, Plug &amp; Play, Backward Compatible - Black</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</si>
  <si>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</si>
  <si>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</si>
  <si>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</si>
  <si>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</si>
  <si>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</si>
  <si>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</si>
  <si>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https://www.amazon.in/ESR-iPad-Screen-Protector-Scratch-Resistant/dp/B07TMCXRFV/ref=sr_1_372?qid=1672903013&amp;s=computers&amp;sr=1-372</t>
  </si>
  <si>
    <t>B00LZPQVMK</t>
  </si>
  <si>
    <t>Parker Vector Standard Chrome Trim Ball Pen (Ink - Black)</t>
  </si>
  <si>
    <t>https://www.amazon.in/Parker-Vector-Standard-Ball-Black/dp/B00LZPQVMK/ref=sr_1_374?qid=1672903013&amp;s=computers&amp;sr=1-374</t>
  </si>
  <si>
    <t>B08X77LM8C</t>
  </si>
  <si>
    <t>Silicone Rubber Earbuds Tips, Eartips, Earpads, Earplugs, for Replacement in Earphones and Bluetooth Medium Size (10 Pcs Black)</t>
  </si>
  <si>
    <t>Earpads</t>
  </si>
  <si>
    <t>https://www.amazon.in/Silicone-Earplugs-Replacement-Earphones-Bluetooth/dp/B08X77LM8C/ref=sr_1_376?qid=1672903013&amp;s=computers&amp;sr=1-376</t>
  </si>
  <si>
    <t>B01EJ5MM5M</t>
  </si>
  <si>
    <t>Canon PIXMA MG2577s All-in-One Inkjet Colour Printer with 1 Additional Colour Cartridge</t>
  </si>
  <si>
    <t>InkjetPrinters</t>
  </si>
  <si>
    <t>https://www.amazon.in/Canon-MG2577s-Inkjet-Colour-Printer/dp/B01EJ5MM5M/ref=sr_1_378?qid=1672903013&amp;s=computers&amp;sr=1-378</t>
  </si>
  <si>
    <t>B08J82K4GX</t>
  </si>
  <si>
    <t>Samsung 24-inch(60.46cm) FHD Monitor, IPS, 75 Hz, Bezel Less Design, AMD FreeSync, Flicker Free, HDMI, D-sub, (LF24T350FHWXXL, Dark Blue Gray)</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</si>
  <si>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</si>
  <si>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</si>
  <si>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</si>
  <si>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https://www.amazon.in/AirCase-14-Inch-MacBook-Protective-Neoprene/dp/B07Z1Z77ZZ/ref=sr_1_380?qid=1672903013&amp;s=computers&amp;sr=1-380</t>
  </si>
  <si>
    <t>B00DJ5N9VK</t>
  </si>
  <si>
    <t>Faber-Castell Connector Pen Set - Pack of 25 (Assorted)</t>
  </si>
  <si>
    <t>Toys&amp;Games</t>
  </si>
  <si>
    <t>Arts&amp;Crafts</t>
  </si>
  <si>
    <t>ColouringPens&amp;Markers</t>
  </si>
  <si>
    <t>https://www.amazon.in/Faber-Castell-Connector-Pen-Set-Assorted/dp/B00DJ5N9VK/ref=sr_1_381?qid=1672903013&amp;s=computers&amp;sr=1-381</t>
  </si>
  <si>
    <t>B0B4DT8MKT</t>
  </si>
  <si>
    <t>Wecool Unbreakable 3 in 1 Charging Cable with 3A Speed, Fast Charging Multi Purpose Cable 1.25 Mtr Long, Type C cable, Micro Usb Cable and Cable for iPhone, White</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</si>
  <si>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</si>
  <si>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</si>
  <si>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</si>
  <si>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https://www.amazon.in/Zinq-Technologies-ZQ-6600-Intercom-Set-top/dp/B08FGNPQ9X/ref=sr_1_383?qid=1672903013&amp;s=computers&amp;sr=1-383</t>
  </si>
  <si>
    <t>B07NTKGW45</t>
  </si>
  <si>
    <t>SaleOn™ Portable Storage Organizer Bag for Earphone USB Cable Power Bank Mobile Charger Digital Gadget Hard Disk, Water Resistance Material - Dark Grey</t>
  </si>
  <si>
    <t>https://www.amazon.in/SaleOnTM-Portable-Organizer-Earphone-Assorted/dp/B07NTKGW45/ref=sr_1_384?qid=1672903013&amp;s=computers&amp;sr=1-384</t>
  </si>
  <si>
    <t>B08CDKQ8T6</t>
  </si>
  <si>
    <t>Portronics Konnect L 1.2Mtr, Fast Charging 3A Micro USB Cable with Charge &amp; Sync Function (Grey)</t>
  </si>
  <si>
    <t>https://www.amazon.in/Portronics-Konnect-POR-1079-Charging-Micro/dp/B08CDKQ8T6/ref=sr_1_385?qid=1672903014&amp;s=computers&amp;sr=1-385</t>
  </si>
  <si>
    <t>B08J4PL1Z3</t>
  </si>
  <si>
    <t>RPM Euro Games Laptop/PC Controller Wired for Windows - 7, 8, 8.1, 10 and XP, Ps3(Upgraded with XYAB Buttons)</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</si>
  <si>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</si>
  <si>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</si>
  <si>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</si>
  <si>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</si>
  <si>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</si>
  <si>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</si>
  <si>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</si>
  <si>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</si>
  <si>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</si>
  <si>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Headsets</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</si>
  <si>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</si>
  <si>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</si>
  <si>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</si>
  <si>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https://www.amazon.in/Robustrion-Anti-Scratch-Samsung-Tab-Lite/dp/B08CTQP51L/ref=sr_1_390?qid=1672903014&amp;s=computers&amp;sr=1-390</t>
  </si>
  <si>
    <t>B0BG62HMDJ</t>
  </si>
  <si>
    <t>Cablet 2.5 Inch SATA USB 3.0 HDD/SSD Portable External Enclosure for 7mm and 9.5mm, Tool-Free Design, Supports UASP Max 6TB</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</si>
  <si>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</si>
  <si>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</si>
  <si>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</si>
  <si>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ExternalSolidStateDrives</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</si>
  <si>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</si>
  <si>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</si>
  <si>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</si>
  <si>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</si>
  <si>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</si>
  <si>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</si>
  <si>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PowerLANAdapters</t>
  </si>
  <si>
    <t>https://www.amazon.in/TP-Link-UE300C-Ethernet-Ultrabook-Chromebook/dp/B08FYB5HHK/ref=sr_1_395?qid=1672903014&amp;s=computers&amp;sr=1-395</t>
  </si>
  <si>
    <t>B0994GFWBH</t>
  </si>
  <si>
    <t>Lapster 1.5 mtr USB 2.0 Type A Male to USB A Male Cable for computer and laptop</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</si>
  <si>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</si>
  <si>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</si>
  <si>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</si>
  <si>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</si>
  <si>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</si>
  <si>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</si>
  <si>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https://www.amazon.in/HP-330-Wireless-Keyboard-Mouse/dp/B09GBBJV72/ref=sr_1_398?qid=1672903014&amp;s=computers&amp;sr=1-398</t>
  </si>
  <si>
    <t>B07P434WJY</t>
  </si>
  <si>
    <t>RC PRINT GI 790 Ink Refill for Canon G1000, G1010, G1100, G2000, G2002, G2010, G2012, G2100, G3000, G3010, G3012, G3100, G4000, G4010</t>
  </si>
  <si>
    <t>InkjetInkRefills&amp;Kits</t>
  </si>
  <si>
    <t>https://www.amazon.in/PRINT-Compatible-Bottles-Printer-Magenta/dp/B07P434WJY/ref=sr_1_399?qid=1672903014&amp;s=computers&amp;sr=1-399</t>
  </si>
  <si>
    <t>B07T9FV9YP</t>
  </si>
  <si>
    <t>Redgear Cloak Wired RGB Wired Over Ear Gaming Headphones with Mic for PC</t>
  </si>
  <si>
    <t>https://www.amazon.in/Redgear-Cloak-Gaming-Headphones-Microphone/dp/B07T9FV9YP/ref=sr_1_400?qid=1672903014&amp;s=computers&amp;sr=1-400</t>
  </si>
  <si>
    <t>B08WKFSN84</t>
  </si>
  <si>
    <t>Wayona Type C To Type C 65W/3.25A Nylon Braided Fast Charging Cable Compatible For Laptop, Macbook, Samsung Galaxy M33 M53 M51 S20 Ultra, A71, A53, A51, Ipad Pro 2018 (1M, Grey)</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</si>
  <si>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</si>
  <si>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</si>
  <si>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</si>
  <si>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https://www.amazon.in/Amazfit-Version-Always-Display-Monitoring/dp/B09TBCVJS3/ref=sr_1_403?qid=1672903014&amp;s=computers&amp;sr=1-403</t>
  </si>
  <si>
    <t>B08TR61BVK</t>
  </si>
  <si>
    <t>Tabelito® Polyester Foam, Nylon Hybrid laptopss Bag Sleeve Case Cover Pouch for laptopss Apple/Dell/Lenovo/ Asus/ Hp/Samsung/Mi/MacBook/Ultrabook/Thinkpad/Ideapad/Surfacepro (15.6 inches /39.6cm, Blue) laptopsss</t>
  </si>
  <si>
    <t>https://www.amazon.in/Tabelito-Sleeve-15-6-Inch-MacBook-Protective/dp/B08TR61BVK/ref=sr_1_404?qid=1672903014&amp;s=computers&amp;sr=1-404</t>
  </si>
  <si>
    <t>B0B2CPVXHX</t>
  </si>
  <si>
    <t>Robustrion Anti-Scratch &amp; Smudge Proof Tempered Glass Screen Protector for Xiaomi Mi Pad 5 11 inch</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</si>
  <si>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</si>
  <si>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</si>
  <si>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</si>
  <si>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Notebooks,WritingPads&amp;Diaries</t>
  </si>
  <si>
    <t>https://www.amazon.in/Portronics-Ruffpad-Re-Writable-15-inch-Handwriting/dp/B08XNL93PL/ref=sr_1_407?qid=1672903014&amp;s=computers&amp;sr=1-407</t>
  </si>
  <si>
    <t>B088GXTJM3</t>
  </si>
  <si>
    <t>DIGITEK® (DLS-9FT) Lightweight &amp; Portable Aluminum Alloy Light Stand for Ring Light, Reflector, Flash Units, Diffuser, Portrait, Softbox, Studio Lighting &amp; More Ideal for Outdoor &amp; Indoor Shoots</t>
  </si>
  <si>
    <t>BackgroundSupports</t>
  </si>
  <si>
    <t>https://www.amazon.in/Lightweight-Portable-Aluminum-Photography-DLS-9FEET/dp/B088GXTJM3/ref=sr_1_408?qid=1672903014&amp;s=computers&amp;sr=1-408</t>
  </si>
  <si>
    <t>B099S26HWG</t>
  </si>
  <si>
    <t>Classmate Pulse 1 Subject Notebook - 240mm x 180mm , Soft Cover, 180 Pages, Single Line, Pack of 4</t>
  </si>
  <si>
    <t>https://www.amazon.in/Classmate-Pulse-Subject-Notebook-Single/dp/B099S26HWG/ref=sr_1_409?qid=1672903016&amp;s=computers&amp;sr=1-409</t>
  </si>
  <si>
    <t>B08461VC1Z</t>
  </si>
  <si>
    <t>Scarters Mouse Pad, Desk Mat Extended for Work from Home/Office/Gaming | Vegan PU Leather | Anti-Skid, Anti-Slip, Reversible Splash-Proof – Deskspread ~ Navy Blue &amp; Yellow</t>
  </si>
  <si>
    <t>https://www.amazon.in/Scarters-Office-Keyboard-Splash-Proof-Leather/dp/B08461VC1Z/ref=sr_1_410?qid=1672903016&amp;s=computers&amp;sr=1-410</t>
  </si>
  <si>
    <t>B00K32PEW4</t>
  </si>
  <si>
    <t>Casio MJ-120D 150 Steps Check and Correct Desktop Calculator with Tax Keys, Black</t>
  </si>
  <si>
    <t>Financial&amp;Business</t>
  </si>
  <si>
    <t>https://www.amazon.in/Casio-MJ-120D-Electronic-Calculator/dp/B00K32PEW4/ref=sr_1_411?qid=1672903016&amp;s=computers&amp;sr=1-411</t>
  </si>
  <si>
    <t>B07LFWP97N</t>
  </si>
  <si>
    <t>Gizga Essentials Laptop Bag Sleeve Case Cover Pouch with Handle for 14.1 Inch Laptop for Men &amp; Women, Padded Laptop Compartment, Premium Zipper Closure, Water Repellent Nylon Fabric, Grey</t>
  </si>
  <si>
    <t>https://www.amazon.in/Essentials-Sleeve-Microsoft-Surface-Go/dp/B07LFWP97N/ref=sr_1_413?qid=1672903016&amp;s=computers&amp;sr=1-413</t>
  </si>
  <si>
    <t>B0746N6WML</t>
  </si>
  <si>
    <t>Parker Vector Camouflage Gift Set - Roller Ball Pen &amp; Parker Logo Keychain (Black Body, Blue Ink), 2 Piece Set</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</si>
  <si>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</si>
  <si>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</si>
  <si>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</si>
  <si>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https://www.amazon.in/TP-Link-Archer-A6-Wireless-Internet/dp/B07W9KYT62/ref=sr_1_415?qid=1672903016&amp;s=computers&amp;sr=1-415</t>
  </si>
  <si>
    <t>B08D9MNH4B</t>
  </si>
  <si>
    <t>HP Deskjet 2723 AIO Printer, Copy, Scan, WiFi, Bluetooth, USB, Simple Setup Smart App, Ideal for Home.</t>
  </si>
  <si>
    <t>https://www.amazon.in/HP-DeskJet-2723-Wireless-Printer/dp/B08D9MNH4B/ref=sr_1_418?qid=1672903016&amp;s=computers&amp;sr=1-418</t>
  </si>
  <si>
    <t>B09MKG4ZCM</t>
  </si>
  <si>
    <t>Xiaomi Mi 4A Dual_Band Ethernet 1200Mbps Speed Router| 2.4GHz &amp; 5GHz Frequency|128MB RAM | DualCore 4 Thread CPU|4 Omni Directional Antenna|Mi Wi-Fi app-Parental Control &amp; Anti Hacking|Repeater, White</t>
  </si>
  <si>
    <t>https://www.amazon.in/Dualband-1200Mbps-Frequency-Directional-app-Parental/dp/B09MKG4ZCM/ref=sr_1_420?qid=1672903016&amp;s=computers&amp;sr=1-420</t>
  </si>
  <si>
    <t>B07RZZ1QSW</t>
  </si>
  <si>
    <t>SLOVIC® Tripod Mount Adapter| Tripod Mobile Holder|Tripod Phone Mount(Made in India)| Smartphone Clip Clipper 360 Degree for Taking Magic Video Shots &amp; Pictures.</t>
  </si>
  <si>
    <t>https://www.amazon.in/SLOVIC%C2%AE-Adapter-Smartphone-Clipper-Pictures/dp/B07RZZ1QSW/ref=sr_1_421?qid=1672903016&amp;s=computers&amp;sr=1-421</t>
  </si>
  <si>
    <t>B07222HQKP</t>
  </si>
  <si>
    <t>Orico 2.5"(6.3cm) USB 3.0 HDD Enclosure Case Cover for SATA SSD HDD | SATA SSD HDD Enclosure High Speed USB 3.0 | Tool Free Installation | Black</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</si>
  <si>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</si>
  <si>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</si>
  <si>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</si>
  <si>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https://www.amazon.in/Logitech-Hyperion-Ultra-Gaming-Mouse/dp/B00NFD0ETQ/ref=sr_1_424?qid=1672903016&amp;s=computers&amp;sr=1-424</t>
  </si>
  <si>
    <t>B075DB1F13</t>
  </si>
  <si>
    <t>Panasonic Eneloop BQ-CC55N Advanced, Smart and Quick Charger for AA &amp; AAA Rechargeable Batteries, White</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</si>
  <si>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</si>
  <si>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</si>
  <si>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</si>
  <si>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https://www.amazon.in/Logitech-920-007596-Multi-Device-Bluetooth-Keyboard/dp/B0148NPH9I/ref=sr_1_426?qid=1672903016&amp;s=computers&amp;sr=1-426</t>
  </si>
  <si>
    <t>B01JOFKL0A</t>
  </si>
  <si>
    <t>Canon PIXMA E477 All-in-One Wireless Ink Efficient Colour Printer (White/Blue)</t>
  </si>
  <si>
    <t>https://www.amazon.in/Canon-E477-Wireless-Efficient-Printer/dp/B01JOFKL0A/ref=sr_1_427?qid=1672903016&amp;s=computers&amp;sr=1-427</t>
  </si>
  <si>
    <t>B09Q8HMKZX</t>
  </si>
  <si>
    <t>Portronics Konnect L 20W PD Quick Charge Type-C to 8-Pin USB Mobile Charging Cable, 1.2M, Tangle Resistant, Fast Data Sync(Grey)</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</si>
  <si>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</si>
  <si>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</si>
  <si>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</si>
  <si>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https://www.amazon.in/Redgear-Cosmo-7-1-Headphones-Controller/dp/B079S811J3/ref=sr_1_429?qid=1672903016&amp;s=computers&amp;sr=1-429</t>
  </si>
  <si>
    <t>B0083T231O</t>
  </si>
  <si>
    <t>Belkin Essential Series 4-Socket Surge Protector Universal Socket with 5ft Heavy Duty Cable (Grey)</t>
  </si>
  <si>
    <t>PowerAccessories</t>
  </si>
  <si>
    <t>SurgeProtectors</t>
  </si>
  <si>
    <t>https://www.amazon.in/Belkin-Essential-F9E400zb1-5MGRY-4-Socket-Protector/dp/B0083T231O/ref=sr_1_430?qid=1672903016&amp;s=computers&amp;sr=1-430</t>
  </si>
  <si>
    <t>B086PXQ2R4</t>
  </si>
  <si>
    <t>Classmate Long Book - Unruled, 160 Pages, 314 mm x 194 mm - Pack Of 3</t>
  </si>
  <si>
    <t>https://www.amazon.in/Classmate-Long-Book-Unruled-Pages/dp/B086PXQ2R4/ref=sr_1_431?qid=1672903016&amp;s=computers&amp;sr=1-431</t>
  </si>
  <si>
    <t>B07L1N3TJX</t>
  </si>
  <si>
    <t>Artis AR-45W-MG2 45 Watts MG2 Laptop Adapter/Charger Compatible with MB Air 13” &amp; MB Air 11” (14.5 V, 3.1 A) Connector: MG2 (T Tip Connector)</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</si>
  <si>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</si>
  <si>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</si>
  <si>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</si>
  <si>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https://www.amazon.in/Imou-Security-Advanced-Surveillance-Detection/dp/B07YFWVRCM/ref=sr_1_433?qid=1672903017&amp;s=computers&amp;sr=1-433</t>
  </si>
  <si>
    <t>B08TDJ5BVF</t>
  </si>
  <si>
    <t>E-COSMOS 5V 1.2W Portable Flexible USB LED Light (Colours May Vary, Small, EC-POF1)</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</si>
  <si>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</si>
  <si>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</si>
  <si>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</si>
  <si>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Tablets</t>
  </si>
  <si>
    <t>https://www.amazon.in/Snapdragon-Resolution-Refresh-27-81Cm-Display/dp/B09XXZXQC1/ref=sr_1_437?qid=1672903017&amp;s=computers&amp;sr=1-437</t>
  </si>
  <si>
    <t>B083T5G5PM</t>
  </si>
  <si>
    <t>Sennheiser CX 80S in-Ear Wired Headphones with in-line One-Button Smart Remote with Microphone Black</t>
  </si>
  <si>
    <t>https://www.amazon.in/Sennheiser-CX-80s-Ear-Earphone/dp/B083T5G5PM/ref=sr_1_438?qid=1672903017&amp;s=computers&amp;sr=1-438</t>
  </si>
  <si>
    <t>B0BHVPTM2C</t>
  </si>
  <si>
    <t>HB Plus Folding Height Adjustable Aluminum Foldable Portable Adjustment Desktop Laptop Holder Riser Stand</t>
  </si>
  <si>
    <t>https://www.amazon.in/HB-Adjustable-Aluminum-Foldable-Adjustment/dp/B0BHVPTM2C/ref=sr_1_439?qid=1672903017&amp;s=computers&amp;sr=1-439</t>
  </si>
  <si>
    <t>B01NBX5RSB</t>
  </si>
  <si>
    <t>HP 65W AC Laptops Charger Adapter 4.5mm for HP Pavilion Black (Without Power Cable)</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</si>
  <si>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</si>
  <si>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</si>
  <si>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</si>
  <si>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</si>
  <si>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</si>
  <si>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</si>
  <si>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CordManagement</t>
  </si>
  <si>
    <t>https://www.amazon.in/Essentials-Reusable-Double-Organizer-Length/dp/B07R99NBVB/ref=sr_1_444?qid=1672903017&amp;s=computers&amp;sr=1-444</t>
  </si>
  <si>
    <t>B08R69VDHT</t>
  </si>
  <si>
    <t>Pinnaclz Original Combo of 2 Micro USB Fast Charging Cable, USB Charging Cable for Data Transfer Perfect for Android Smart Phones White 1.2 Meter Made in India (Pack of 2)</t>
  </si>
  <si>
    <t>https://www.amazon.in/Pinnaclz-Original-Micro-USB-Charging/dp/B08R69VDHT/ref=sr_1_447?qid=1672903017&amp;s=computers&amp;sr=1-447</t>
  </si>
  <si>
    <t>B00LY12TH6</t>
  </si>
  <si>
    <t>Camel Oil Pastel with Reusable Plastic Box - 50 Shades</t>
  </si>
  <si>
    <t>PaintingMaterials</t>
  </si>
  <si>
    <t>https://www.amazon.in/Camel-Oil-Pastel-Reusable-Plastic/dp/B00LY12TH6/ref=sr_1_448?qid=1672903017&amp;s=computers&amp;sr=1-448</t>
  </si>
  <si>
    <t>B09RWZRCP1</t>
  </si>
  <si>
    <t>boAt Type C A750 Stress Resistant, Tangle-free, Sturdy Flat Cable with 6.5A Fast Charging &amp; 480Mbps Data Transmission, 10000+ Bends Lifespan and Extended 1.5m Length(Rebellious Black)</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</si>
  <si>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</si>
  <si>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</si>
  <si>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</si>
  <si>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</si>
  <si>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</si>
  <si>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</si>
  <si>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TonerCartridges</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</si>
  <si>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</si>
  <si>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</si>
  <si>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</si>
  <si>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</si>
  <si>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</si>
  <si>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</si>
  <si>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https://www.amazon.in/PC-SQUARE-Adjustable-Ergonomic-Compatible/dp/B09B9SPC7F/ref=sr_1_453?qid=1672903017&amp;s=computers&amp;sr=1-453</t>
  </si>
  <si>
    <t>B09CMP1SC8</t>
  </si>
  <si>
    <t>Ambrane 2 in 1 Type-C &amp; Micro USB Cable with 60W / 3A Fast Charging, 480 mbps High Data, PD Technology &amp; Quick Charge 3.0, Compatible with All Type-C &amp; Micro USB Devices (ABDC-10, Black)</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</si>
  <si>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</si>
  <si>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</si>
  <si>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</si>
  <si>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https://www.amazon.in/Lenovo-Optical-Compact-Mouse-Black/dp/B099SD8PRP/ref=sr_1_455?qid=1672903017&amp;s=computers&amp;sr=1-455</t>
  </si>
  <si>
    <t>B00S2SEV7K</t>
  </si>
  <si>
    <t>Pilot Frixion Clicker Roller Pen (Blue), (9000019529)</t>
  </si>
  <si>
    <t>LiquidInkRollerballPens</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</si>
  <si>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</si>
  <si>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</si>
  <si>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</si>
  <si>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</si>
  <si>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</si>
  <si>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</si>
  <si>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https://www.amazon.in/HP-K500F-Gaming-Keyboard-7ZZ97AA/dp/B08498D67S/ref=sr_1_459?qid=1672903018&amp;s=computers&amp;sr=1-459</t>
  </si>
  <si>
    <t>B00C3GBCIS</t>
  </si>
  <si>
    <t>GIZGA Club-laptop Neoprene Reversible for 15.6-inches Laptop Sleeve - Black-Red</t>
  </si>
  <si>
    <t>https://www.amazon.in/Clublaptop-Reversible-15-6-inch-Laptop-Sleeve/dp/B00C3GBCIS/ref=sr_1_460?qid=1672903018&amp;s=computers&amp;sr=1-460</t>
  </si>
  <si>
    <t>B00URH5E34</t>
  </si>
  <si>
    <t>Inventis 5V 1.2W Portable Flexible USB LED Light Lamp (Colors may vary)</t>
  </si>
  <si>
    <t>https://www.amazon.in/Inventis-Portable-Flexible-Light-Colors/dp/B00URH5E34/ref=sr_1_461?qid=1672903018&amp;s=computers&amp;sr=1-461</t>
  </si>
  <si>
    <t>B00EYW1U68</t>
  </si>
  <si>
    <t>TP-Link TL-WA855RE 300 Mbps Wi-Fi Range Extender (White)</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</si>
  <si>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</si>
  <si>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</si>
  <si>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</si>
  <si>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https://www.amazon.in/boAt-Stone-250-Playback-Hours/dp/B08SMJT55F/ref=sr_1_464?qid=1672903018&amp;s=computers&amp;sr=1-464</t>
  </si>
  <si>
    <t>B08Y7MXFMK</t>
  </si>
  <si>
    <t>Offbeat® - DASH 2.4GHz Wireless + Bluetooth 5.1 Mouse, Multi-Device Dual Mode Slim Rechargeable Silent Click Buttons Wireless Bluetooth Mouse, 3 Adjustable DPI, Works on 2 devices at the same time with a switch button for Windows/Mac/Android/Ipad/Smart TV</t>
  </si>
  <si>
    <t>https://www.amazon.in/Offbeat-Wireless-Bluetooth-Rechargeable-Adjustable/dp/B08Y7MXFMK/ref=sr_1_466?qid=1672903018&amp;s=computers&amp;sr=1-466</t>
  </si>
  <si>
    <t>B086Q3QMFS</t>
  </si>
  <si>
    <t>Classmate Drawing Book - Unruled, 40 Pages, 210 mm x 297 mm - Pack Of 4</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</si>
  <si>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</si>
  <si>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</si>
  <si>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</si>
  <si>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https://www.amazon.in/HP-GK320-Gaming-Keyboard-4QN01AA/dp/B08498H13H/ref=sr_1_469?qid=1672903018&amp;s=computers&amp;sr=1-469</t>
  </si>
  <si>
    <t>B07LFQLKFZ</t>
  </si>
  <si>
    <t>Parker Moments Vector Timecheck Gold Trim Roller Ball Pen (Black)</t>
  </si>
  <si>
    <t>https://www.amazon.in/Parker-Moments-Vector-Timecheck-Roller/dp/B07LFQLKFZ/ref=sr_1_470?qid=1672903018&amp;s=computers&amp;sr=1-470</t>
  </si>
  <si>
    <t>B00LY17RHI</t>
  </si>
  <si>
    <t>Camlin Elegante Fountain Pen - Black/Blue/Red</t>
  </si>
  <si>
    <t>FountainPens</t>
  </si>
  <si>
    <t>https://www.amazon.in/Camlin-Elegante-Fountain-Pen-Black/dp/B00LY17RHI/ref=sr_1_476?qid=1672903018&amp;s=computers&amp;sr=1-476</t>
  </si>
  <si>
    <t>B07W14CHV8</t>
  </si>
  <si>
    <t>CARECASE® Optical Bay 2nd Hard Drive Caddy, 9.5 mm CD/DVD Drive Slot for SSD and HDD</t>
  </si>
  <si>
    <t>Caddies</t>
  </si>
  <si>
    <t>https://www.amazon.in/Optical-Drive-Caddy-Universal-9-5mm/dp/B07W14CHV8/ref=sr_1_483?qid=1672903019&amp;s=computers&amp;sr=1-483</t>
  </si>
  <si>
    <t>B0B9BXKBC7</t>
  </si>
  <si>
    <t>WeCool S5 Long Selfie Stick, with Large Reinforced Tripod Stand up to 61 Inch / 156 Cms, Ultra Long Multi Function Bluetooth Selfie Stick with 1/4 Screw Compatible with Gopro, Camera, and Ring Light</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</si>
  <si>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</si>
  <si>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</si>
  <si>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</si>
  <si>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https://www.amazon.in/Canon-E4570-Efficient-Printing-Compatible/dp/B09F5Z694W/ref=sr_1_485?qid=1672903019&amp;s=computers&amp;sr=1-485</t>
  </si>
  <si>
    <t>B0B25LQQPC</t>
  </si>
  <si>
    <t>Crucial P3 500GB PCIe 3.0 3D NAND NVMe M.2 SSD, up to 3500MB/s - CT500P3SSD8</t>
  </si>
  <si>
    <t>https://www.amazon.in/Crucial-500GB-PCIe-NAND-3500MB/dp/B0B25LQQPC/ref=sr_1_486?qid=1672903019&amp;s=computers&amp;sr=1-486</t>
  </si>
  <si>
    <t>B07GVGTSLN</t>
  </si>
  <si>
    <t>Wayona Usb Type C Fast Charger Cable Fast Charging Usb C Cable/Cord Compatible For Samsung Galaxy S10E S10 S9 S8 Plus S10+,Note 10 Note 9 Note 8,S20,M31S,M40,Realme X3,Pixel 2 Xl (3 Ft Pack Of 1,Grey)</t>
  </si>
  <si>
    <t>https://www.amazon.in/Wayona-Cable-Braided-Charger-Smartphones/dp/B07GVGTSLN/ref=sr_1_487?qid=1672903019&amp;s=computers&amp;sr=1-487</t>
  </si>
  <si>
    <t>B01LYLJ99X</t>
  </si>
  <si>
    <t>HP v222w 64GB USB 2.0 Pen Drive (Silver)</t>
  </si>
  <si>
    <t>https://www.amazon.in/HP-v222w-Flash-Drive-64GB/dp/B01LYLJ99X/ref=sr_1_488?qid=1672903019&amp;s=computers&amp;sr=1-488</t>
  </si>
  <si>
    <t>B014SZPBM4</t>
  </si>
  <si>
    <t>Duracell Ultra Alkaline D Battery, 2 Pcs</t>
  </si>
  <si>
    <t>https://www.amazon.in/Duracell-Alkaline-Battery-Duralock-Technology/dp/B014SZPBM4/ref=sr_1_490?qid=1672903019&amp;s=computers&amp;sr=1-490</t>
  </si>
  <si>
    <t>B08CZHGHKH</t>
  </si>
  <si>
    <t>BESTOR® LCD Writing Tablet/pad 12 inches | Electronic Writing Scribble Board for Kids | Kids Learning Toy | Portable Ruff for LCD Paperless Memo Digital Tablet Notepad E-Writer/Writing/Drawing Pad Home/School/Office (Black)</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</si>
  <si>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</si>
  <si>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</si>
  <si>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</si>
  <si>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Laptops</t>
  </si>
  <si>
    <t>TraditionalLaptops</t>
  </si>
  <si>
    <t>https://www.amazon.in/Lenovo-IdeaPad-Warranty-Platinum-81X800LGIN/dp/B0B2RBP83P/ref=sr_1_492?qid=1672903019&amp;s=computers&amp;sr=1-492</t>
  </si>
  <si>
    <t>B078W65FJ7</t>
  </si>
  <si>
    <t>boAt BassHeads 900 On-Ear Wired Headphones with Mic (White)</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</si>
  <si>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</si>
  <si>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</si>
  <si>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</si>
  <si>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https://www.amazon.in/ZEBRONICS-Zeb-Astra-Wireless-Portable-Function/dp/B08S74GTBT/ref=sr_1_495?qid=1672903019&amp;s=computers&amp;sr=1-495</t>
  </si>
  <si>
    <t>B0BMXMLSMM</t>
  </si>
  <si>
    <t>Lapster 65W compatible for OnePlus Dash Warp Charge Cable , type c to c cable fast charging Data Sync Cable Compatible with One Plus 10R / 9RT/ 9 pro/ 9R/ 8T/ 9/ Nord &amp; for All Type C Devices – Red, 1 Meter</t>
  </si>
  <si>
    <t>https://www.amazon.in/Lapster-compatible-OnePlus-charging-Compatible/dp/B0BMXMLSMM/ref=sr_1_497?qid=1672903019&amp;s=computers&amp;sr=1-497</t>
  </si>
  <si>
    <t>B07QMRHWJD</t>
  </si>
  <si>
    <t>SWAPKART Portable Flexible Adjustable Eye Protection USB LED Desk Light Table Lamp for Reading, Working on PC, Laptop, Power Bank, Bedroom ( Multicolour )</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</si>
  <si>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</si>
  <si>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</si>
  <si>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</si>
  <si>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</si>
  <si>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</si>
  <si>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</si>
  <si>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Kitchen&amp;HomeAppliances</t>
  </si>
  <si>
    <t>ElectricKettles</t>
  </si>
  <si>
    <t>https://www.amazon.in/Pigeon-Amaze-Plus-1-5-Ltr/dp/B07WMS7TWB/ref=sr_1_5?qid=1672923591&amp;s=kitchen&amp;sr=1-5</t>
  </si>
  <si>
    <t>B00H47GVGY</t>
  </si>
  <si>
    <t>USHA Quartz Room Heater with Overheating Protection (3002, Ivory, 800 Watts)</t>
  </si>
  <si>
    <t>Heating,Cooling&amp;AirQuality</t>
  </si>
  <si>
    <t>ElectricHeaters</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</si>
  <si>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</si>
  <si>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</si>
  <si>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</si>
  <si>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FanHeaters</t>
  </si>
  <si>
    <t>https://www.amazon.in/Amazon-Brand-Solimo-2000-Watt-certified/dp/B07VX71FZP/ref=sr_1_7?qid=1672923591&amp;s=kitchen&amp;sr=1-7</t>
  </si>
  <si>
    <t>B07NCKMXVZ</t>
  </si>
  <si>
    <t>StyleHouse Lint Remover for Woolen Clothes, Electric Lint Remover, Best Lint Shaver for Clothes</t>
  </si>
  <si>
    <t>LintShavers</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</si>
  <si>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</si>
  <si>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</si>
  <si>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</si>
  <si>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DigitalKitchenScales</t>
  </si>
  <si>
    <t>https://www.amazon.in/beatXP-Multipurpose-Portable-Electronic-Weighing/dp/B0B61DSF17/ref=sr_1_10?qid=1672923591&amp;s=kitchen&amp;sr=1-10</t>
  </si>
  <si>
    <t>B07VQGVL68</t>
  </si>
  <si>
    <t>Glun Multipurpose Portable Electronic Digital Weighing Scale Weight Machine (10 Kg - with Back Light)</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</si>
  <si>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</si>
  <si>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</si>
  <si>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</si>
  <si>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Kitchen&amp;Dining</t>
  </si>
  <si>
    <t>Choppers</t>
  </si>
  <si>
    <t>https://www.amazon.in/Pigeon-Stovekraft-Plastic-Chopper-Blades/dp/B01LWYDEQ7/ref=sr_1_12?qid=1672923591&amp;s=kitchen&amp;sr=1-12</t>
  </si>
  <si>
    <t>B07VNFP3C2</t>
  </si>
  <si>
    <t>Prestige 1.5 Litre Kettle 1500-watts, Red</t>
  </si>
  <si>
    <t>https://www.amazon.in/Prestige-1-5-Kettle-1500-watts-Red/dp/B07VNFP3C2/ref=sr_1_16?qid=1672923591&amp;s=kitchen&amp;sr=1-16</t>
  </si>
  <si>
    <t>B00LUGTJGO</t>
  </si>
  <si>
    <t>Bajaj RHX-2 800-Watt Room Heater (White)</t>
  </si>
  <si>
    <t>https://www.amazon.in/Bajaj-RHX-2-800-Watt-Room-Heater/dp/B00LUGTJGO/ref=sr_1_17?qid=1672923591&amp;s=kitchen&amp;sr=1-17</t>
  </si>
  <si>
    <t>B01MQZ7J8K</t>
  </si>
  <si>
    <t>Prestige Electric Kettle PKOSS - 1500watts, Steel (1.5Ltr), Black</t>
  </si>
  <si>
    <t>https://www.amazon.in/Prestige-Electric-Kettle-PKOSS-1500watts/dp/B01MQZ7J8K/ref=sr_1_18?qid=1672923591&amp;s=kitchen&amp;sr=1-18</t>
  </si>
  <si>
    <t>B01GFTEV5Y</t>
  </si>
  <si>
    <t>Pigeon by Stovekraft Cruise 1800 watt Induction Cooktop (Black)</t>
  </si>
  <si>
    <t>InductionCooktop</t>
  </si>
  <si>
    <t>https://www.amazon.in/Pigeon-Stovekraft-Cruise-1800-Watt-Induction/dp/B01GFTEV5Y/ref=sr_1_20?qid=1672923591&amp;s=kitchen&amp;sr=1-20</t>
  </si>
  <si>
    <t>B00NW4UWN6</t>
  </si>
  <si>
    <t>Prestige PKGSS 1.7L 1500W Electric Kettle (Stainless Steel)</t>
  </si>
  <si>
    <t>https://www.amazon.in/Prestige-PKGSS-Electric-Kettle-Stainless/dp/B00NW4UWN6/ref=sr_1_22?qid=1672923591&amp;s=kitchen&amp;sr=1-22</t>
  </si>
  <si>
    <t>B01NCVJMKX</t>
  </si>
  <si>
    <t>SHOPTOSHOP Electric Lint Remover, Best Lint Shaver for Clothes,Lint Remover for Woolen Clothes ,Lint Remover for Sweaters</t>
  </si>
  <si>
    <t>https://www.amazon.in/SHOP-Plastic-Sweaters-Blankets-Multicolour/dp/B01NCVJMKX/ref=sr_1_23?qid=1672923591&amp;s=kitchen&amp;sr=1-23</t>
  </si>
  <si>
    <t>B00O24PUO6</t>
  </si>
  <si>
    <t>Orpat OEH-1260 2000-Watt Fan Heater (Grey)</t>
  </si>
  <si>
    <t>https://www.amazon.in/Orpat-OEH-1260-2000-Watt-Heater-Grey/dp/B00O24PUO6/ref=sr_1_24?qid=1672923591&amp;s=kitchen&amp;sr=1-24</t>
  </si>
  <si>
    <t>B07GXPDLYQ</t>
  </si>
  <si>
    <t>PRO365 Indo Mocktails/Coffee Foamer/Cappuccino/Lemonade/Milk Frother (6 Months Warranty)</t>
  </si>
  <si>
    <t>HandBlenders</t>
  </si>
  <si>
    <t>https://www.amazon.in/PRO365-Electric-Coffee-Stirrer-Frother/dp/B07GXPDLYQ/ref=sr_1_25?qid=1672923591&amp;s=kitchen&amp;sr=1-25</t>
  </si>
  <si>
    <t>B01C8P29N0</t>
  </si>
  <si>
    <t>Bajaj DX-6 1000W Dry Iron with Advance Soleplate and Anti-bacterial German Coating Technology, White</t>
  </si>
  <si>
    <t>DryIrons</t>
  </si>
  <si>
    <t>https://www.amazon.in/Bajaj-Majesty-1000-Watt-Iron-White/dp/B01C8P29N0/ref=sr_1_26?qid=1672923591&amp;s=kitchen&amp;sr=1-26</t>
  </si>
  <si>
    <t>B08KDBLMQP</t>
  </si>
  <si>
    <t>Croma 500W Mixer Grinder with 3 Stainless Steel Leak-proof Jars, 3 speed &amp; Pulse function, 2 years warranty (CRAK4184, White &amp; Purple)</t>
  </si>
  <si>
    <t>MixerGrinders</t>
  </si>
  <si>
    <t>https://www.amazon.in/Croma-500-Watt-Grinder-CRAK4184-Purple/dp/B08KDBLMQP/ref=sr_1_27?qid=1672923591&amp;s=kitchen&amp;sr=1-27</t>
  </si>
  <si>
    <t>B078JDNZJ8</t>
  </si>
  <si>
    <t>Havells Instanio 3-Litre Instant Geyser (White/Blue)</t>
  </si>
  <si>
    <t>InstantWaterHeaters</t>
  </si>
  <si>
    <t>https://www.amazon.in/Havells-Instanio-3-Litre-Instant-Geyser/dp/B078JDNZJ8/ref=sr_1_28?qid=1672923591&amp;s=kitchen&amp;sr=1-28</t>
  </si>
  <si>
    <t>B01M5F614J</t>
  </si>
  <si>
    <t>Morphy Richards OFR Room Heater, 09 Fin 2000 Watts Oil Filled Room Heater , ISI Approved (OFR 9 Grey)</t>
  </si>
  <si>
    <t>RoomHeaters</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</si>
  <si>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</si>
  <si>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</si>
  <si>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</si>
  <si>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https://www.amazon.in/HAVELLS-Kettle-Coffee-Boiler-Stainless/dp/B083GKDRKR/ref=sr_1_30?qid=1672923591&amp;s=kitchen&amp;sr=1-30</t>
  </si>
  <si>
    <t>B097R2V1W8</t>
  </si>
  <si>
    <t>Bajaj Splendora 3 Litre 3KW IWH Instant Water Heater (Geyser), White</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</si>
  <si>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</si>
  <si>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</si>
  <si>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</si>
  <si>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Kettle&amp;ToasterSets</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</si>
  <si>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</si>
  <si>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</si>
  <si>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</si>
  <si>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StorageWaterHeaters</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</si>
  <si>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</si>
  <si>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</si>
  <si>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</si>
  <si>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https://www.amazon.in/Lifelong-LLMG23-500-Watt-Liquidizing-Stainless/dp/B09X5C9VLK/ref=sr_1_31?qid=1672923592&amp;s=kitchen&amp;sr=1-31</t>
  </si>
  <si>
    <t>B01C8P29T4</t>
  </si>
  <si>
    <t>Bajaj Majesty DX-11 1000W Dry Iron with Advance Soleplate and Anti-bacterial German Coating Technology, White and Blue</t>
  </si>
  <si>
    <t>https://www.amazon.in/Bajaj-Majesty-1000-Watt-Iron-White/dp/B01C8P29T4/ref=sr_1_33?qid=1672923592&amp;s=kitchen&amp;sr=1-33</t>
  </si>
  <si>
    <t>B00HVXS7WC</t>
  </si>
  <si>
    <t>Bajaj Rex 500W Mixer Grinder with Nutri-Pro Feature, 3 Jars, White</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</si>
  <si>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</si>
  <si>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</si>
  <si>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</si>
  <si>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</si>
  <si>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</si>
  <si>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</si>
  <si>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</si>
  <si>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</si>
  <si>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</si>
  <si>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https://www.amazon.in/Remover-Sweaters-Blankets-Jackets-Carpets/dp/B09KNMLH4Y/ref=sr_1_37_mod_primary_new?qid=1672923592&amp;s=kitchen&amp;sbo=RZvfv%2F%2FHxDF%2BO5021pAnSA%3D%3D&amp;sr=1-37</t>
  </si>
  <si>
    <t>B00ABMASXG</t>
  </si>
  <si>
    <t>Bajaj Immersion Rod Water Heater 1500 Watts, Silver</t>
  </si>
  <si>
    <t>ImmersionRods</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</si>
  <si>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</si>
  <si>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</si>
  <si>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</si>
  <si>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https://www.amazon.in/Inalsa-Electric-Kettle-Absa-1500W-Capacity/dp/B07QDSN9V6/ref=sr_1_39?qid=1672923592&amp;s=kitchen&amp;sr=1-39</t>
  </si>
  <si>
    <t>B00YMJ0OI8</t>
  </si>
  <si>
    <t>Prestige PIC 20 1600 Watt Induction Cooktop with Push button (Black)</t>
  </si>
  <si>
    <t>https://www.amazon.in/Prestige-PIC-20-Induction-Cooktop/dp/B00YMJ0OI8/ref=sr_1_43?qid=1672923592&amp;s=kitchen&amp;sr=1-43</t>
  </si>
  <si>
    <t>B0B8XNPQPN</t>
  </si>
  <si>
    <t>Pigeon Healthifry Digital Air Fryer, 360° High Speed Air Circulation Technology 1200 W with Non-Stick 4.2 L Basket - Green</t>
  </si>
  <si>
    <t>AirFryers</t>
  </si>
  <si>
    <t>https://www.amazon.in/Pigeon-Healthifry-Circulation-Technology-Non-Stick/dp/B0B8XNPQPN/ref=sr_1_44?qid=1672923592&amp;s=kitchen&amp;sr=1-44</t>
  </si>
  <si>
    <t>B0814P4L98</t>
  </si>
  <si>
    <t>PrettyKrafts Laundry Basket for clothes with Lid &amp; Handles, Toys Organiser, 75 Ltr Black &amp; Grey</t>
  </si>
  <si>
    <t>HomeStorage&amp;Organization</t>
  </si>
  <si>
    <t>LaundryBaskets</t>
  </si>
  <si>
    <t>https://www.amazon.in/PrettyKrafts-Laundry-Basket-Clothes-Handles/dp/B0814P4L98/ref=sr_1_45?qid=1672923592&amp;s=kitchen&amp;sr=1-45</t>
  </si>
  <si>
    <t>B008QTK47Q</t>
  </si>
  <si>
    <t>Philips GC1905 1440-Watt Steam Iron with Spray (Blue)</t>
  </si>
  <si>
    <t>SteamIrons</t>
  </si>
  <si>
    <t>https://www.amazon.in/Philips-GC1905-1440-Watt-Steam-Spray/dp/B008QTK47Q/ref=sr_1_47?qid=1672923592&amp;s=kitchen&amp;sr=1-47</t>
  </si>
  <si>
    <t>B088ZTJT2R</t>
  </si>
  <si>
    <t>Havells Immersion HB15 1500 Watt (White Blue)</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</si>
  <si>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</si>
  <si>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</si>
  <si>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</si>
  <si>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</si>
  <si>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</si>
  <si>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</si>
  <si>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https://www.amazon.in/Pigeon-Stainless-boiling-Instant-Noodles/dp/B09Y5FZK9N/ref=sr_1_50?qid=1672923592&amp;s=kitchen&amp;sr=1-50</t>
  </si>
  <si>
    <t>B09J2SCVQT</t>
  </si>
  <si>
    <t>NutriPro Juicer Mixer Grinder - Smoothie Maker - 500 Watts (3 Jars 2 Blades)</t>
  </si>
  <si>
    <t>JuicerMixerGrinders</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</si>
  <si>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</si>
  <si>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</si>
  <si>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</si>
  <si>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https://www.amazon.in/Philips-GC026-30-Fabric-Shaver/dp/B00TDD0YM4/ref=sr_1_54?qid=1672923592&amp;s=kitchen&amp;sr=1-54</t>
  </si>
  <si>
    <t>B078KRFWQB</t>
  </si>
  <si>
    <t>Havells Cista Room Heater, White, 2000 Watts</t>
  </si>
  <si>
    <t>https://www.amazon.in/Havells-Cista-room-Heater/dp/B078KRFWQB/ref=sr_1_52?qid=1672923593&amp;s=kitchen&amp;sr=1-52</t>
  </si>
  <si>
    <t>B07SRM58TP</t>
  </si>
  <si>
    <t>AGARO Regal 800 Watts Handheld Vacuum Cleaner, Lightweight &amp; Durable Body, Small/Mini Size ( Black)</t>
  </si>
  <si>
    <t>HandheldVacuums</t>
  </si>
  <si>
    <t>https://www.amazon.in/AGARO-800-Watt-Handheld-Cleaner-Durable/dp/B07SRM58TP/ref=sr_1_53?qid=1672923593&amp;s=kitchen&amp;sr=1-53</t>
  </si>
  <si>
    <t>B00EDJJ7FS</t>
  </si>
  <si>
    <t>Philips Viva Collection HD4928/01 2100-Watt Induction Cooktop with Feather Touch Sensor and Crystal Glass Plate (Black)</t>
  </si>
  <si>
    <t>https://www.amazon.in/Philips-Collection-HD4928-01-2100-Watt/dp/B00EDJJ7FS/ref=sr_1_54?qid=1672923593&amp;s=kitchen&amp;sr=1-54</t>
  </si>
  <si>
    <t>B0832W3B7Q</t>
  </si>
  <si>
    <t>Pigeon By Stovekraft ABS Plastic Acer Plus Induction Cooktop 1800 Watts With Feather Touch Control - Black</t>
  </si>
  <si>
    <t>https://www.amazon.in/Pigeon-Stovekraft-Acer-Plus-Induction/dp/B0832W3B7Q/ref=sr_1_55?qid=1672923593&amp;s=kitchen&amp;sr=1-55</t>
  </si>
  <si>
    <t>B07WNK1FFN</t>
  </si>
  <si>
    <t>AGARO Esteem Multi Kettle 1.2 Litre, 600W with 3 Heating Modes &amp; Rapid Boil Technology</t>
  </si>
  <si>
    <t>https://www.amazon.in/Agaro-Esteem-Multi-Kettle-1-2/dp/B07WNK1FFN/ref=sr_1_56?qid=1672923593&amp;s=kitchen&amp;sr=1-56</t>
  </si>
  <si>
    <t>B009P2LK08</t>
  </si>
  <si>
    <t>Bajaj Minor 1000 Watts Radiant Room Heater (Steel, ISI Approved)</t>
  </si>
  <si>
    <t>https://www.amazon.in/Bajaj-Minor-1000-Watt-Room-Heater/dp/B009P2LK08/ref=sr_1_57?qid=1672923593&amp;s=kitchen&amp;sr=1-57</t>
  </si>
  <si>
    <t>B07DGD4Z4C</t>
  </si>
  <si>
    <t>Butterfly Jet Elite Mixer Grinder, 750W, 4 Jars (Grey)</t>
  </si>
  <si>
    <t>https://www.amazon.in/Butterfly-Jet-Elite-750-Watt-Grinder/dp/B07DGD4Z4C/ref=sr_1_59?qid=1672923593&amp;s=kitchen&amp;sr=1-59</t>
  </si>
  <si>
    <t>B07GMFY9QM</t>
  </si>
  <si>
    <t>SOFLIN Egg Boiler Electric Automatic Off 7 Egg Poacher for Steaming, Cooking, Boiling and Frying (400 Watts, Blue)</t>
  </si>
  <si>
    <t>EggBoilers</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</si>
  <si>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</si>
  <si>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</si>
  <si>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</si>
  <si>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https://www.amazon.in/Lifelong-LLQH925-settings-operation-Indicator/dp/B0BGPN4GGH/ref=sr_1_62?qid=1672923593&amp;s=kitchen&amp;sr=1-62</t>
  </si>
  <si>
    <t>B0B2DZ5S6R</t>
  </si>
  <si>
    <t>Amazon Basics 1500 W Electric Kettle (Stainless Steel Body, 1.5 L)</t>
  </si>
  <si>
    <t>https://www.amazon.in/Amazon-Basics-Electric-Kettle-Stainless/dp/B0B2DZ5S6R/ref=sr_1_63?qid=1672923593&amp;s=kitchen&amp;sr=1-63</t>
  </si>
  <si>
    <t>B07S851WX5</t>
  </si>
  <si>
    <t>Prestige Sandwich Maker PGMFD 01, Black</t>
  </si>
  <si>
    <t>SandwichMakers</t>
  </si>
  <si>
    <t>https://www.amazon.in/Prestige-Sandwich-Maker-PGMFD-01/dp/B07S851WX5/ref=sr_1_67?qid=1672923593&amp;s=kitchen&amp;sr=1-67</t>
  </si>
  <si>
    <t>B01MY839VW</t>
  </si>
  <si>
    <t>Orient Electric Fabrijoy DIFJ10BP 1000-Watt Dry Iron, Non-Stick (White and Blue)</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</si>
  <si>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</si>
  <si>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</si>
  <si>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</si>
  <si>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https://www.amazon.in/Lifelong-LLFH921-Overheating-Protection-Certified/dp/B09LV1CMGH/ref=sr_1_70?qid=1672923593&amp;s=kitchen&amp;sr=1-70</t>
  </si>
  <si>
    <t>B01EY310UM</t>
  </si>
  <si>
    <t>Philips GC181 Heavy Weight 1000-Watt Dry Iron, Pack of 1</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</si>
  <si>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</si>
  <si>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</si>
  <si>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</si>
  <si>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https://www.amazon.in/Bulfyss-Rechargeable-Effectively-Cashmere-Warranty/dp/B09NL7LBWT/ref=sr_1_74?qid=1672923593&amp;s=kitchen&amp;sr=1-74</t>
  </si>
  <si>
    <t>B008YW8M0G</t>
  </si>
  <si>
    <t>Bajaj DX-7 1000W Dry Iron with Advance Soleplate and Anti-bacterial German Coating Technology, White</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</si>
  <si>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</si>
  <si>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</si>
  <si>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</si>
  <si>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</si>
  <si>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</si>
  <si>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</si>
  <si>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</si>
  <si>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</si>
  <si>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</si>
  <si>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</si>
  <si>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</si>
  <si>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</si>
  <si>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https://www.amazon.in/Wonderchef-Nutri-Blend-Watts-Juicer-Grinder/dp/B00W56GLOQ/ref=sr_1_76?qid=1672923595&amp;s=kitchen&amp;sr=1-76</t>
  </si>
  <si>
    <t>B0883KDSXC</t>
  </si>
  <si>
    <t>USHA Armor AR1100WB 1100 W Dry Iron with Black Weilburger Soleplate (Purple)</t>
  </si>
  <si>
    <t>https://www.amazon.in/Armour-AR1100WB-1100-Watt-Soleplate-Purple/dp/B0883KDSXC/ref=sr_1_77?qid=1672923595&amp;s=kitchen&amp;sr=1-77</t>
  </si>
  <si>
    <t>B078V8R9BS</t>
  </si>
  <si>
    <t>Butterfly EKN 1.5-Litre Electric Kettle (Silver with Black)</t>
  </si>
  <si>
    <t>https://www.amazon.in/Butterfly-EKN-1-5-Litre-Kettle-Silver/dp/B078V8R9BS/ref=sr_1_78?qid=1672923595&amp;s=kitchen&amp;sr=1-78</t>
  </si>
  <si>
    <t>B08GSQXLJ2</t>
  </si>
  <si>
    <t>Crompton Arno Neo 15-L 5 Star Rated Storage Water Heater (Geyser) with Advanced 3 Level Safety (Grey)</t>
  </si>
  <si>
    <t>https://www.amazon.in/Crompton-Arno-Neo-ASWH-3015-Star-Rated/dp/B08GSQXLJ2/ref=sr_1_79?qid=1672923595&amp;s=kitchen&amp;sr=1-79</t>
  </si>
  <si>
    <t>B01M5B0TPW</t>
  </si>
  <si>
    <t>Borosil Chef Delite BCH20DBB21 300-Watt Chopper (Black)</t>
  </si>
  <si>
    <t>MiniFoodProcessors&amp;Choppers</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</si>
  <si>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</si>
  <si>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</si>
  <si>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</si>
  <si>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https://www.amazon.in/Amaze-Litre-Electric-Kettle-Stainless/dp/B082KVTRW8/ref=sr_1_81?qid=1672923595&amp;s=kitchen&amp;sr=1-81</t>
  </si>
  <si>
    <t>B08CFJBZRK</t>
  </si>
  <si>
    <t>Prestige IRIS Plus 750 watt mixer grinder</t>
  </si>
  <si>
    <t>https://www.amazon.in/Prestige-IRIS-mixer-grinder-Black/dp/B08CFJBZRK/ref=sr_1_82?qid=1672923595&amp;s=kitchen&amp;sr=1-82</t>
  </si>
  <si>
    <t>B07H3WDC4X</t>
  </si>
  <si>
    <t>Simxen Egg Boiler Electric Automatic Off 7 Egg Poacher for Steaming, Cooking Also Boiling and Frying 400 W (Blue, Pink)</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</si>
  <si>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</si>
  <si>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</si>
  <si>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</si>
  <si>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</si>
  <si>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</si>
  <si>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 Chef-Mate KS 40</t>
  </si>
  <si>
    <t>DigitalScales</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</si>
  <si>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</si>
  <si>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</si>
  <si>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</si>
  <si>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https://www.amazon.in/Bajaj-Shakti-Heater-Multiple-Safety/dp/B097R4D42G/ref=sr_1_91?qid=1672923595&amp;s=kitchen&amp;sr=1-91</t>
  </si>
  <si>
    <t>B07MKMFKPG</t>
  </si>
  <si>
    <t>Bosch Pro 1000W Mixer Grinder MGM8842MIN - Black</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</si>
  <si>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</si>
  <si>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</si>
  <si>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</si>
  <si>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</si>
  <si>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</si>
  <si>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</si>
  <si>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VacuumSealers</t>
  </si>
  <si>
    <t>https://www.amazon.in/VR-Pcs-Different-Multi-Color-Multicolor/dp/B08F47T4X5/ref=sr_1_94?qid=1672923595&amp;s=kitchen&amp;sr=1-94</t>
  </si>
  <si>
    <t>B01M0505SJ</t>
  </si>
  <si>
    <t>Orient Electric Apex-FX 1200mm Ultra High Speed 400 RPM Ceiling Fan (Brown)</t>
  </si>
  <si>
    <t>CeilingFans</t>
  </si>
  <si>
    <t>https://www.amazon.in/Orient-Electric-Apex-FX-1200mm-Ceiling/dp/B01M0505SJ/ref=sr_1_95?qid=1672923595&amp;s=kitchen&amp;sr=1-95</t>
  </si>
  <si>
    <t>B08D6RCM3Q</t>
  </si>
  <si>
    <t>PrettyKrafts Folding Laundry Basket for Clothes with Lid &amp; Handle, Toys Organiser, 75 Litre, (Pack of 1), Mushroom Print</t>
  </si>
  <si>
    <t>https://www.amazon.in/PrettyKrafts-Laundry-Clothes-Storage-Mushroom/dp/B08D6RCM3Q/ref=sr_1_96?qid=1672923595&amp;s=kitchen&amp;sr=1-96</t>
  </si>
  <si>
    <t>B009P2LITG</t>
  </si>
  <si>
    <t>Bajaj Majesty RX11 2000 Watts Heat Convector Room Heater (White, ISI Approved)</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</si>
  <si>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</si>
  <si>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</si>
  <si>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</si>
  <si>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CanisterVacuums</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</si>
  <si>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</si>
  <si>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</si>
  <si>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</si>
  <si>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https://www.amazon.in/Pigeon-Stovekraft-Quartz-Electric-Kettle/dp/B07WGPBXY9/ref=sr_1_100?qid=1672923595&amp;s=kitchen&amp;sr=1-100</t>
  </si>
  <si>
    <t>B00KRCBA6E</t>
  </si>
  <si>
    <t>Maharaja Whiteline Lava Neo 1200-Watts Halogen Heater (White and Red)</t>
  </si>
  <si>
    <t>https://www.amazon.in/Maharaja-Whiteline-Lava-1200-Watt-Helogen/dp/B00KRCBA6E/ref=sr_1_101?qid=1672923595&amp;s=kitchen&amp;sr=1-101</t>
  </si>
  <si>
    <t>B0B3X2BY3M</t>
  </si>
  <si>
    <t>Crompton Gracee 5-L Instant Water Heater (Geyser)</t>
  </si>
  <si>
    <t>https://www.amazon.in/Crompton-Gracee-Instant-Heater-Geyser/dp/B0B3X2BY3M/ref=sr_1_102?qid=1672923595&amp;s=kitchen&amp;sr=1-102</t>
  </si>
  <si>
    <t>B00F159RIK</t>
  </si>
  <si>
    <t>Bajaj DX-2 600W Dry Iron with Advance Soleplate and Anti-bacterial German Coating Technology, Black</t>
  </si>
  <si>
    <t>https://www.amazon.in/Bajaj-DX-600-Watts-Light-Weight/dp/B00F159RIK/ref=sr_1_100?qid=1672923596&amp;s=kitchen&amp;sr=1-100</t>
  </si>
  <si>
    <t>B08MV82R99</t>
  </si>
  <si>
    <t>Bajaj Waterproof 1500 Watts Immersion Rod Heater</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</si>
  <si>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</si>
  <si>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</si>
  <si>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</si>
  <si>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PressureWashers,Steam&amp;WindowCleaners</t>
  </si>
  <si>
    <t>https://www.amazon.in/Supreme-Pressure-Portable-Cleaning-Purpose/dp/B09VKWGZD7/ref=sr_1_102?qid=1672923596&amp;s=kitchen&amp;sr=1-102</t>
  </si>
  <si>
    <t>B009P2LK80</t>
  </si>
  <si>
    <t>Bajaj Deluxe 2000 Watts Halogen Room Heater (Steel, ISI Approved), Multicolor</t>
  </si>
  <si>
    <t>HalogenHeaters</t>
  </si>
  <si>
    <t>https://www.amazon.in/Bajaj-Delux-2000-Watt-Room-Heater/dp/B009P2LK80/ref=sr_1_103?qid=1672923596&amp;s=kitchen&amp;sr=1-103</t>
  </si>
  <si>
    <t>B00A7PLVU6</t>
  </si>
  <si>
    <t>Orpat HHB-100E WOB 250-Watt Hand Blender (White)</t>
  </si>
  <si>
    <t>https://www.amazon.in/Orpat-HHB-100E-WOB-250-Watt-Blender/dp/B00A7PLVU6/ref=sr_1_104?qid=1672923596&amp;s=kitchen&amp;sr=1-104</t>
  </si>
  <si>
    <t>B0B25DJ352</t>
  </si>
  <si>
    <t>GILTON Egg Boiler Electric Automatic Off 7 Egg Poacher for Steaming, Cooking Also Boiling and Frying, Multi Color</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</si>
  <si>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</si>
  <si>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</si>
  <si>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</si>
  <si>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</si>
  <si>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</si>
  <si>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</si>
  <si>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</si>
  <si>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</si>
  <si>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</si>
  <si>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https://www.amazon.in/Milton-Electric-Stainless-Kettle-Litres/dp/B091V8HK8Z/ref=sr_1_108?qid=1672923596&amp;s=kitchen&amp;sr=1-108</t>
  </si>
  <si>
    <t>B071VNHMX2</t>
  </si>
  <si>
    <t>Philips Daily Collection HD2582/00 830-Watt 2-Slice Pop-up Toaster (White)</t>
  </si>
  <si>
    <t>Pop-upToasters</t>
  </si>
  <si>
    <t>https://www.amazon.in/Philips-Collection-HD2582-00-830-Watt/dp/B071VNHMX2/ref=sr_1_109?qid=1672923596&amp;s=kitchen&amp;sr=1-109</t>
  </si>
  <si>
    <t>B08MVSGXMY</t>
  </si>
  <si>
    <t>Crompton Insta Comfy 800 Watt Room Heater with 2 Heat Settings(Grey Blue)</t>
  </si>
  <si>
    <t>https://www.amazon.in/Crompton-Insta-Comfy-Heater-Settings/dp/B08MVSGXMY/ref=sr_1_110?qid=1672923596&amp;s=kitchen&amp;sr=1-110</t>
  </si>
  <si>
    <t>B00H0B29DI</t>
  </si>
  <si>
    <t>USHA Heat Convector 812 T 2000-Watt with Instant Heating Feature (Black)</t>
  </si>
  <si>
    <t>HeatConvectors</t>
  </si>
  <si>
    <t>https://www.amazon.in/Usha-Convector-2000-Watt-Instant-Heating/dp/B00H0B29DI/ref=sr_1_111?qid=1672923596&amp;s=kitchen&amp;sr=1-111</t>
  </si>
  <si>
    <t>B01GZSQJPA</t>
  </si>
  <si>
    <t>Philips HL7756/00 Mixer Grinder, 750W, 3 Jars (Black)</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</si>
  <si>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</si>
  <si>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</si>
  <si>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</si>
  <si>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</si>
  <si>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</si>
  <si>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</si>
  <si>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https://www.amazon.in/Lifelong-LLMG93-Stainless-Liquidizing-Warranty/dp/B09GYBZPHF/ref=sr_1_118?qid=1672923596&amp;s=kitchen&amp;sr=1-118</t>
  </si>
  <si>
    <t>B0B4KPCBSH</t>
  </si>
  <si>
    <t>IKEA Frother for Milk</t>
  </si>
  <si>
    <t>ElectricGrinders</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</si>
  <si>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</si>
  <si>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</si>
  <si>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(‎ACGRH- INSTACOMFORT)</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</si>
  <si>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</si>
  <si>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</si>
  <si>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</si>
  <si>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</si>
  <si>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</si>
  <si>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</si>
  <si>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</si>
  <si>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</si>
  <si>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</si>
  <si>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https://www.amazon.in/DEVICE-Remover-Woolen-Clothes-Electric/dp/B0BN2576GQ/ref=sr_1_126?qid=1672923596&amp;s=kitchen&amp;sr=1-126</t>
  </si>
  <si>
    <t>B06XPYRWV5</t>
  </si>
  <si>
    <t>Pigeon by Stovekraft 2 Slice Auto Pop up Toaster. A Smart Bread Toaster for Your Home (750 Watt) (black)</t>
  </si>
  <si>
    <t>https://www.amazon.in/Pigeon-2-Slice-Pop-up-Toaster-Black/dp/B06XPYRWV5/ref=sr_1_124?qid=1672923597&amp;s=kitchen&amp;sr=1-124</t>
  </si>
  <si>
    <t>B01N1XVVLC</t>
  </si>
  <si>
    <t>Bajaj OFR Room Heater, 13 Fin 2900 Watts Oil Filled Room Heater with 400W PTC Ceramic Fan Heater, ISI Approved (Majesty 13F Plus Black)</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</si>
  <si>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</si>
  <si>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</si>
  <si>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</si>
  <si>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ExhaustFans</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</si>
  <si>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</si>
  <si>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</si>
  <si>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</si>
  <si>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https://www.amazon.in/electric-Kettle-Double-Triple-Protection/dp/B0B2CZTCL2/ref=sr_1_127?qid=1672923597&amp;s=kitchen&amp;sr=1-127</t>
  </si>
  <si>
    <t>B00PVT30YI</t>
  </si>
  <si>
    <t>Kitchen Mart Stainless Steel South Indian Filter Coffee Drip Maker, Madras Kappi, Drip Decotion Maker160ml (2 Cup)</t>
  </si>
  <si>
    <t>DripCoffeeMachines</t>
  </si>
  <si>
    <t>https://www.amazon.in/Kitchen-Stainless-Indian-Filter-Coffee/dp/B00PVT30YI/ref=sr_1_128?qid=1672923597&amp;s=kitchen&amp;sr=1-128</t>
  </si>
  <si>
    <t>B00SH18114</t>
  </si>
  <si>
    <t>Ikea 903.391.72 Polypropylene Plastic Solid Bevara Sealing Clip (Multicolour) - 30 Pack, Adjustable</t>
  </si>
  <si>
    <t>https://www.amazon.in/Ikea-903-391-72-Sealing-assorted-30-pack/dp/B00SH18114/ref=sr_1_129_mod_primary_new?qid=1672923597&amp;s=kitchen&amp;sbo=RZvfv%2F%2FHxDF%2BO5021pAnSA%3D%3D&amp;sr=1-129</t>
  </si>
  <si>
    <t>B00E9G8KOY</t>
  </si>
  <si>
    <t>HUL Pureit Germkill kit for Classic 23 L water purifier - 1500 L Capacity</t>
  </si>
  <si>
    <t>WaterPurifierAccessories</t>
  </si>
  <si>
    <t>https://www.amazon.in/HUL-Pureit-Germkill-Classic-Purifier/dp/B00E9G8KOY/ref=sr_1_130?qid=1672923597&amp;s=kitchen&amp;sr=1-130</t>
  </si>
  <si>
    <t>B00H3H03Q4</t>
  </si>
  <si>
    <t>HUL Pureit Germkill kit for Classic 23 L water purifier - 3000 L Capacity</t>
  </si>
  <si>
    <t>WaterCartridges</t>
  </si>
  <si>
    <t>https://www.amazon.in/HUL-Pureit-Germkill-Classic-Purifier/dp/B00H3H03Q4/ref=sr_1_131?qid=1672923597&amp;s=kitchen&amp;sr=1-131</t>
  </si>
  <si>
    <t>B0756K5DYZ</t>
  </si>
  <si>
    <t>Prestige Iris 750 Watt Mixer Grinder with 3 Stainless Steel Jar + 1 Juicer Jar (White and Blue)</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</si>
  <si>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</si>
  <si>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</si>
  <si>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</si>
  <si>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https://www.amazon.in/Preethi-Blue-Leaf-Diamond-750-Watt/dp/B0188KPKB2/ref=sr_1_133?qid=1672923597&amp;s=kitchen&amp;sr=1-133</t>
  </si>
  <si>
    <t>B091KNVNS9</t>
  </si>
  <si>
    <t>Themisto 350 Watts Egg Boiler-Blue</t>
  </si>
  <si>
    <t>https://www.amazon.in/Themisto-350-Watts-Egg-Boiler-Blue/dp/B091KNVNS9/ref=sr_1_134?qid=1672923597&amp;s=kitchen&amp;sr=1-134</t>
  </si>
  <si>
    <t>B075JJ5NQC</t>
  </si>
  <si>
    <t>Butterfly Smart Mixer Grinder, 750W, 4 Jars (Grey)</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</si>
  <si>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</si>
  <si>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</si>
  <si>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</si>
  <si>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Rice&amp;PastaCookers</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</si>
  <si>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</si>
  <si>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</si>
  <si>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</si>
  <si>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https://www.amazon.in/InstaCuppa-Portable-Smoothie-Crushing-Rechargeable/dp/B09NTHQRW3/ref=sr_1_140?qid=1672923597&amp;s=kitchen&amp;sr=1-140</t>
  </si>
  <si>
    <t>B008YW3CYM</t>
  </si>
  <si>
    <t>USHA EI 1602 1000 W Lightweight Dry Iron with Non-Stick Soleplate (Multi-colour)</t>
  </si>
  <si>
    <t>https://www.amazon.in/Usha-EI-1602-1000-Watt-Lightweight/dp/B008YW3CYM/ref=sr_1_141?qid=1672923597&amp;s=kitchen&amp;sr=1-141</t>
  </si>
  <si>
    <t>B07QHHCB27</t>
  </si>
  <si>
    <t>KENT 16044 Hand Blender Stainless Steel 400 W | Variable Speed Control | Easy to Clean and Store | Low Noise Operation</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</si>
  <si>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</si>
  <si>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</si>
  <si>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</si>
  <si>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https://www.amazon.in/White-Feather-Portable-Sealing-Multicolor/dp/B0BMFD94VD/ref=sr_1_143?qid=1672923597&amp;s=kitchen&amp;sr=1-143</t>
  </si>
  <si>
    <t>B00HZIOGXW</t>
  </si>
  <si>
    <t>Crompton IHL 152 1500-Watt Immersion Water Heater with Copper Heating Element (Black)</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</si>
  <si>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</si>
  <si>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</si>
  <si>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</si>
  <si>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https://www.amazon.in/InstaCuppa-Rechargeable-Mini-Electric-Chopper/dp/B09CKSYBLR/ref=sr_1_145?qid=1672923597&amp;s=kitchen&amp;sr=1-145</t>
  </si>
  <si>
    <t>B072J83V9W</t>
  </si>
  <si>
    <t>Philips PowerPro FC9352/01 Compact Bagless Vacuum Cleaner (Blue)</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</si>
  <si>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</si>
  <si>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</si>
  <si>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</si>
  <si>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https://www.amazon.in/SAIELLIN-Clothes-Sweater-Defuzzer-Trimmer/dp/B09MTLG4TP/ref=sr_1_147?qid=1672923597&amp;s=kitchen&amp;sr=1-147</t>
  </si>
  <si>
    <t>B097XJQZ8H</t>
  </si>
  <si>
    <t>Cookwell Bullet Mixer Grinder (5 Jars, 3 Blades, Silver)</t>
  </si>
  <si>
    <t>https://www.amazon.in/Cookwell-Bullet-Mixer-Grinder-Silver/dp/B097XJQZ8H/ref=sr_1_148?qid=1672923597&amp;s=kitchen&amp;sr=1-148</t>
  </si>
  <si>
    <t>B00935MD1C</t>
  </si>
  <si>
    <t>Prestige PRWO 1.8-2 700-Watts Delight Electric Rice Cooker with 2 Aluminium Cooking Pans - 1.8 Liters, White</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</si>
  <si>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</si>
  <si>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</si>
  <si>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</si>
  <si>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</si>
  <si>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</si>
  <si>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</si>
  <si>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</si>
  <si>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</si>
  <si>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</si>
  <si>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</si>
  <si>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</si>
  <si>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</si>
  <si>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https://www.amazon.in/Hindware-Atlantic-Compacto-Instant-HI03PDW30/dp/B09DL9978Y/ref=sr_1_151?qid=1672923598&amp;s=kitchen&amp;sr=1-151</t>
  </si>
  <si>
    <t>B06XMZV7RH</t>
  </si>
  <si>
    <t>ATOM Selves-MH 200 GM Digital Pocket Scale</t>
  </si>
  <si>
    <t>https://www.amazon.in/Atom-Selves-A100-Digital-Pocket-Silver/dp/B06XMZV7RH/ref=sr_1_152?qid=1672923598&amp;s=kitchen&amp;sr=1-152</t>
  </si>
  <si>
    <t>B09WMTJPG7</t>
  </si>
  <si>
    <t>Crompton InstaBliss 3-L Instant Water Heater (Geyser) with Advanced 4 Level Safety</t>
  </si>
  <si>
    <t>https://www.amazon.in/Crompton-InstaBliss-Instant-Heater-Advanced/dp/B09WMTJPG7/ref=sr_1_153?qid=1672923598&amp;s=kitchen&amp;sr=1-153</t>
  </si>
  <si>
    <t>B09ZK6THRR</t>
  </si>
  <si>
    <t>Croma 1100 W Dry Iron with Weilburger Dual Soleplate Coating (CRSHAH702SIR11, White)</t>
  </si>
  <si>
    <t>https://www.amazon.in/Croma-Weilburger-Soleplate-Coating-CRSHAH702SIR11/dp/B09ZK6THRR/ref=sr_1_154?qid=1672923598&amp;s=kitchen&amp;sr=1-154</t>
  </si>
  <si>
    <t>B07MP21WJD</t>
  </si>
  <si>
    <t>Lint Roller with 40 Paper Sheets, 22 x 5 cm (Grey)</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</si>
  <si>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</si>
  <si>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</si>
  <si>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</si>
  <si>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https://www.amazon.in/Portable-Hairball-Epilator-Removing-Furniture/dp/B09XB1R2F3/ref=sr_1_157?qid=1672923598&amp;s=kitchen&amp;sr=1-157</t>
  </si>
  <si>
    <t>B08Y5QJXSR</t>
  </si>
  <si>
    <t>atomberg Renesa 1200mm BLDC Motor with Remote 3 Blade Energy Saving Ceiling Fan (Matt Black)</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</si>
  <si>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</si>
  <si>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</si>
  <si>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</si>
  <si>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https://www.amazon.in/Pigeon-stovekraft-Amaze-Plus-1-8/dp/B07WJXCTG9/ref=sr_1_159?qid=1672923598&amp;s=kitchen&amp;sr=1-159</t>
  </si>
  <si>
    <t>B09NBZ36F7</t>
  </si>
  <si>
    <t>Usha CookJoy (CJ1600WPC) 1600 Watt Induction cooktop (Black)</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</si>
  <si>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</si>
  <si>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</si>
  <si>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</si>
  <si>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t>
  </si>
  <si>
    <t>CarAccessories</t>
  </si>
  <si>
    <t>AirPurifiers&amp;Ionizers</t>
  </si>
  <si>
    <t>https://www.amazon.in/Reffair-AX30-MAX-Internationally-Aromabuds/dp/B0912WJ87V/ref=sr_1_164?qid=1672923598&amp;s=kitchen&amp;sr=1-164</t>
  </si>
  <si>
    <t>B0BMTZ4T1D</t>
  </si>
  <si>
    <t>!!1000 Watt/2000-Watt Room Heater!! Fan Heater!!Pure White!!HN-2500!!Made in India!!</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</si>
  <si>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</si>
  <si>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</si>
  <si>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</si>
  <si>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Wet-DryVacuums</t>
  </si>
  <si>
    <t>https://www.amazon.in/Eureka-Forbes-Wet-Dry-Ultimo/dp/B07Z51CGGH/ref=sr_1_166?qid=1672923598&amp;s=kitchen&amp;sr=1-166</t>
  </si>
  <si>
    <t>B0BDG6QDYD</t>
  </si>
  <si>
    <t>Activa Heat-Max 2000 Watts Room Heater (White color ) with ABS body</t>
  </si>
  <si>
    <t>https://www.amazon.in/Activa-Heat-Max-Watts-Heater-White/dp/B0BDG6QDYD/ref=sr_1_167?qid=1672923598&amp;s=kitchen&amp;sr=1-167</t>
  </si>
  <si>
    <t>B00YQLG7GK</t>
  </si>
  <si>
    <t>PHILIPS HL1655/00 Hand Blender, White Jar 250W</t>
  </si>
  <si>
    <t>https://www.amazon.in/Philips-Collection-HL1655-00-250-Watt/dp/B00YQLG7GK/ref=sr_1_169?qid=1672923598&amp;s=kitchen&amp;sr=1-169</t>
  </si>
  <si>
    <t>B00SMJPA9C</t>
  </si>
  <si>
    <t>Bajaj DX-2 600W Dry Iron with Advance Soleplate and Anti-Bacterial German Coating Technology, Grey</t>
  </si>
  <si>
    <t>https://www.amazon.in/Bajaj-DX-600-Watt-Light-Weight/dp/B00SMJPA9C/ref=sr_1_170?qid=1672923598&amp;s=kitchen&amp;sr=1-170</t>
  </si>
  <si>
    <t>B0B9RN5X8B</t>
  </si>
  <si>
    <t>V-Guard Zio Instant Water Geyser | 3 Litre | 3000 W Heating | White-Blue | | 2 Year Warranty</t>
  </si>
  <si>
    <t>https://www.amazon.in/V-Guard-Instant-Heating-White-Blue-Warranty/dp/B0B9RN5X8B/ref=sr_1_171?qid=1672923598&amp;s=kitchen&amp;sr=1-171</t>
  </si>
  <si>
    <t>B08QW937WV</t>
  </si>
  <si>
    <t>Homeistic Applience™ Instant Electric Water Heater Faucet Tap For Kitchen And Bathroom Sink Digital Water Heating Tap with Shower Head ABS Body- Shock Proof (Pack Of 1. White)</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</si>
  <si>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</si>
  <si>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</si>
  <si>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</si>
  <si>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https://www.amazon.in/Kitchenwell-Plastic-Keeping-Kitchen-Multi-Color/dp/B0B4PPD89B/ref=sr_1_174?qid=1672923598&amp;s=kitchen&amp;sr=1-174</t>
  </si>
  <si>
    <t>B08GM5S4CQ</t>
  </si>
  <si>
    <t>Havells Instanio 10 Litre Storage Water Heater with Flexi Pipe and Free installation (White Blue)</t>
  </si>
  <si>
    <t>https://www.amazon.in/Havells-Instanio-Storage-Heater-installation/dp/B08GM5S4CQ/ref=sr_1_172?qid=1672923600&amp;s=kitchen&amp;sr=1-172</t>
  </si>
  <si>
    <t>B00NM6MO26</t>
  </si>
  <si>
    <t>Prestige PIC 16.0+ 1900W Induction Cooktop with Soft Touch Push Buttons (Black)</t>
  </si>
  <si>
    <t>https://www.amazon.in/Prestige-1900-Induction-Cooktop-button/dp/B00NM6MO26/ref=sr_1_173?qid=1672923600&amp;s=kitchen&amp;sr=1-173</t>
  </si>
  <si>
    <t>B083M7WPZD</t>
  </si>
  <si>
    <t>AGARO 33398 Rapid 1000-Watt, 10-Litre Wet &amp; Dry Vacuum Cleaner, with Blower Function (Red &amp; Black)</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</si>
  <si>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</si>
  <si>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</si>
  <si>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</si>
  <si>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</si>
  <si>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</si>
  <si>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</si>
  <si>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</si>
  <si>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</si>
  <si>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</si>
  <si>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</si>
  <si>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</si>
  <si>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</si>
  <si>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</si>
  <si>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</si>
  <si>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</si>
  <si>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HEPAAirPurifiers</t>
  </si>
  <si>
    <t>https://www.amazon.in/Mi-Purifier-Filter-Smart-Connectivity/dp/B0811VCGL5/ref=sr_1_182?qid=1672923600&amp;s=kitchen&amp;sr=1-182</t>
  </si>
  <si>
    <t>B07FXLC2G2</t>
  </si>
  <si>
    <t>Tata Swach Bulb 6000-Litre Cartridge, 1 Piece, White, Hollow Fiber Membrane</t>
  </si>
  <si>
    <t>WaterFilters&amp;Purifiers</t>
  </si>
  <si>
    <t>https://www.amazon.in/Tata-Swach-Bulb-6000-Litre-Cartridge/dp/B07FXLC2G2/ref=sr_1_183?qid=1672923600&amp;s=kitchen&amp;sr=1-183</t>
  </si>
  <si>
    <t>B01LYU3BZF</t>
  </si>
  <si>
    <t>Havells Ambrose 1200mm Ceiling Fan (Gold Mist Wood)</t>
  </si>
  <si>
    <t>https://www.amazon.in/Havells-Ambrose-1200mm-Ceiling-Gold/dp/B01LYU3BZF/ref=sr_1_187?qid=1672923600&amp;s=kitchen&amp;sr=1-187</t>
  </si>
  <si>
    <t>B083RC4WFJ</t>
  </si>
  <si>
    <t>PrettyKrafts Laundry Bag / Basket for Dirty Clothes, Folding Round Laundry Bag,Set of 2, Black Wave</t>
  </si>
  <si>
    <t>LaundryBags</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</si>
  <si>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</si>
  <si>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</si>
  <si>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</si>
  <si>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https://www.amazon.in/FABWARE-Lint-Remover-Clothes-Furniture/dp/B09SFRNKSR/ref=sr_1_189?qid=1672923600&amp;s=kitchen&amp;sr=1-189</t>
  </si>
  <si>
    <t>B07NRTCDS5</t>
  </si>
  <si>
    <t>Brayden Fito Atom Rechargeable Smoothie Blender with 2000 mAh Battery and 3.7V Motor with 400ml Tritan Jar (Blue)</t>
  </si>
  <si>
    <t>https://www.amazon.in/Brayden-Portable-Smoothie-Blender-Rechargeable/dp/B07NRTCDS5/ref=sr_1_190?qid=1672923600&amp;s=kitchen&amp;sr=1-190</t>
  </si>
  <si>
    <t>B07SPVMSC6</t>
  </si>
  <si>
    <t>Bajaj Frore 1200 mm Ceiling Fan (Brown)</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</si>
  <si>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</si>
  <si>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</si>
  <si>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</si>
  <si>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https://www.amazon.in/Venus-Weighing-Warranty-Included-Capacity/dp/B09H3BXWTK/ref=sr_1_193?qid=1672923600&amp;s=kitchen&amp;sr=1-193</t>
  </si>
  <si>
    <t>B0073QGKAS</t>
  </si>
  <si>
    <t>Bajaj ATX 4 750-Watt Pop-up Toaster (White)</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</si>
  <si>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</si>
  <si>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</si>
  <si>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</si>
  <si>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</si>
  <si>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</si>
  <si>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</si>
  <si>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https://www.amazon.in/Gold-Optima-10-Litres-Non-electric-Purifier/dp/B009DA69W6/ref=sr_1_196?qid=1672923600&amp;s=kitchen&amp;sr=1-196</t>
  </si>
  <si>
    <t>B099PR2GQJ</t>
  </si>
  <si>
    <t>HOMEPACK 750W Radiant Room Home Office Heaters For Winter</t>
  </si>
  <si>
    <t>https://www.amazon.in/HOMEPACK%C2%AE-Radiant-Office-Heaters-Portable/dp/B099PR2GQJ/ref=sr_1_197?qid=1672923600&amp;s=kitchen&amp;sr=1-197</t>
  </si>
  <si>
    <t>B08G8H8DPL</t>
  </si>
  <si>
    <t>Bajaj Rex 750W Mixer Grinder with Nutri Pro Feature, 4 Jars, White</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</si>
  <si>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</si>
  <si>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</si>
  <si>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</si>
  <si>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https://www.amazon.in/Heart-Home-Foldable-Organiser-HEARTXY11447/dp/B08VGM3YMF/ref=sr_1_196?qid=1672923601&amp;s=kitchen&amp;sr=1-196</t>
  </si>
  <si>
    <t>B08TTRVWKY</t>
  </si>
  <si>
    <t>MILTON Smart Egg Boiler 360-Watts (Transparent and Silver Grey), Boil Up to 7 Eggs</t>
  </si>
  <si>
    <t>https://www.amazon.in/MILTON-Smart-Egg-Boiler-Transparent/dp/B08TTRVWKY/ref=sr_1_197?qid=1672923601&amp;s=kitchen&amp;sr=1-197</t>
  </si>
  <si>
    <t>B07T4D9FNY</t>
  </si>
  <si>
    <t>iBELL SEK15L Premium 1.5 Litre Stainless Steel Electric Kettle,1500W Auto Cut-Off Feature,Silver with Black</t>
  </si>
  <si>
    <t>https://www.amazon.in/Premium-Stainless-Electric-Cut-Off-Feature/dp/B07T4D9FNY/ref=sr_1_199?qid=1672923601&amp;s=kitchen&amp;sr=1-199</t>
  </si>
  <si>
    <t>B07RX42D3D</t>
  </si>
  <si>
    <t>Tosaa T2STSR Sandwich Gas Toaster Regular (Black)</t>
  </si>
  <si>
    <t>https://www.amazon.in/Tosaa-Nonstick-Sandwich-Toaster-Regular/dp/B07RX42D3D/ref=sr_1_200?qid=1672923601&amp;s=kitchen&amp;sr=1-200</t>
  </si>
  <si>
    <t>B08WRKSF9D</t>
  </si>
  <si>
    <t>V-Guard Divino 5 Star Rated 15 Litre Storage Water Heater (Geyser) with Advanced Safety Features, White</t>
  </si>
  <si>
    <t>https://www.amazon.in/V-Guard-Divino-Storage-15-Vertical/dp/B08WRKSF9D/ref=sr_1_201?qid=1672923601&amp;s=kitchen&amp;sr=1-201</t>
  </si>
  <si>
    <t>B09R83SFYV</t>
  </si>
  <si>
    <t>Akiara® - Makes life easy Mini Sewing Machine with Table Set | Tailoring Machine | Hand Sewing Machine with extension table, foot pedal, adapter</t>
  </si>
  <si>
    <t>Sewing&amp;EmbroideryMachines</t>
  </si>
  <si>
    <t>https://www.amazon.in/akiara-Machine-Stitching-extension-adapter/dp/B09R83SFYV/ref=sr_1_202?qid=1672923601&amp;s=kitchen&amp;sr=1-202</t>
  </si>
  <si>
    <t>B07989VV5K</t>
  </si>
  <si>
    <t>Usha Steam Pro SI 3713, 1300 W Steam Iron, Powerful steam Output up to 18 g/min, Non-Stick Soleplate (White &amp; Blue)</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</si>
  <si>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</si>
  <si>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</si>
  <si>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</si>
  <si>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</si>
  <si>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</si>
  <si>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</si>
  <si>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https://www.amazon.in/WIDEWINGS-Electric-Handheld-Frother-Blender/dp/B0BPCJM7TB/ref=sr_1_205?qid=1672923601&amp;s=kitchen&amp;sr=1-205</t>
  </si>
  <si>
    <t>B08H673XKN</t>
  </si>
  <si>
    <t>Morphy Richards Icon Superb 750W Mixer Grinder, 4 Jars, Silver and Black</t>
  </si>
  <si>
    <t>https://www.amazon.in/Morphy-Richards-Icon-Superb-Grinder/dp/B08H673XKN/ref=sr_1_206?qid=1672923601&amp;s=kitchen&amp;sr=1-206</t>
  </si>
  <si>
    <t>B07DXRGWDJ</t>
  </si>
  <si>
    <t>Philips Handheld Garment Steamer GC360/30 - Vertical &amp; Horizontal Steaming, 1200 Watt, up to 22g/min</t>
  </si>
  <si>
    <t>https://www.amazon.in/Philips-Handheld-Garment-Steamer-Purple/dp/B07DXRGWDJ/ref=sr_1_207?qid=1672923601&amp;s=kitchen&amp;sr=1-207</t>
  </si>
  <si>
    <t>B08243SKCK</t>
  </si>
  <si>
    <t>Vedini Transparent Empty Refillable Reusable Fine Mist Spray Bottle for Perfume, Travel with DIY Sticker Set ( 100ml, Pack of 4)</t>
  </si>
  <si>
    <t>SprayBottles</t>
  </si>
  <si>
    <t>https://www.amazon.in/Vedini-Refillable-Spray-Bottle-Transparent/dp/B08243SKCK/ref=sr_1_212?qid=1672923601&amp;s=kitchen&amp;sr=1-212</t>
  </si>
  <si>
    <t>B09SPTNG58</t>
  </si>
  <si>
    <t>Crompton Sea Sapphira 1200 mm Ultra High Speed 3 Blade Ceiling Fan (Lustre Brown, Pack of 1)</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</si>
  <si>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</si>
  <si>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</si>
  <si>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</si>
  <si>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</si>
  <si>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</si>
  <si>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</si>
  <si>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HandMixers</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</si>
  <si>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</si>
  <si>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</si>
  <si>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</si>
  <si>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https://www.amazon.in/Oratech-electric-cappuccino-Mocktail-Multicolour/dp/B0BQ3K23Y1/ref=sr_1_216?qid=1672923601&amp;s=kitchen&amp;sr=1-216</t>
  </si>
  <si>
    <t>B09MT94QLL</t>
  </si>
  <si>
    <t>Havells Glaze 74W Pearl Ivory Gold Ceiling Fan, Sweep: 1200 Mm</t>
  </si>
  <si>
    <t>https://www.amazon.in/Havells-Glaze-Pearl-Ivory-Ceiling/dp/B09MT94QLL/ref=sr_1_217?qid=1672923601&amp;s=kitchen&amp;sr=1-217</t>
  </si>
  <si>
    <t>B07NKNBTT3</t>
  </si>
  <si>
    <t>Pick Ur Needs® Lint Remover for Clothes High Range Rechargeable Lint Shaver for All Types of Clothes, Fabrics, Blanket with 1 Extra Blade Multicolor (Rechargeable)</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</si>
  <si>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</si>
  <si>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</si>
  <si>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</si>
  <si>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https://www.amazon.in/Rico-Japanese-Technology-Rechargeable-Replacement/dp/B09KPXTZXN/ref=sr_1_220?qid=1672923601&amp;s=kitchen&amp;sr=1-220</t>
  </si>
  <si>
    <t>B078HG2ZPS</t>
  </si>
  <si>
    <t>Butterfly Smart Wet Grinder, 2L (White) with Coconut Scrapper Attachment, Output - 150 W, Input 260 W</t>
  </si>
  <si>
    <t>WetGrinders</t>
  </si>
  <si>
    <t>https://www.amazon.in/Butterfly-150-Watt-Grinder-Scrapper-Attachment/dp/B078HG2ZPS/ref=sr_1_221?qid=1672923601&amp;s=kitchen&amp;sr=1-221</t>
  </si>
  <si>
    <t>B07N2MGB3G</t>
  </si>
  <si>
    <t>AGARO Marvel 9 Liters Oven Toaster Griller, Cake Baking OTG (Black)</t>
  </si>
  <si>
    <t>OvenToasterGrills</t>
  </si>
  <si>
    <t>https://www.amazon.in/AGARO-Marvel-Litre-Toaster-Griller/dp/B07N2MGB3G/ref=sr_1_222?qid=1672923601&amp;s=kitchen&amp;sr=1-222</t>
  </si>
  <si>
    <t>B008LN8KDM</t>
  </si>
  <si>
    <t>Philips GC1920/28 1440-Watt Non-Stick Soleplate Steam Iron</t>
  </si>
  <si>
    <t>https://www.amazon.in/Philips-GC1920-28-1440-Watt-Non-Stick/dp/B008LN8KDM/ref=sr_1_220?qid=1672923603&amp;s=kitchen&amp;sr=1-220</t>
  </si>
  <si>
    <t>B08MZNT7GP</t>
  </si>
  <si>
    <t>Havells OFR 13 Wave Fin with PTC Fan Heater 2900 Watts (Black)</t>
  </si>
  <si>
    <t>https://www.amazon.in/Havells-OFR-13-Wave-Fin/dp/B08MZNT7GP/ref=sr_1_221?qid=1672923603&amp;s=kitchen&amp;sr=1-221</t>
  </si>
  <si>
    <t>B009P2L7CO</t>
  </si>
  <si>
    <t>Bajaj DHX-9 1000W Heavy Weight Dry Iron with Advance Soleplate and Anti-Bacterial German Coating Technology, Ivory</t>
  </si>
  <si>
    <t>https://www.amazon.in/Bajaj-DHX-1000-Watt-Ivory-Color/dp/B009P2L7CO/ref=sr_1_222?qid=1672923603&amp;s=kitchen&amp;sr=1-222</t>
  </si>
  <si>
    <t>B07YC8JHMB</t>
  </si>
  <si>
    <t>Aquasure From Aquaguard Amaze RO+UV+MTDS,7L storage water purifier,suitable for borewell,tanker,municipal water (Grey) from Eureka Forbes</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</si>
  <si>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</si>
  <si>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</si>
  <si>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</si>
  <si>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</si>
  <si>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</si>
  <si>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</si>
  <si>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</si>
  <si>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</si>
  <si>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</si>
  <si>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</si>
  <si>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</si>
  <si>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</si>
  <si>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</si>
  <si>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</si>
  <si>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</si>
  <si>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</si>
  <si>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</si>
  <si>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</si>
  <si>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https://www.amazon.in/VRPRIME-Remover-Reusable-Easy-Tear-Furniture/dp/B0BN6M3TCM/ref=sr_1_230?qid=1672923603&amp;s=kitchen&amp;sr=1-230</t>
  </si>
  <si>
    <t>B01L6MT7E0</t>
  </si>
  <si>
    <t>Philips AC1215/20 Air purifier, removes 99.97% airborne pollutants, 4-stage filtration with True HEPA filter (white)</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</si>
  <si>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</si>
  <si>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</si>
  <si>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</si>
  <si>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https://www.amazon.in/Eopora-Ceramic-Heating-Bedroom-Electric/dp/B0B9F9PT8R/ref=sr_1_235?qid=1672923603&amp;s=kitchen&amp;sr=1-235</t>
  </si>
  <si>
    <t>B0883LQJ6B</t>
  </si>
  <si>
    <t>Usha Goliath GO1200WG Heavy Weight 1200-Watt Dry Iron, 1.8 Kg(Red)</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</si>
  <si>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</si>
  <si>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</si>
  <si>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</si>
  <si>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https://www.amazon.in/Wipro-Electric-Stainless-Automatic-VB021070/dp/B099Z83VRC/ref=sr_1_237?qid=1672923603&amp;s=kitchen&amp;sr=1-237</t>
  </si>
  <si>
    <t>B00S9BSJC8</t>
  </si>
  <si>
    <t>Philips Viva Collection HR1832/00 1.5-Litre400-Watt Juicer (Ink Black)</t>
  </si>
  <si>
    <t>Juicers</t>
  </si>
  <si>
    <t>https://www.amazon.in/Philips-Viva-Collection-HR1832-1-5-Litre400-Watt/dp/B00S9BSJC8/ref=sr_1_238?qid=1672923603&amp;s=kitchen&amp;sr=1-238</t>
  </si>
  <si>
    <t>B0B4SJKRDF</t>
  </si>
  <si>
    <t>Kitchenwell Multipurpose Portable Electronic Digital Weighing Scale Weight Machine | Weight Machine | 10 Kg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</si>
  <si>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</si>
  <si>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</si>
  <si>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</si>
  <si>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https://www.amazon.in/FIGMENT-Rechargeable-Decoration-ENTERPRISES-A1/dp/B0BM4KTNL1/ref=sr_1_240?qid=1672923603&amp;s=kitchen&amp;sr=1-240</t>
  </si>
  <si>
    <t>B08S6RKT4L</t>
  </si>
  <si>
    <t>Balzano High Speed Nutri Blender/Mixer/Smoothie Maker - 500 Watt - Silver, 2 Jar</t>
  </si>
  <si>
    <t>SmallKitchenAppliances</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</si>
  <si>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</si>
  <si>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</si>
  <si>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</si>
  <si>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</si>
  <si>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</si>
  <si>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</si>
  <si>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https://www.amazon.in/Zuvexa-Rechargeable-Electric-Foam-Maker/dp/B0BLC2BYPX/ref=sr_1_243?qid=1672923603&amp;s=kitchen&amp;sr=1-243</t>
  </si>
  <si>
    <t>B00P0R95EA</t>
  </si>
  <si>
    <t>Usha IH2415 1500-Watt Immersion Heater (Silver)</t>
  </si>
  <si>
    <t>https://www.amazon.in/Usha-IH2415-1500-Watt-Immersion-Heater/dp/B00P0R95EA/ref=sr_1_244?qid=1672923603&amp;s=kitchen&amp;sr=1-244</t>
  </si>
  <si>
    <t>B07W4HTS8Q</t>
  </si>
  <si>
    <t>ACTIVA Instant 3 LTR 3 KVA SPECIAL Anti Rust Coated Tank Geyser with Full ABS Body with 5 Year Warranty Premium (White)</t>
  </si>
  <si>
    <t>https://www.amazon.in/ACTIVA-Instant-SPCEIAL-Warranty-Premium/dp/B07W4HTS8Q/ref=sr_1_245?qid=1672923603&amp;s=kitchen&amp;sr=1-245</t>
  </si>
  <si>
    <t>B078JBK4GX</t>
  </si>
  <si>
    <t>Havells Instanio 1-Litre 3KW Instant Water Heater (Geyser), White Blue</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</si>
  <si>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</si>
  <si>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</si>
  <si>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</si>
  <si>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https://www.amazon.in/Lifelong-Boiler-Poacher-500-Watt-Transparent/dp/B08S7V8YTN/ref=sr_1_245?qid=1672923605&amp;s=kitchen&amp;sr=1-245</t>
  </si>
  <si>
    <t>B07H5PBN54</t>
  </si>
  <si>
    <t>INDIAS®™ Electro-Instant Water Geyser A.B.S. Body Shock Proof Can be Used in Bathroom, Kitchen, wash Area, Hotels, Hospital etc.</t>
  </si>
  <si>
    <t>https://www.amazon.in/Indias-Instant-Bathroom-Kitchen-Hospital/dp/B07H5PBN54/ref=sr_1_246?qid=1672923605&amp;s=kitchen&amp;sr=1-246</t>
  </si>
  <si>
    <t>B07YCBSCYB</t>
  </si>
  <si>
    <t>AmazonBasics Induction Cooktop 1600 Watt (Black)</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</si>
  <si>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</si>
  <si>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</si>
  <si>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</si>
  <si>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</si>
  <si>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</si>
  <si>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</si>
  <si>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https://www.amazon.in/Philips-AeraSense-AC2887-20-Purifier/dp/B01KCSGBU2/ref=sr_1_249?qid=1672923605&amp;s=kitchen&amp;sr=1-249</t>
  </si>
  <si>
    <t>B095XCRDQW</t>
  </si>
  <si>
    <t>Esquire Laundry Basket Brown, 50 Ltr Capacity(Plastic)</t>
  </si>
  <si>
    <t>https://www.amazon.in/Esquire-Elite-Laundry-Basket-Colour/dp/B095XCRDQW/ref=sr_1_250?qid=1672923605&amp;s=kitchen&amp;sr=1-250</t>
  </si>
  <si>
    <t>B09CTWFV5W</t>
  </si>
  <si>
    <t>PHILIPS Air Fryer HD9200/90, uses up to 90% less fat, 1400W, 4.1 Liter, with Rapid Air Technology (Black), Large</t>
  </si>
  <si>
    <t>https://www.amazon.in/PHILIPS-Fryer-HD9200-90-Technology/dp/B09CTWFV5W/ref=sr_1_251?qid=1672923605&amp;s=kitchen&amp;sr=1-251</t>
  </si>
  <si>
    <t>B0B7NWGXS6</t>
  </si>
  <si>
    <t>Havells Bero Quartz Heater Black 800w 2 Heat Settings 2 Year Product Warranty</t>
  </si>
  <si>
    <t>https://www.amazon.in/Havells-Quartz-Settings-Product-Warranty/dp/B0B7NWGXS6/ref=sr_1_252?qid=1672923605&amp;s=kitchen&amp;sr=1-252</t>
  </si>
  <si>
    <t>B07DZ986Q2</t>
  </si>
  <si>
    <t>Philips EasyTouch Plus Standing Garment Steamer GC523/60 - 1600 Watt, 5 Steam Settings, Up to 32 g/min steam, with Double Pole</t>
  </si>
  <si>
    <t>https://www.amazon.in/Philips-Garment-Steamer-GC523-60/dp/B07DZ986Q2/ref=sr_1_253?qid=1672923605&amp;s=kitchen&amp;sr=1-253</t>
  </si>
  <si>
    <t>B07KKJPTWB</t>
  </si>
  <si>
    <t>Brayden Chopro, Electric Vegetable Chopper for Kitchen with 500 ML Capacity, 400 Watts Copper Motor and 4 Bi-Level SS Blades (Black)</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</si>
  <si>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</si>
  <si>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</si>
  <si>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</si>
  <si>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</si>
  <si>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</si>
  <si>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</si>
  <si>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https://www.amazon.in/Usha-Janome-Dream-Stitch-Automatic/dp/B086X18Q71/ref=sr_1_259?qid=1672923605&amp;s=kitchen&amp;sr=1-259</t>
  </si>
  <si>
    <t>B07WVQG8WZ</t>
  </si>
  <si>
    <t>Black+Decker Handheld Portable Garment Steamer 1500 Watts with Anti Calc (Violet)</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</si>
  <si>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</si>
  <si>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</si>
  <si>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</si>
  <si>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https://www.amazon.in/Personal-Blender-Portable-Battery-Smoothies/dp/B0BFBNXS94/ref=sr_1_261_mod_primary_new?qid=1672923605&amp;s=kitchen&amp;sbo=RZvfv%2F%2FHxDF%2BO5021pAnSA%3D%3D&amp;sr=1-261</t>
  </si>
  <si>
    <t>B071113J7M</t>
  </si>
  <si>
    <t>Sujata Powermatic Plus 900 Watts Juicer Mixer Grinder</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</si>
  <si>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</si>
  <si>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</si>
  <si>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</si>
  <si>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https://www.amazon.in/Aquaguard-purification-municipal-Eureka-Forbes/dp/B09YLWT89W/ref=sr_1_263?qid=1672923605&amp;s=kitchen&amp;sr=1-263</t>
  </si>
  <si>
    <t>B0814LP6S9</t>
  </si>
  <si>
    <t>PrettyKrafts Laundry Basket for clothes with Lid &amp; Handles, Toys Organiser, 75 Ltr Grey</t>
  </si>
  <si>
    <t>https://www.amazon.in/PrettyKrafts-Laundry-Basket-Clothes-Handles/dp/B0814LP6S9/ref=sr_1_264?qid=1672923605&amp;s=kitchen&amp;sr=1-264</t>
  </si>
  <si>
    <t>B07BKSSDR2</t>
  </si>
  <si>
    <t>Dr Trust Electronic Kitchen Digital Scale Weighing Machine (Blue)</t>
  </si>
  <si>
    <t>Health&amp;PersonalCare</t>
  </si>
  <si>
    <t>HomeMedicalSupplies&amp;Equipment</t>
  </si>
  <si>
    <t>DigitalBathroomScales</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</si>
  <si>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</si>
  <si>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</si>
  <si>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</si>
  <si>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</si>
  <si>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</si>
  <si>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</si>
  <si>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</si>
  <si>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</si>
  <si>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</si>
  <si>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</si>
  <si>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</si>
  <si>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</si>
  <si>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</si>
  <si>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</si>
  <si>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</si>
  <si>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</si>
  <si>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</si>
  <si>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</si>
  <si>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</si>
  <si>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</si>
  <si>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</si>
  <si>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</si>
  <si>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</si>
  <si>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-180ᶿ&amp;105ᶿ |2 year warranty|SS Finish|Standard size</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</si>
  <si>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</si>
  <si>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</si>
  <si>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</si>
  <si>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</si>
  <si>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</si>
  <si>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</si>
  <si>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https://www.amazon.in/Eureka-Forbes-Active-Cleaner-washable/dp/B08HDCWDXD/ref=sr_1_273?qid=1672923606&amp;s=kitchen&amp;sr=1-273</t>
  </si>
  <si>
    <t>B0836JGZ74</t>
  </si>
  <si>
    <t>CSI INTERNATIONAL® Instant Water Geyser, Water Heater, Portable Water Heater, Geyser Made of First Class ABS Plastic 3KW (White)</t>
  </si>
  <si>
    <t>https://www.amazon.in/CSI-INTERNATIONAL%C2%AE-Instant-portable-Plastic/dp/B0836JGZ74/ref=sr_1_274?qid=1672923606&amp;s=kitchen&amp;sr=1-274</t>
  </si>
  <si>
    <t>B0BCKJJN8R</t>
  </si>
  <si>
    <t>Hindware Atlantic Xceed 5L 3kW Instant Water Heater with Copper Heating Element and High Grade Stainless Steel Tank</t>
  </si>
  <si>
    <t>https://www.amazon.in/Hindware-Atlantic-Instant-Heating-Stainless/dp/B0BCKJJN8R/ref=sr_1_275?qid=1672923606&amp;s=kitchen&amp;sr=1-275</t>
  </si>
  <si>
    <t>B008P7IF02</t>
  </si>
  <si>
    <t>Morphy Richards New Europa 800-Watt Espresso and Cappuccino 4-Cup Coffee Maker (Black)</t>
  </si>
  <si>
    <t>EspressoMachines</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</si>
  <si>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</si>
  <si>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</si>
  <si>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</si>
  <si>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https://www.amazon.in/Lifelong-PowerPro-Mixer-Grinder-Super/dp/B08CNLYKW5/ref=sr_1_277?qid=1672923606&amp;s=kitchen&amp;sr=1-277</t>
  </si>
  <si>
    <t>B08C7TYHPB</t>
  </si>
  <si>
    <t>iBELL Castor CTEK15L Premium 1.5 Litre Stainless Steel Electric Kettle,1500W Auto Cut-Off Feature,Silver</t>
  </si>
  <si>
    <t>https://www.amazon.in/CTEK15L-Premium-Stainless-Electric-Cut-Off/dp/B08C7TYHPB/ref=sr_1_278?qid=1672923606&amp;s=kitchen&amp;sr=1-278</t>
  </si>
  <si>
    <t>B08VJFYH6N</t>
  </si>
  <si>
    <t>BAJAJ PYGMY MINI 110 MM 10 W HIGH SPEED OPERATION, USB CHARGING, MULTI-CLIP FUNCTION PERSONAL FAN</t>
  </si>
  <si>
    <t>TableFans</t>
  </si>
  <si>
    <t>https://www.amazon.in/OPERATION-CHARGING-MULTI-CLIP-FUNCTION-PERSONAL/dp/B08VJFYH6N/ref=sr_1_279?qid=1672923606&amp;s=kitchen&amp;sr=1-279</t>
  </si>
  <si>
    <t>B08235JZFB</t>
  </si>
  <si>
    <t>Crompton InstaGlide 1000-Watts Dry Iron with American Heritage Coating, Pack of 1 Iron</t>
  </si>
  <si>
    <t>https://www.amazon.in/Crompton-InstaGlide-Certified-Dry-Iron/dp/B08235JZFB/ref=sr_1_283?qid=1672923606&amp;s=kitchen&amp;sr=1-283</t>
  </si>
  <si>
    <t>B078XFKBZL</t>
  </si>
  <si>
    <t>Prestige Clean Home Water Purifier Cartridge</t>
  </si>
  <si>
    <t>https://www.amazon.in/Prestige-PSWP-2-0-Purifier-Cartridge/dp/B078XFKBZL/ref=sr_1_284_mod_primary_new?qid=1672923606&amp;s=kitchen&amp;sbo=RZvfv%2F%2FHxDF%2BO5021pAnSA%3D%3D&amp;sr=1-284</t>
  </si>
  <si>
    <t>B01M265AAK</t>
  </si>
  <si>
    <t>Morphy Richards Aristo 2000 Watts PTC Room Heater (White)</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</si>
  <si>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</si>
  <si>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</si>
  <si>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</si>
  <si>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https://www.amazon.in/Gadgetronics-Weighing-Warranty-Batteries-Included/dp/B0B694PXQJ/ref=sr_1_286?qid=1672923606&amp;s=kitchen&amp;sr=1-286</t>
  </si>
  <si>
    <t>B00B3VFJY2</t>
  </si>
  <si>
    <t>HUL Pureit Germkill kit for Advanced 23 L water purifier - 3000 L Capacity, Sand, Multicolour</t>
  </si>
  <si>
    <t>https://www.amazon.in/HUL-Pureit-Germkill-Advanced-Purifier/dp/B00B3VFJY2/ref=sr_1_287?qid=1672923606&amp;s=kitchen&amp;sr=1-287</t>
  </si>
  <si>
    <t>B08W9BK4MD</t>
  </si>
  <si>
    <t>Tom &amp; Jerry Folding Laundry Basket for Clothes with Lid &amp; Handle, Toys Organiser, 75 Litre, Green</t>
  </si>
  <si>
    <t>https://www.amazon.in/PrettyKrafts-Folding-Laundry-Clothes-Organiser/dp/B08W9BK4MD/ref=sr_1_288?qid=1672923606&amp;s=kitchen&amp;sr=1-288</t>
  </si>
  <si>
    <t>B09X5HD5T1</t>
  </si>
  <si>
    <t>Ikea Little Loved Corner PRODUKT Milk-frother, Coffee/Tea Frother, Handheld Milk Wand Mixer Frother, Black</t>
  </si>
  <si>
    <t>MilkFrothers</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</si>
  <si>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</si>
  <si>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</si>
  <si>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</si>
  <si>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https://www.amazon.in/EasySpeed-GC2147-30-Resistant-Soleplate/dp/B08H6B3G96/ref=sr_1_290?qid=1672923606&amp;s=kitchen&amp;sr=1-290</t>
  </si>
  <si>
    <t>B09N3BFP4M</t>
  </si>
  <si>
    <t>Bajaj New Shakti Neo Plus 15 Litre 4 Star Rated Storage Water Heater (Geyser) with Multiple Safety System, White</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</si>
  <si>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</si>
  <si>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</si>
  <si>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</si>
  <si>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</si>
  <si>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</si>
  <si>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</si>
  <si>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Humidifiers</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</si>
  <si>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</si>
  <si>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</si>
  <si>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</si>
  <si>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https://www.amazon.in/Multifunctional-Electric-Automatic-Non-Stick-Pan-Tiger/dp/B0BM9H2NY9/ref=sr_1_294?qid=1672923606&amp;s=kitchen&amp;sr=1-294</t>
  </si>
  <si>
    <t>B099FDW2ZF</t>
  </si>
  <si>
    <t>Maharaja Whiteline Nano Carbon Neo, 500 Watts Room Heater (Black, White), Standard (5200100986)</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</si>
  <si>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</si>
  <si>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</si>
  <si>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</si>
  <si>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https://www.amazon.in/KENT-Chopper-B-Stainless-Transparent-Anti-Skid/dp/B0B935YNR7/ref=sr_1_293?qid=1672923607&amp;s=kitchen&amp;sr=1-293</t>
  </si>
  <si>
    <t>B07JGCGNDG</t>
  </si>
  <si>
    <t>Crompton Amica 15-L 5 Star Rated Storage Water Heater (Geyser) with Free Installation (White)</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</si>
  <si>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</si>
  <si>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</si>
  <si>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</si>
  <si>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</si>
  <si>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</si>
  <si>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</si>
  <si>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https://www.amazon.in/Kent-16025-700-Watt-Sandwich-Grill/dp/B07GWTWFS2/ref=sr_1_296?qid=1672923607&amp;s=kitchen&amp;sr=1-296</t>
  </si>
  <si>
    <t>B09KRHXTLN</t>
  </si>
  <si>
    <t>Candes Gloster All in One Silent Blower Fan Room Heater Ideal for Small and Medium Area, 2000 Watts (White)</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</si>
  <si>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</si>
  <si>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</si>
  <si>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</si>
  <si>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https://www.amazon.in/Inalsa-Electric-Heater-Hotty-Certification/dp/B09H34V36W/ref=sr_1_298_mod_primary_new?qid=1672923607&amp;s=kitchen&amp;sbo=RZvfv%2F%2FHxDF%2BO5021pAnSA%3D%3D&amp;sr=1-298</t>
  </si>
  <si>
    <t>B09J2QCKKM</t>
  </si>
  <si>
    <t>Havells Zella Flap Auto Immersion Rod 1500 Watts</t>
  </si>
  <si>
    <t>https://www.amazon.in/Havells-Zella-Immersion-Watts-White/dp/B09J2QCKKM/ref=sr_1_299?qid=1672923607&amp;s=kitchen&amp;sr=1-299</t>
  </si>
  <si>
    <t>B09XRBJ94N</t>
  </si>
  <si>
    <t>iBELL SM1301 3-in-1 Sandwich Maker with Detachable Plates for Toast / Waffle / Grill , 750 Watt (Black)</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</si>
  <si>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</si>
  <si>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</si>
  <si>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</si>
  <si>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</si>
  <si>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</si>
  <si>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</si>
  <si>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https://www.amazon.in/MR-BRAND-Portable-Electric-Rechargeable/dp/B0BNDGL26T/ref=sr_1_302?qid=1672923607&amp;s=kitchen&amp;sr=1-302</t>
  </si>
  <si>
    <t>B095PWLLY6</t>
  </si>
  <si>
    <t>Crompton Hill Briz Deco 1200mm (48 inch) High Speed Designer Ceiling Fan (Smoked Brown)</t>
  </si>
  <si>
    <t>https://www.amazon.in/Crompton-1200mm-Designer-Ceiling-Smoked/dp/B095PWLLY6/ref=sr_1_303?qid=1672923607&amp;s=kitchen&amp;sr=1-303</t>
  </si>
  <si>
    <t>B07Y9PY6Y1</t>
  </si>
  <si>
    <t>Sujata Powermatic Plus, Juicer Mixer Grinder with Chutney Jar, 900 Watts, 3 Jars (White)</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</si>
  <si>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</si>
  <si>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</si>
  <si>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</si>
  <si>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https://www.amazon.in/Aquadpure-Copper-ADJUSTER-Purifier-Technology/dp/B0BJ966M5K/ref=sr_1_308?qid=1672923607&amp;s=kitchen&amp;sr=1-308</t>
  </si>
  <si>
    <t>B086GVRP63</t>
  </si>
  <si>
    <t>Amazon Basics 650 Watt Drip Coffee Maker with Borosilicate Carafe</t>
  </si>
  <si>
    <t>https://www.amazon.in/AmazonBasics-Drip-Coffee-Maker-Black/dp/B086GVRP63/ref=sr_1_309?qid=1672923607&amp;s=kitchen&amp;sr=1-309</t>
  </si>
  <si>
    <t>B08MVXPTDG</t>
  </si>
  <si>
    <t>Crompton Insta Delight Fan Circulator Room Heater with 3 Heat Settings (Slate Grey &amp; Black, 2000 Watt)</t>
  </si>
  <si>
    <t>https://www.amazon.in/Crompton-Delight-Circulator-Heater-Settings/dp/B08MVXPTDG/ref=sr_1_311?qid=1672923607&amp;s=kitchen&amp;sr=1-311</t>
  </si>
  <si>
    <t>B0BMZ6SY89</t>
  </si>
  <si>
    <t>!!HANEUL!!1000 Watt/2000-Watt Room Heater!! Fan Heater!!Pure White!!HN-2500!!Made in India!!Thermoset!!</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</si>
  <si>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</si>
  <si>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</si>
  <si>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</si>
  <si>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https://www.amazon.in/Melbon-Blower-Heater-2000-Watt-White/dp/B09P1MFKG1/ref=sr_1_313?qid=1672923607&amp;s=kitchen&amp;sr=1-313</t>
  </si>
  <si>
    <t>B01LY9W8AF</t>
  </si>
  <si>
    <t>Cello Eliza Plastic Laundry Bag/Basket, 50 litres, Light Grey</t>
  </si>
  <si>
    <t>https://www.amazon.in/Plastic-Laundry-Basket-Light-Grey/dp/B01LY9W8AF/ref=sr_1_314?qid=1672923607&amp;s=kitchen&amp;sr=1-314</t>
  </si>
  <si>
    <t>B07ZJND9B9</t>
  </si>
  <si>
    <t>ACTIVA 1200 MM HIGH SPEED 390 RPM BEE APPROVED 5 STAR RATED APSRA CEILING FAN BROWN 2 Years Warranty</t>
  </si>
  <si>
    <t>https://www.amazon.in/ACTIVA-APSRA-Approved-Ceiling-Warranty/dp/B07ZJND9B9/ref=sr_1_315?qid=1672923607&amp;s=kitchen&amp;sr=1-315</t>
  </si>
  <si>
    <t>B0B2CWRDB1</t>
  </si>
  <si>
    <t>Shakti Technology S5 High Pressure Car Washer Machine 1900 Watts and Pressure 125 Bar with 10 Meter Hose Pipe</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</si>
  <si>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</si>
  <si>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</si>
  <si>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</si>
  <si>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</si>
  <si>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</si>
  <si>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</si>
  <si>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https://www.amazon.in/Demokrazy-Remover-Woolens-Sweaters-Blankets/dp/B08SKZ2RMG/ref=sr_1_318?qid=1672923607&amp;s=kitchen&amp;sr=1-318</t>
  </si>
  <si>
    <t>B0B53DS4TF</t>
  </si>
  <si>
    <t>Instant Pot Air Fryer, Vortex 2QT, Touch Control Panel, 360° EvenCrisp™ Technology, Uses 95 % less Oil, 4-in-1 Appliance: Air Fry, Roast, Bake, Reheat (Vortex 1.97Litre, Black)</t>
  </si>
  <si>
    <t>https://www.amazon.in/Instant-Vortex-2QT-EvenCrispTM-Technology/dp/B0B53DS4TF/ref=sr_1_316?qid=1672923609&amp;s=kitchen&amp;sr=1-316</t>
  </si>
  <si>
    <t>B08BJN4MP3</t>
  </si>
  <si>
    <t>HUL Pureit Eco Water Saver Mineral RO+UV+MF AS wall mounted/Counter top Black 10L Water Purifier</t>
  </si>
  <si>
    <t>https://www.amazon.in/HUL-Pureit-Mineral-mounted-Purifier/dp/B08BJN4MP3/ref=sr_1_317?qid=1672923609&amp;s=kitchen&amp;sr=1-317</t>
  </si>
  <si>
    <t>B0BCYQY9X5</t>
  </si>
  <si>
    <t>Livpure Glo Star RO+UV+UF+Mineraliser - 7 L Storage Tank, 15 LPH Water Purifier for Home, Black</t>
  </si>
  <si>
    <t>https://www.amazon.in/Livpure-Glo-Star-RO-Mineraliser/dp/B0BCYQY9X5/ref=sr_1_318?qid=1672923609&amp;s=kitchen&amp;sr=1-318</t>
  </si>
  <si>
    <t>B009UORDX4</t>
  </si>
  <si>
    <t>Philips Hi113 1000-Watt Plastic Body Ptfe Coating Dry Iron, Pack of 1</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</si>
  <si>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</si>
  <si>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</si>
  <si>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</si>
  <si>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https://www.amazon.in/Kuber-Industries-Foldable-Laundry-KUBMART11446/dp/B08VGDBF3B/ref=sr_1_320?qid=1672923609&amp;s=kitchen&amp;sr=1-320</t>
  </si>
  <si>
    <t>B012ELCYUG</t>
  </si>
  <si>
    <t>Preethi MGA-502 0.4-Litre Grind and Store Jar (White), stainless steel, Set of 1</t>
  </si>
  <si>
    <t>StandMixerAccessories</t>
  </si>
  <si>
    <t>https://www.amazon.in/Preethi-MGA-502-0-4-Litre-Grind-Store/dp/B012ELCYUG/ref=sr_1_321?qid=1672923609&amp;s=kitchen&amp;sr=1-321</t>
  </si>
  <si>
    <t>B07S9M8YTY</t>
  </si>
  <si>
    <t>Usha Aurora 1000 W Dry Iron with Innovative Tail Light Indicator, Weilburger Soleplate (White &amp; Grey)</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</si>
  <si>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</si>
  <si>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</si>
  <si>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</si>
  <si>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RoboticVacuums</t>
  </si>
  <si>
    <t>https://www.amazon.in/ECOVACS-Robotic-Powerful-Advanced-Technology/dp/B0B19VJXQZ/ref=sr_1_323?qid=1672923609&amp;s=kitchen&amp;sr=1-323</t>
  </si>
  <si>
    <t>B00SMFPJG0</t>
  </si>
  <si>
    <t>Kent Gold, Optima, Gold+ Spare Kit</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</si>
  <si>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</si>
  <si>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</si>
  <si>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</si>
  <si>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https://www.amazon.in/AVNISH-Water-Filter-Layer-Filtration/dp/B0BHYLCL19/ref=sr_1_325?qid=1672923609&amp;s=kitchen&amp;sr=1-325</t>
  </si>
  <si>
    <t>B0BPJBTB3F</t>
  </si>
  <si>
    <t>Khaitan ORFin Fan heater for Home and kitchen-K0 2215</t>
  </si>
  <si>
    <t>https://www.amazon.in/Khaitan-ORFin-heater-Home-kitchen-K0/dp/B0BPJBTB3F/ref=sr_1_326?qid=1672923609&amp;s=kitchen&amp;sr=1-326</t>
  </si>
  <si>
    <t>B08MXJYB2V</t>
  </si>
  <si>
    <t>USHA RapidMix 500-Watt Copper Motor Mixer Grinder with 3 Jars and 5 Years Warranty(Sea Green/White)</t>
  </si>
  <si>
    <t>https://www.amazon.in/USHA-RapidMix-500-Watt-Copper-Grinder/dp/B08MXJYB2V/ref=sr_1_331?qid=1672923609&amp;s=kitchen&amp;sr=1-331</t>
  </si>
  <si>
    <t>B081B1JL35</t>
  </si>
  <si>
    <t>CSI INTERNATIONAL® Instant Water Geyser, Water Heater, Portable Water Heater, Geyser Made of First Class ABS Plastic 3KW (Red)</t>
  </si>
  <si>
    <t>https://www.amazon.in/CSI-INTERNATIONAL%C2%AE-Instant-portable-Plastic/dp/B081B1JL35/ref=sr_1_332?qid=1672923609&amp;s=kitchen&amp;sr=1-332</t>
  </si>
  <si>
    <t>B09VL9KFDB</t>
  </si>
  <si>
    <t>Havells Gatik Neo 400mm Pedestal Fan (Aqua Blue)</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</si>
  <si>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</si>
  <si>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</si>
  <si>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</si>
  <si>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</si>
  <si>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</si>
  <si>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</si>
  <si>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</si>
  <si>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</si>
  <si>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</si>
  <si>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https://www.amazon.in/Nirdambhay-Handheld-Portable-Resealer-Including/dp/B08YK7BBD2/ref=sr_1_338?qid=1672923609&amp;s=kitchen&amp;sr=1-338</t>
  </si>
  <si>
    <t>B07YQ5SN4H</t>
  </si>
  <si>
    <t>Cello Non-Stick Aluminium Sandwich Gas Toaster(Black)</t>
  </si>
  <si>
    <t>https://www.amazon.in/Cello-Non-Stick-Aluminium-Sandwich-Toaster/dp/B07YQ5SN4H/ref=sr_1_339?qid=1672923609&amp;s=kitchen&amp;sr=1-339</t>
  </si>
  <si>
    <t>B0B7FJNSZR</t>
  </si>
  <si>
    <t>Proven® Copper + Mineral RO+UV+UF 10 to 12 Liter RO + UV + TDS ADJUSTER Water Purifier with Copper Charge Technology black &amp; copper Best For Home and Office (Made In India)</t>
  </si>
  <si>
    <t>https://www.amazon.in/Proven%C2%AE-Copper-ADJUSTER-Purifier-Technology/dp/B0B7FJNSZR/ref=sr_1_340?qid=1672923609&amp;s=kitchen&amp;sr=1-340</t>
  </si>
  <si>
    <t>B01N6IJG0F</t>
  </si>
  <si>
    <t>Morphy Richards Daisy 1000W Dry Iron with American Heritage Non-Stick Coated Soleplate, White</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</si>
  <si>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</si>
  <si>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</si>
  <si>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</si>
  <si>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https://www.amazon.in/Lightweight-Automatic-bacterial-Weilburger-Soleplate/dp/B0B84QN4CN/ref=sr_1_342?qid=1672923609&amp;s=kitchen&amp;sr=1-342</t>
  </si>
  <si>
    <t>B0B8ZM9RVV</t>
  </si>
  <si>
    <t>Zuvexa Egg Boiler Poacher Automatic Off Steaming, Cooking, Boiling Double Layer 14 Egg Boiler (Multicolor)…</t>
  </si>
  <si>
    <t>https://www.amazon.in/Zuvexa-Poacher-Automatic-Steaming-Multicolor/dp/B0B8ZM9RVV/ref=sr_1_340?qid=1672923610&amp;s=kitchen&amp;sr=1-340</t>
  </si>
  <si>
    <t>B01892MIPA</t>
  </si>
  <si>
    <t>AO Smith HSE-VAS-X-015 Storage 15 Litre Vertical Water Heater (Geyser) White 4 Star</t>
  </si>
  <si>
    <t>https://www.amazon.in/AO-Smith-HSE-VAS-15-Litre-Storage/dp/B01892MIPA/ref=sr_1_341?qid=1672923610&amp;s=kitchen&amp;sr=1-341</t>
  </si>
  <si>
    <t>B08ZHYNTM1</t>
  </si>
  <si>
    <t>Havells Festiva 1200mm Dust Resistant Ceiling Fan (Gold Mist)</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</si>
  <si>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</si>
  <si>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</si>
  <si>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</si>
  <si>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https://www.amazon.in/Handheld-Powerful-Filtration-Lightweight-Accessories/dp/B09SDDQQKP/ref=sr_1_343?qid=1672923610&amp;s=kitchen&amp;sr=1-343</t>
  </si>
  <si>
    <t>B0B5RP43VN</t>
  </si>
  <si>
    <t>iBELL SM1515NEW Sandwich Maker with Floating Hinges, 1000Watt, Panini / Grill / Toast (Black)</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</si>
  <si>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</si>
  <si>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</si>
  <si>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</si>
  <si>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https://www.amazon.in/Eureka-Forbes-Aquaguard-boiling-Technology/dp/B096NTB9XT/ref=sr_1_346?qid=1672923610&amp;s=kitchen&amp;sr=1-346</t>
  </si>
  <si>
    <t>B078JF6X9B</t>
  </si>
  <si>
    <t>Havells Instanio 3-Litre 4.5KW Instant Water Heater (Geyser), White Blue</t>
  </si>
  <si>
    <t>https://www.amazon.in/Havells-Instanio-3-Litre-Instant-Geyser/dp/B078JF6X9B/ref=sr_1_347?qid=1672923610&amp;s=kitchen&amp;sr=1-347</t>
  </si>
  <si>
    <t>B08CGW4GYR</t>
  </si>
  <si>
    <t>Milk Frother, Immersion Blender Cordlesss Foam Maker USB Rechargeable Small Mixer Handheld with 2 Stainless Whisks，Wisker for Stirring 3-Speed Adjustable Mini Frother for Cappuccino Latte Coffee Egg</t>
  </si>
  <si>
    <t>https://www.amazon.in/Rechargeable-whisks%EF%BC%8C3-Speed-Adjustable-Cappuccino-Bulletproof/dp/B08CGW4GYR/ref=sr_1_348?qid=1672923610&amp;s=kitchen&amp;sr=1-348</t>
  </si>
  <si>
    <t>B00A328ENA</t>
  </si>
  <si>
    <t>Panasonic SR-WA22H (E) Automatic Rice Cooker, Apple Green, 2.2 Liters</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</si>
  <si>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</si>
  <si>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</si>
  <si>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</si>
  <si>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</si>
  <si>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</si>
  <si>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</si>
  <si>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https://www.amazon.in/Goodscity-Garment-Steamer-Clothes-Steam/dp/B09PDZNSBG/ref=sr_1_351?qid=1672923610&amp;s=kitchen&amp;sr=1-351</t>
  </si>
  <si>
    <t>B085LPT5F4</t>
  </si>
  <si>
    <t>Solidaire 550-Watt Mixer Grinder with 3 Jars (Black) (SLD-550-B)</t>
  </si>
  <si>
    <t>https://www.amazon.in/Solidaire-550-Watt-Mixer-Grinder-SLD-550-B/dp/B085LPT5F4/ref=sr_1_356?qid=1672923610&amp;s=kitchen&amp;sr=1-356</t>
  </si>
  <si>
    <t>B0B9RZ4G4W</t>
  </si>
  <si>
    <t>Amazon Basics 300 W Hand Blender with Stainless Steel Stem for Hot/Cold Blending and In-Built Cord Hook, ISI-Marked, Black</t>
  </si>
  <si>
    <t>https://www.amazon.in/Amazon-Blender-Stainless-Blending-ISI-Marked/dp/B0B9RZ4G4W/ref=sr_1_357?qid=1672923610&amp;s=kitchen&amp;sr=1-357</t>
  </si>
  <si>
    <t>B0085W2MUQ</t>
  </si>
  <si>
    <t>Orpat HHB-100E 250-Watt Hand Blender (White)</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</si>
  <si>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</si>
  <si>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</si>
  <si>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</si>
  <si>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https://www.amazon.in/HealthSense-New-Feel-Rechargeable-Electric-Sweaters/dp/B09474JWN6/ref=sr_1_361?qid=1672923610&amp;s=kitchen&amp;sr=1-361</t>
  </si>
  <si>
    <t>B09G2VTHQM</t>
  </si>
  <si>
    <t>AGARO Classic Portable Yogurt Maker, 1.2L Capacity, Electric, Automatic, Grey and White, Medium (33603)</t>
  </si>
  <si>
    <t>YogurtMakers</t>
  </si>
  <si>
    <t>https://www.amazon.in/AGARO-Portable-Capacity-Automatic-33603/dp/B09G2VTHQM/ref=sr_1_362?qid=1672923610&amp;s=kitchen&amp;sr=1-362</t>
  </si>
  <si>
    <t>B07R679HTT</t>
  </si>
  <si>
    <t>AGARO Imperial 240-Watt Slow Juicer with Cold Press Technology</t>
  </si>
  <si>
    <t>ColdPressJuicers</t>
  </si>
  <si>
    <t>https://www.amazon.in/AGARO-Imperial-Slow-Juicer-Watts/dp/B07R679HTT/ref=sr_1_363?qid=1672923610&amp;s=kitchen&amp;sr=1-363</t>
  </si>
  <si>
    <t>B00B7GKXMG</t>
  </si>
  <si>
    <t>Wipro Smartlife Super Deluxe Dry Iron- 1000W</t>
  </si>
  <si>
    <t>https://www.amazon.in/Wipro-Smartlife-Super-Deluxe-Iron/dp/B00B7GKXMG/ref=sr_1_364?qid=1672923610&amp;s=kitchen&amp;sr=1-364</t>
  </si>
  <si>
    <t>B07H3N8RJH</t>
  </si>
  <si>
    <t>AmazonBasics Cylinder Bagless Vacuum Cleaner with Power Suction, Low Sound, High Energy Efficiency and 2 Years Warranty (1.5L, Black)</t>
  </si>
  <si>
    <t>https://www.amazon.in/AmazonBasics-VCS35B15K-C-1-5-Litre-Bagless-Cylinder/dp/B07H3N8RJH/ref=sr_1_365?qid=1672923610&amp;s=kitchen&amp;sr=1-365</t>
  </si>
  <si>
    <t>B07K2HVKLL</t>
  </si>
  <si>
    <t>Crompton IHL 251 1500-Watt Immersion Water Heater with Copper Heating Element and IP 68 Protection</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</si>
  <si>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</si>
  <si>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</si>
  <si>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</si>
  <si>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https://www.amazon.in/SaiEllin-Heater-Portable-Bedroom-Compact/dp/B09MQ9PDHR/ref=sr_1_364?qid=1672923611&amp;s=kitchen&amp;sr=1-364</t>
  </si>
  <si>
    <t>B014HDJ7ZE</t>
  </si>
  <si>
    <t>Bajaj Majesty Duetto Gas 6 Ltr Vertical Water Heater ( LPG), White</t>
  </si>
  <si>
    <t>https://www.amazon.in/Bajaj-Majesty-Duetto-LPG-6-Litre/dp/B014HDJ7ZE/ref=sr_1_365?qid=1672923611&amp;s=kitchen&amp;sr=1-365</t>
  </si>
  <si>
    <t>B07D2NMTTV</t>
  </si>
  <si>
    <t>Black + Decker BD BXIR2201IN 2200-Watt Cord &amp; Cordless Steam Iron (Green)</t>
  </si>
  <si>
    <t>https://www.amazon.in/Black-Decker-BXIR2201IN-2200-Watt-Cordless/dp/B07D2NMTTV/ref=sr_1_366?qid=1672923611&amp;s=kitchen&amp;sr=1-366</t>
  </si>
  <si>
    <t>B075K76YW1</t>
  </si>
  <si>
    <t>Inalsa Hand Blender| Hand Mixer|Beater - Easy Mix, Powerful 250 Watt Motor | Variable 7 Speed Control | 1 Year Warranty | (White/Red)</t>
  </si>
  <si>
    <t>https://www.amazon.in/Inalsa-Easy-Mix-200-Watt-Mixer/dp/B075K76YW1/ref=sr_1_367?qid=1672923611&amp;s=kitchen&amp;sr=1-367</t>
  </si>
  <si>
    <t>B0BNLFQDG2</t>
  </si>
  <si>
    <t>Longway Blaze 2 Rod Quartz Room Heater (White, Gray, 800 watts)</t>
  </si>
  <si>
    <t>https://www.amazon.in/Longway-Blaze-Quartz-Heater-White/dp/B0BNLFQDG2/ref=sr_1_368?qid=1672923611&amp;s=kitchen&amp;sr=1-368</t>
  </si>
  <si>
    <t>B082ZQ4479</t>
  </si>
  <si>
    <t>Prestige PWG 07 Wet Grinder, 2L (Multicolor) with Coconut Scraper and Atta Kneader Attachments, 200 Watt</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</si>
  <si>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</si>
  <si>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</si>
  <si>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</si>
  <si>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https://www.amazon.in/Pigeon-Powerful-Stainless-Grinding-Polycarbonate/dp/B09Y358DZQ/ref=sr_1_370?qid=1672923611&amp;s=kitchen&amp;sr=1-370</t>
  </si>
  <si>
    <t>B09M3F4HGB</t>
  </si>
  <si>
    <t>Borosil Volcano 13 Fin Oil Filled Radiator Room Heater, 2900 W, Black</t>
  </si>
  <si>
    <t>https://www.amazon.in/Borosil-Volcano-Filled-Radiator-Heater/dp/B09M3F4HGB/ref=sr_1_371?qid=1672923611&amp;s=kitchen&amp;sr=1-371</t>
  </si>
  <si>
    <t>B07VZH6ZBB</t>
  </si>
  <si>
    <t>Crompton Solarium Qube 15-L 5 Star Rated Storage Water Heater (Geyser) with Free Installation and Connection Pipes (White and Black)</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</si>
  <si>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</si>
  <si>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</si>
  <si>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</si>
  <si>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https://www.amazon.in/Singer-Aroma-1-8-Litre-Electric-Kettle/dp/B07F366Z51/ref=sr_1_373?qid=1672923611&amp;s=kitchen&amp;sr=1-373</t>
  </si>
  <si>
    <t>B077BTLQ67</t>
  </si>
  <si>
    <t>Orient Electric Aura Neo Instant 3L Water Heater (Geyser), 5-level Safety Shield, Stainless Steel Tank (White &amp; Turquoise)</t>
  </si>
  <si>
    <t>https://www.amazon.in/Orient-Electric-Aura-Neo-IWAN03WSM3/dp/B077BTLQ67/ref=sr_1_374?qid=1672923611&amp;s=kitchen&amp;sr=1-374</t>
  </si>
  <si>
    <t>B07YSJ7FF1</t>
  </si>
  <si>
    <t>Crompton Brio 1000-Watts Dry Iron with Weilburger Coating (Sky Blue and White)</t>
  </si>
  <si>
    <t>https://www.amazon.in/Crompton-BRIO-1000-Years-Warranty/dp/B07YSJ7FF1/ref=sr_1_375?qid=1672923611&amp;s=kitchen&amp;sr=1-375</t>
  </si>
  <si>
    <t>B07TXCY3YK</t>
  </si>
  <si>
    <t>Butterfly Hero Mixer Grinder, 500W, 3 Jars (Grey)</t>
  </si>
  <si>
    <t>https://www.amazon.in/Butterfly-Hero-500-Mixer-Grinder/dp/B07TXCY3YK/ref=sr_1_379?qid=1672923611&amp;s=kitchen&amp;sr=1-379</t>
  </si>
  <si>
    <t>B07TC9F7PN</t>
  </si>
  <si>
    <t>Racold Eterno Pro 25L Vertical 5 Star Storage Water Heater (Geyser) with free Standard Installation and free Installation Pipes</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</si>
  <si>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</si>
  <si>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</si>
  <si>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</si>
  <si>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Split-SystemAirConditioners</t>
  </si>
  <si>
    <t>https://www.amazon.in/LG-Convertible-Anti-Virus-Protection-PS-Q19YNZE/dp/B09NS5TKPN/ref=sr_1_381?qid=1672923611&amp;s=kitchen&amp;sr=1-381</t>
  </si>
  <si>
    <t>B00LP9RFSU</t>
  </si>
  <si>
    <t>Eureka Forbes Aquasure Amrit Twin Cartridge (Pack of 2), White</t>
  </si>
  <si>
    <t>https://www.amazon.in/Eureka-Forbes-Amrit-Twin-Cartridge/dp/B00LP9RFSU/ref=sr_1_382?qid=1672923611&amp;s=kitchen&amp;sr=1-382</t>
  </si>
  <si>
    <t>B0B7L86YCB</t>
  </si>
  <si>
    <t>Green Tales Heat Seal Mini Food Sealer-Impulse Machine for Sealing Plastic Bags Packaging</t>
  </si>
  <si>
    <t>https://www.amazon.in/Green-Tales-Sealer-Impulse-Machine-Packaging/dp/B0B7L86YCB/ref=sr_1_383?qid=1672923611&amp;s=kitchen&amp;sr=1-383</t>
  </si>
  <si>
    <t>B09VPH38JS</t>
  </si>
  <si>
    <t>SaleOn Instant Coal Heater 500W Charcoal Burner Electric Stove Hot Plate - Mix Colors - Pack of 1 - Only Charcoal Heater</t>
  </si>
  <si>
    <t>https://www.amazon.in/SaleOn-Charcoal-Electric-Appliances-Mix-colors/dp/B09VPH38JS/ref=sr_1_384?qid=1672923611&amp;s=kitchen&amp;sr=1-384</t>
  </si>
  <si>
    <t>B01MUAUOCX</t>
  </si>
  <si>
    <t>Sujata Chutney Steel Jar, 400 ml, (White), Stainless Steel</t>
  </si>
  <si>
    <t>SmallApplianceParts&amp;Accessories</t>
  </si>
  <si>
    <t>https://www.amazon.in/SUJATA-Chutney-Jar-Small-8x8x8cm/dp/B01MUAUOCX/ref=sr_1_386?qid=1672923611&amp;s=kitchen&amp;sr=1-386</t>
  </si>
  <si>
    <t>B09MB3DKG1</t>
  </si>
  <si>
    <t>KHAITAN AVAANTE KA-2013 1200 Watt 3-Rod Halogen Heater (1200 Watts, Grey)</t>
  </si>
  <si>
    <t>https://www.amazon.in/KHAITAN-AVAANTE-KA-2013-Halogen-Heater/dp/B09MB3DKG1/ref=sr_1_387?qid=1672923611&amp;s=kitchen&amp;sr=1-387</t>
  </si>
  <si>
    <t>B08QHLXWV3</t>
  </si>
  <si>
    <t>Kenstar 2400 Watts 9 Fins Oil Filled Radiator with PTC Fan Heater (BLACK GOLD)</t>
  </si>
  <si>
    <t>https://www.amazon.in/Kenstar-Watts-Filled-Radiator-Heater/dp/B08QHLXWV3/ref=sr_1_388?qid=1672923611&amp;s=kitchen&amp;sr=1-388</t>
  </si>
  <si>
    <t>B07G147SZD</t>
  </si>
  <si>
    <t>NEXOMS Instant Heating Water Tap Wall Mounted with 3 Pin Indian Plug (16Amp)</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</si>
  <si>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</si>
  <si>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</si>
  <si>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</si>
  <si>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WaffleMakers&amp;Irons</t>
  </si>
  <si>
    <t>https://www.amazon.in/BONIRY-Waffle-Maker-Inch-Watts/dp/B09LH32678/ref=sr_1_390?qid=1672923611&amp;s=kitchen&amp;sr=1-390</t>
  </si>
  <si>
    <t>B09R1YFL6S</t>
  </si>
  <si>
    <t>Candes BlowHot All in One Silent Blower Fan Room Heater (ABS Body, White, Brown) 2000 Watts</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</si>
  <si>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</si>
  <si>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</si>
  <si>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</si>
  <si>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</si>
  <si>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</si>
  <si>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</si>
  <si>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https://www.amazon.in/Kitchen-Kit-Electric-Stainless-Protection/dp/B097RN7BBK/ref=sr_1_390?qid=1672923612&amp;s=kitchen&amp;sr=1-390</t>
  </si>
  <si>
    <t>B097MKZHNV</t>
  </si>
  <si>
    <t>Racold Pronto Pro 3Litres 3KW Vertical Instant Water Heater (Geyser)</t>
  </si>
  <si>
    <t>https://www.amazon.in/Racold-Pronto-3Litres-Vertical-Instant/dp/B097MKZHNV/ref=sr_1_391?qid=1672923612&amp;s=kitchen&amp;sr=1-391</t>
  </si>
  <si>
    <t>B07LG96SDB</t>
  </si>
  <si>
    <t>ESN 999 Supreme Quality 1500W Immersion Water Heater Rod (Black)</t>
  </si>
  <si>
    <t>https://www.amazon.in/ESN-999-Quality-Immersion-Heater/dp/B07LG96SDB/ref=sr_1_392?qid=1672923612&amp;s=kitchen&amp;sr=1-392</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</si>
  <si>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</si>
  <si>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</si>
  <si>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https://www.amazon.in/n1-Retail-Stainless-Indian-Coffee/dp/B08KS2KQTK/ref=sr_1_393?qid=1672923612&amp;s=kitchen&amp;sr=1-393</t>
  </si>
  <si>
    <t>B095K14P86</t>
  </si>
  <si>
    <t>Saiyam Stainless Steel Espresso Maker Stovetop Coffee Percolator Italian Coffee Maker Moka Pot (4 Cup - 200 ml, Silver)</t>
  </si>
  <si>
    <t>StovetopEspressoPots</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</si>
  <si>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</si>
  <si>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</si>
  <si>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</si>
  <si>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</si>
  <si>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</si>
  <si>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</si>
  <si>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https://www.amazon.in/Havells-Glydo-1000-Watt-Iron-Charcoal/dp/B07LDPLSZC/ref=sr_1_396?qid=1672923612&amp;s=kitchen&amp;sr=1-396</t>
  </si>
  <si>
    <t>B07F1T31ZZ</t>
  </si>
  <si>
    <t>Raffles Premium Stainless Steel South Indian Coffee Filter/Drip Coffee Maker, 2-3 Cups, 150 ml</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</si>
  <si>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</si>
  <si>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</si>
  <si>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</si>
  <si>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</si>
  <si>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</si>
  <si>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</si>
  <si>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</si>
  <si>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</si>
  <si>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</si>
  <si>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MeasuringSpoons</t>
  </si>
  <si>
    <t>https://www.amazon.in/INKULTURE-Stainless-Measuring-Kitchen-Gadgets/dp/B08JKPVDKL/ref=sr_1_404?qid=1672923612&amp;s=kitchen&amp;sr=1-404</t>
  </si>
  <si>
    <t>B09JFR8H3Q</t>
  </si>
  <si>
    <t>Macmillan Aquafresh 5 Micron PS-05 10" in PP Spun Filter Candle Set for All Type RO Water Purifier 10 inch (4)</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</si>
  <si>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</si>
  <si>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</si>
  <si>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</si>
  <si>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https://www.amazon.in/Havells-Dzire-1000-Watt-Iron-Mint/dp/B07LDN9Q2P/ref=sr_1_406?qid=1672923612&amp;s=kitchen&amp;sr=1-406</t>
  </si>
  <si>
    <t>B08T8KWNQ9</t>
  </si>
  <si>
    <t>TE™ Instant Electric Heating Hot and Cold Water Geyser Tap Water with Digital Display (White)</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</si>
  <si>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</si>
  <si>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</si>
  <si>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</si>
  <si>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</si>
  <si>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</si>
  <si>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</si>
  <si>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https://www.amazon.in/Kent-Alkaline-Filter-Pitcher-3-5-litres/dp/B0762HXMTF/ref=sr_1_410?qid=1672923612&amp;s=kitchen&amp;sr=1-410</t>
  </si>
  <si>
    <t>B00K57MR22</t>
  </si>
  <si>
    <t>Sujata Dynamix DX Mixer Grinder, 900W, 3 Jars (White)</t>
  </si>
  <si>
    <t>https://www.amazon.in/Sujata-DynaMix-DX-900-Watt-Grinder/dp/B00K57MR22/ref=sr_1_411?qid=1672923612&amp;s=kitchen&amp;sr=1-411</t>
  </si>
  <si>
    <t>B07TTSS5MP</t>
  </si>
  <si>
    <t>Lifelong LLMG74 750 Watt Mixer Grinder with 3 Jars (White and Grey)</t>
  </si>
  <si>
    <t>https://www.amazon.in/Lifelong-LLMG74-Mixer-Grinder-White/dp/B07TTSS5MP/ref=sr_1_412?qid=1672923612&amp;s=kitchen&amp;sr=1-412</t>
  </si>
  <si>
    <t>B09ZDVL7L8</t>
  </si>
  <si>
    <t>TTK Prestige Limited Orion Mixer Grinder 500 Watts, 3 Jars (1200ml, 1000ml, 500ml) (Red)</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</si>
  <si>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</si>
  <si>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</si>
  <si>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</si>
  <si>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https://www.amazon.in/AGARO-Regal-Electric-Ceramic-functions/dp/B09XHXXCFH/ref=sr_1_412?qid=1672923613&amp;s=kitchen&amp;sr=1-412</t>
  </si>
  <si>
    <t>B0BL3R4RGS</t>
  </si>
  <si>
    <t>VAPJA® Portable Mini Juicer Cup Blender USB Rechargeable with 4 Blades for Shakes and Smoothies Fruits Vegetables Juice Maker Grinder Mixer Strong Cutting Bottle Sports Travel Outdoors Gym (BOTTLE)</t>
  </si>
  <si>
    <t>https://www.amazon.in/Portable-Rechargeable-Smoothies-Vegetables-BOTTLE/dp/B0BL3R4RGS/ref=sr_1_415?qid=1672923613&amp;s=kitchen&amp;sr=1-415</t>
  </si>
  <si>
    <t>B07P1BR7L8</t>
  </si>
  <si>
    <t>Philips HD6975/00 25 Litre Digital Oven Toaster Grill, Grey, 25 liter</t>
  </si>
  <si>
    <t>https://www.amazon.in/Philips-HD6975-00-25-Litre-Digital/dp/B07P1BR7L8/ref=sr_1_417?qid=1672923613&amp;s=kitchen&amp;sr=1-417</t>
  </si>
  <si>
    <t>B078WB1VWJ</t>
  </si>
  <si>
    <t>Usha EI 3710 Heavy Weight 1000-Watt Dry Iron with Golden American Heritage Soleplate, 1.75 Kg(White)</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</si>
  <si>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</si>
  <si>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</si>
  <si>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</si>
  <si>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https://www.amazon.in/Spring-Chef-Stainless-Restaurant-Installation/dp/B0BP89YBC1/ref=sr_1_419?qid=1672923613&amp;s=kitchen&amp;sr=1-419</t>
  </si>
  <si>
    <t>B09W9V2PXG</t>
  </si>
  <si>
    <t>Themisto TH-WS20 Digital Kitchen Weighing Scale Stainless Steel (5Kg)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</si>
  <si>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</si>
  <si>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</si>
  <si>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</si>
  <si>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</si>
  <si>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</si>
  <si>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</si>
  <si>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</si>
  <si>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</si>
  <si>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</si>
  <si>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</si>
  <si>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</si>
  <si>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</si>
  <si>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</si>
  <si>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</si>
  <si>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</si>
  <si>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https://www.amazon.in/TOPLINE-Egg-Beater-Stainless-Attachments/dp/B08RDWBYCQ/ref=sr_1_429?qid=1672923613&amp;s=kitchen&amp;sr=1-429</t>
  </si>
  <si>
    <t>B09FHHTL8L</t>
  </si>
  <si>
    <t>Empty Mist Trigger Plastic Spray Bottle for Multi use 200ml Pack of 2</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</si>
  <si>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</si>
  <si>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</si>
  <si>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t>
  </si>
  <si>
    <t>https://www.amazon.in/LONAXA-Travel-Rechargeable-Fruit-Juicer/dp/B0BHNHMR3H/ref=sr_1_431?qid=1672923613&amp;s=kitchen&amp;sr=1-431</t>
  </si>
  <si>
    <t>B07D8VBYB4</t>
  </si>
  <si>
    <t>SUJATA Powermatic Plus, Juicer Mixer Grinder, 900 Watts, 2 Jars (White)</t>
  </si>
  <si>
    <t>https://www.amazon.in/Powermatic-Plus-CH-900-Watt-Grinder/dp/B07D8VBYB4/ref=sr_1_432?qid=1672923613&amp;s=kitchen&amp;sr=1-432</t>
  </si>
  <si>
    <t>B0B3TBY2YX</t>
  </si>
  <si>
    <t>AGARO Royal Double Layered Kettle, 1.5 Litres, Double Layered Cool Touch , Dry Boiling Protection, Black</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</si>
  <si>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</si>
  <si>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</si>
  <si>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</si>
  <si>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CoffeePresses</t>
  </si>
  <si>
    <t>https://www.amazon.in/Cafe-JEI-Filtration-Resistant-Borosilicate/dp/B088WCFPQF/ref=sr_1_436?qid=1672923613&amp;s=kitchen&amp;sr=1-436</t>
  </si>
  <si>
    <t>B07JZSG42Y</t>
  </si>
  <si>
    <t>Borosil Prime Grill Sandwich Maker (Grey)</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</si>
  <si>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</si>
  <si>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</si>
  <si>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</si>
  <si>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https://www.amazon.in/Candes-Automatic-Instant-Multiple-Perfecto/dp/B08YRMBK9R/ref=sr_1_438?qid=1672923613&amp;s=kitchen&amp;sr=1-438</t>
  </si>
  <si>
    <t>B00935MGHS</t>
  </si>
  <si>
    <t>Prestige PSMFB 800 Watt Sandwich Toaster with Fixed Plates, Black</t>
  </si>
  <si>
    <t>https://www.amazon.in/Prestige-PSMFB-Sandwich-Toaster-Plates/dp/B00935MGHS/ref=sr_1_436?qid=1672923614&amp;s=kitchen&amp;sr=1-436</t>
  </si>
  <si>
    <t>B07B5XJ572</t>
  </si>
  <si>
    <t>iBELL MPK120L Premium Stainless Steel Multi Purpose Kettle/Cooker with Inner Pot 1.2 Litre (Silver)</t>
  </si>
  <si>
    <t>https://www.amazon.in/iBELL-MPK120L-Stainless-Purpose-Kettle/dp/B07B5XJ572/ref=sr_1_437?qid=1672923614&amp;s=kitchen&amp;sr=1-437</t>
  </si>
  <si>
    <t>B086199CWG</t>
  </si>
  <si>
    <t>Maharaja Whiteline Odacio Plus 550-Watt Juicer Mixer Grinder with 3 Jars (Black/Silver)</t>
  </si>
  <si>
    <t>https://www.amazon.in/Maharaja-Whiteline-Odacio-550-Watt-Grinder/dp/B086199CWG/ref=sr_1_438?qid=1672923614&amp;s=kitchen&amp;sr=1-438</t>
  </si>
  <si>
    <t>B0BBWJFK5C</t>
  </si>
  <si>
    <t>Shakti Technology S3 High Pressure Car Washer Machine 1800 Watts and Pressure 120 Bar for Cleaning Car, Bike &amp; Home</t>
  </si>
  <si>
    <t>https://www.amazon.in/Shakti-Technology-S3-Pressure-Cleaning/dp/B0BBWJFK5C/ref=sr_1_439?qid=1672923614&amp;s=kitchen&amp;sr=1-439</t>
  </si>
  <si>
    <t>B07GLS2563</t>
  </si>
  <si>
    <t>Cello Quick Boil Popular Electric Kettle 1 Litre 1200 Watts | Stainless Steel body | Boiler for Water, Silver</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</si>
  <si>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</si>
  <si>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</si>
  <si>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</si>
  <si>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https://www.amazon.in/AGARO-Ultrasonic-Humidifier-4-5Litres-Adjustable/dp/B09P182Z2H/ref=sr_1_441?qid=1672923614&amp;s=kitchen&amp;sr=1-441</t>
  </si>
  <si>
    <t>B0B59K1C8F</t>
  </si>
  <si>
    <t>Wolpin 1 Lint Roller with 60 Sheets Remove Clothes Lint Dog Hair Dust (19 x 13 cm) Orange</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</si>
  <si>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</si>
  <si>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</si>
  <si>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</si>
  <si>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https://www.amazon.in/Measuring-Cups-Spoons-Set-Essential/dp/B06Y36JKC3/ref=sr_1_443?qid=1672923614&amp;s=kitchen&amp;sr=1-443</t>
  </si>
  <si>
    <t>B075S9FVRY</t>
  </si>
  <si>
    <t>Sujata Supermix, Mixer Grinder, 900 Watts, 3 Jars (White)</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</si>
  <si>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</si>
  <si>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</si>
  <si>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</si>
  <si>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</si>
  <si>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</si>
  <si>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</si>
  <si>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https://www.amazon.in/V-Guard-Zenora-Litre-Purifier-Purification/dp/B07FJNNZCJ/ref=sr_1_446?qid=1672923614&amp;s=kitchen&amp;sr=1-446</t>
  </si>
  <si>
    <t>B09MFR93KS</t>
  </si>
  <si>
    <t>Bajaj Rex DLX 750 W 4 Jars Mixer Grinder, White and Blue</t>
  </si>
  <si>
    <t>https://www.amazon.in/Bajaj-Jars-Mixer-Grinder-White/dp/B09MFR93KS/ref=sr_1_447?qid=1672923614&amp;s=kitchen&amp;sr=1-447</t>
  </si>
  <si>
    <t>B07Y5FDPKV</t>
  </si>
  <si>
    <t>KENT 16051 Hand Blender 300 W | 5 Variable Speed Control | Multiple Beaters &amp; Dough Hooks | Turbo Function</t>
  </si>
  <si>
    <t>https://www.amazon.in/Kent-Hand-Blender-300-White/dp/B07Y5FDPKV/ref=sr_1_451?qid=1672923614&amp;s=kitchen&amp;sr=1-451</t>
  </si>
  <si>
    <t>B0756KCV5K</t>
  </si>
  <si>
    <t>Prestige PIC 15.0+ 1900-Watt Induction Cooktop (Black)</t>
  </si>
  <si>
    <t>https://www.amazon.in/Prestige-PIC-15-0-1900-Watt-Induction/dp/B0756KCV5K/ref=sr_1_452?qid=1672923614&amp;s=kitchen&amp;sr=1-452</t>
  </si>
  <si>
    <t>B0BJ6P3LSK</t>
  </si>
  <si>
    <t>Aqua d pure Active Copper 12-L RO+UV Water Filter Purifier for Home, Kitchen Fully Automatic UF+TDS Controller</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</si>
  <si>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</si>
  <si>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</si>
  <si>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</si>
  <si>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</si>
  <si>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</si>
  <si>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</si>
  <si>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RotiMakers</t>
  </si>
  <si>
    <t>https://www.amazon.in/Libra-Athena-Roti-Maker-Black/dp/B018SJJ0GE/ref=sr_1_455?qid=1672923614&amp;s=kitchen&amp;sr=1-455</t>
  </si>
  <si>
    <t>B09FPP3R1D</t>
  </si>
  <si>
    <t>Glen 3 in 1 Electric Multi Cooker - Steam, Cook &amp; Egg Boiler with 350 W (SA 3035MC) - 350 Watts</t>
  </si>
  <si>
    <t>https://www.amazon.in/Glen-Electric-Multi-Cooker-Boiler/dp/B09FPP3R1D/ref=sr_1_456?qid=1672923614&amp;s=kitchen&amp;sr=1-456</t>
  </si>
  <si>
    <t>B01F7B2JCI</t>
  </si>
  <si>
    <t>Dynore Stainless Steel Set of 4 Measuring Cup and 4 Measuring Spoon</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</si>
  <si>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</si>
  <si>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</si>
  <si>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</si>
  <si>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https://www.amazon.in/SAIELLIN-Clothes-Sweater-Defuzzer-Trimmer/dp/B09NNZ1GF7/ref=sr_1_458?qid=1672923614&amp;s=kitchen&amp;sr=1-458</t>
  </si>
  <si>
    <t>B01CS4A5V4</t>
  </si>
  <si>
    <t>Monitor AC Stand/Heavy Duty Air Conditioner Outdoor Unit Mounting Bracket</t>
  </si>
  <si>
    <t>FanParts&amp;Accessories</t>
  </si>
  <si>
    <t>https://www.amazon.in/Monitor-Split-AC-Stand-White/dp/B01CS4A5V4/ref=sr_1_459?qid=1672923614&amp;s=kitchen&amp;sr=1-459</t>
  </si>
  <si>
    <t>B0BL11S5QK</t>
  </si>
  <si>
    <t>iBELL Induction Cooktop, 2000W with Auto Shut Off and Overheat Protection, BIS Certified, Black</t>
  </si>
  <si>
    <t>https://www.amazon.in/Induction-Cooktop-Overheat-Protection-Certified/dp/B0BL11S5QK/ref=sr_1_460?qid=1672923614&amp;s=kitchen&amp;sr=1-460</t>
  </si>
  <si>
    <t>B09BL2KHQW</t>
  </si>
  <si>
    <t>KENT POWP-Sediment Filter 10'' Thread WCAP</t>
  </si>
  <si>
    <t>https://www.amazon.in/KENT-POWP-Sediment-Filter-Thread-WCAP/dp/B09BL2KHQW/ref=sr_1_461_mod_primary_new?qid=1672923614&amp;s=kitchen&amp;sbo=RZvfv%2F%2FHxDF%2BO5021pAnSA%3D%3D&amp;sr=1-461</t>
  </si>
  <si>
    <t>B081RLM75M</t>
  </si>
  <si>
    <t>LACOPINE Mini Pocket Size Lint Roller (White)</t>
  </si>
  <si>
    <t>https://www.amazon.in/LACOPINE-Mini-Pocket-Roller-White/dp/B081RLM75M/ref=sr_1_462?qid=1672923614&amp;s=kitchen&amp;sr=1-462</t>
  </si>
  <si>
    <t>B07SYYVP69</t>
  </si>
  <si>
    <t>iBELL SEK170BM Premium Electric Kettle, 1.7 Litre, Stainless Steel with Coating,1500W Auto Cut-Off, Silver with Black</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</si>
  <si>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</si>
  <si>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</si>
  <si>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</si>
  <si>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https://www.amazon.in/Activa-Nutri-Mixer-Grinder-Lasting/dp/B0BDZWMGZ1/ref=sr_1_461?qid=1672923615&amp;s=kitchen&amp;sr=1-461</t>
  </si>
  <si>
    <t>B078JT7LTD</t>
  </si>
  <si>
    <t>Sujata Dynamix, Mixer Grinder, 900 Watts, 3 Jars (White)</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</si>
  <si>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</si>
  <si>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</si>
  <si>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</si>
  <si>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</si>
  <si>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</si>
  <si>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</si>
  <si>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https://www.amazon.in/Vacuum-Mop-Intelligent-Navigation-Connectivity-Assistant/dp/B092R48XXB/ref=sr_1_464?qid=1672923615&amp;s=kitchen&amp;sr=1-464</t>
  </si>
  <si>
    <t>B00KIDSU8S</t>
  </si>
  <si>
    <t>Havells Ventil Air DX 200mm Exhaust Fan (White)</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</si>
  <si>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</si>
  <si>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</si>
  <si>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</si>
  <si>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StandMixers</t>
  </si>
  <si>
    <t>https://www.amazon.in/AGARO-Setting-Whisking-Warranty-33554/dp/B0977CGNJJ/ref=sr_1_466?qid=1672923615&amp;s=kitchen&amp;sr=1-466</t>
  </si>
  <si>
    <t>B08WWKM5HQ</t>
  </si>
  <si>
    <t>Crompton Highspeed Markle Prime 1200 mm (48 inch) Anti-Dust Ceiling Fan with Energy Efficient 55W Motor (Burgundy)</t>
  </si>
  <si>
    <t>https://www.amazon.in/Crompton-Highspeed-Anti-Dust-Ceiling-Efficient/dp/B08WWKM5HQ/ref=sr_1_467?qid=1672923615&amp;s=kitchen&amp;sr=1-467</t>
  </si>
  <si>
    <t>B015GX9Y0W</t>
  </si>
  <si>
    <t>Lifelong LLWM105 750-Watt Belgian Waffle Maker for Home| Makes 2 Square Shape Waffles| Non-stick Plates| Easy to Use with Indicator Lights (1 Year Warranty, Black)</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</si>
  <si>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</si>
  <si>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</si>
  <si>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</si>
  <si>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</si>
  <si>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</si>
  <si>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</si>
  <si>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</si>
  <si>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</si>
  <si>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</si>
  <si>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</si>
  <si>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</si>
  <si>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</si>
  <si>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https://www.amazon.in/Inalsa-Digital-Fryer-Nutri-Fry/dp/B08N6P8G5K/ref=sr_1_475?qid=1672923615&amp;s=kitchen&amp;sr=1-475</t>
  </si>
  <si>
    <t>B07NPBG1B4</t>
  </si>
  <si>
    <t>AmazonBasics High Speed 55 Watt Oscillating Pedestal Fan, 400mm Sweep Length, White (Without Remote)</t>
  </si>
  <si>
    <t>PedestalFans</t>
  </si>
  <si>
    <t>https://www.amazon.in/AmazonBasics-400mm-Pedestal-Remote-White/dp/B07NPBG1B4/ref=sr_1_477?qid=1672923615&amp;s=kitchen&amp;sr=1-477</t>
  </si>
  <si>
    <t>B01MRARGBW</t>
  </si>
  <si>
    <t>Eco Crystal J 5 inch Cartridge (Pack of 2)</t>
  </si>
  <si>
    <t>https://www.amazon.in/Crystal-Cartridge-size-Fresh-Clean/dp/B01MRARGBW/ref=sr_1_478?qid=1672923615&amp;s=kitchen&amp;sr=1-478</t>
  </si>
  <si>
    <t>B07VZYMQNZ</t>
  </si>
  <si>
    <t>Borosil Rio 1.5 L Electric Kettle, Stainless Steel Inner Body, Boil Water For Tea, Coffee, Soup, Silver</t>
  </si>
  <si>
    <t>https://www.amazon.in/Borosil-Rio-1-5L-Electric-Kettle/dp/B07VZYMQNZ/ref=sr_1_479?qid=1672923615&amp;s=kitchen&amp;sr=1-479</t>
  </si>
  <si>
    <t>B01L7C4IU2</t>
  </si>
  <si>
    <t>Havells Ambrose 1200mm Ceiling Fan (Pearl White Wood)</t>
  </si>
  <si>
    <t>https://www.amazon.in/Havells-Ambrose-1200mm-Ceiling-Pearl/dp/B01L7C4IU2/ref=sr_1_480?qid=1672923615&amp;s=kitchen&amp;sr=1-480</t>
  </si>
  <si>
    <t>B09H7JDJCW</t>
  </si>
  <si>
    <t>PHILIPS Drip Coffee Maker HD7432/20, 0.6 L, Ideal for 2-7 cups, Black, Medium</t>
  </si>
  <si>
    <t>https://www.amazon.in/PHILIPS-Coffee-HD7432-20-Medium/dp/B09H7JDJCW/ref=sr_1_483?qid=1672923615&amp;s=kitchen&amp;sr=1-483</t>
  </si>
  <si>
    <t>B07F6GXNPB</t>
  </si>
  <si>
    <t>Eureka Forbes Euroclean Paper Vacuum Cleaner Dust Bags for Excel, Ace, 300, Jet Models - Set of 10</t>
  </si>
  <si>
    <t>HandheldBags</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</si>
  <si>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</si>
  <si>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</si>
  <si>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</si>
  <si>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https://www.amazon.in/Larrito-Humidifiers-Humidifier-humidifiers-HUMIDIFIRE/dp/B0B97D658R/ref=sr_1_484?qid=1672923617&amp;s=kitchen&amp;sr=1-484</t>
  </si>
  <si>
    <t>B09NFSHCWN</t>
  </si>
  <si>
    <t>Hilton Quartz Heater 400/800-Watt ISI 2 Rods Multi Mode Heater Long Lasting Quick Heating Extremely Warm (Grey)</t>
  </si>
  <si>
    <t>https://www.amazon.in/Hilton-Quartz-Heater-Watt-Certified/dp/B09NFSHCWN/ref=sr_1_485?qid=1672923617&amp;s=kitchen&amp;sr=1-485</t>
  </si>
  <si>
    <t>B076VQS87V</t>
  </si>
  <si>
    <t>Syska SDI-07 1000 W Stellar with Golden American Heritage Soleplate Dry Iron (Blue)</t>
  </si>
  <si>
    <t>https://www.amazon.in/Syska-SDI-07-Stellar-Dry-Iron/dp/B076VQS87V/ref=sr_1_486_mod_primary_new?qid=1672923617&amp;s=kitchen&amp;sbo=RZvfv%2F%2FHxDF%2BO5021pAnSA%3D%3D&amp;sr=1-486</t>
  </si>
  <si>
    <t>B09LMMFW3S</t>
  </si>
  <si>
    <t>IKEA Milk Frother for Your Milk, Coffee,(Cold and hot Drinks), Black</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</si>
  <si>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</si>
  <si>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</si>
  <si>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</si>
  <si>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</si>
  <si>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</si>
  <si>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</si>
  <si>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https://www.amazon.in/Kitchengenixs-Waffle-Maker-Inch-Watts/dp/B0BJYSCWFQ/ref=sr_1_489?qid=1672923617&amp;s=kitchen&amp;sr=1-489</t>
  </si>
  <si>
    <t>B0187F2IOK</t>
  </si>
  <si>
    <t>Bajaj HM-01 Powerful 250W Hand Mixer, Black</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</si>
  <si>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</si>
  <si>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</si>
  <si>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</si>
  <si>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https://www.amazon.in/Electric-Handheld-BLACK-COFFEE-BEATER/dp/B0B8CB7MHW/ref=sr_1_491?qid=1672923617&amp;s=kitchen&amp;sr=1-491</t>
  </si>
  <si>
    <t>B07K19NYZ8</t>
  </si>
  <si>
    <t>Usha Hc 812 T Thermo Fan Room Heater</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</si>
  <si>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</si>
  <si>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</si>
  <si>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</si>
  <si>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https://www.amazon.in/akiara-Tailoring-Stitching-Scissors-Accessories/dp/B08ZXZ362Z/ref=sr_1_493?qid=1672923617&amp;s=kitchen&amp;sr=1-493</t>
  </si>
  <si>
    <t>B00GHL8VP2</t>
  </si>
  <si>
    <t>USHA 1212 PTC with Adjustable Thermostat Fan Heater (Black/Brown, 1500-Watts).</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</si>
  <si>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</si>
  <si>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</si>
  <si>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</si>
  <si>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https://www.amazon.in/Handheld-Electric-Vegetable-Wireless-Processor/dp/B0B9JZW1SQ/ref=sr_1_495_mod_primary_new?qid=1672923617&amp;s=kitchen&amp;sbo=RZvfv%2F%2FHxDF%2BO5021pAnSA%3D%3D&amp;sr=1-495</t>
  </si>
  <si>
    <t>B00TI8E7BI</t>
  </si>
  <si>
    <t>Philips HD9306/06 1.5-Litre Electric Kettle (Multicolor)</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</si>
  <si>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</si>
  <si>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</si>
  <si>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</si>
  <si>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</si>
  <si>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</si>
  <si>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</si>
  <si>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</si>
  <si>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</si>
  <si>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</si>
  <si>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https://www.amazon.in/Noir-Aqua-Spanner-Purifiers-cartridge/dp/B08L7J3T31/ref=sr_1_502?qid=1672923617&amp;s=kitchen&amp;sr=1-502</t>
  </si>
  <si>
    <t>B01M6453MB</t>
  </si>
  <si>
    <t>Prestige Delight PRWO Electric Rice Cooker (1 L, White)</t>
  </si>
  <si>
    <t>https://www.amazon.in/Prestige-Delight-PRWO-1-Litre-Electric/dp/B01M6453MB/ref=sr_1_503?qid=1672923617&amp;s=kitchen&amp;sr=1-503</t>
  </si>
  <si>
    <t>B009P2LIL4</t>
  </si>
  <si>
    <t>Bajaj Majesty RX10 2000 Watts Heat Convector Room Heater (White, ISI Approved)</t>
  </si>
  <si>
    <t>https://www.amazon.in/Bajaj-RX-10-2000-Watt-Convector/dp/B009P2LIL4/ref=sr_1_504?qid=1672923617&amp;s=kitchen&amp;sr=1-504</t>
  </si>
  <si>
    <t>B00J5DYCCA</t>
  </si>
  <si>
    <t>Havells Ventil Air DSP 230mm Exhaust Fan (Pista Green)</t>
  </si>
  <si>
    <t>https://www.amazon.in/Havells-Ventilair-230mm-Exhaust-Grey/dp/B00J5DYCCA/ref=sr_1_505?qid=1672923617&amp;s=kitchen&amp;sr=1-505</t>
  </si>
  <si>
    <t>B01486F4G6</t>
  </si>
  <si>
    <t>Borosil Jumbo 1000-Watt Grill Sandwich Maker (Black)</t>
  </si>
  <si>
    <t>https://www.amazon.in/Borosil-Jumbo-1000-Watt-Grill-Sandwich/dp/B01486F4G6/ref=sr_1_506?qid=1672923617&amp;s=kitchen&amp;sr=1-506</t>
  </si>
  <si>
    <t>column</t>
  </si>
  <si>
    <t>meaning</t>
  </si>
  <si>
    <t>Amazon product ID (one row per ID after removing repeat scrapes)</t>
  </si>
  <si>
    <t>Electronics, Home&amp;Kitchen, Computers&amp;Accessories, or Other (6 tiny categories combined)</t>
  </si>
  <si>
    <t>Stated discount as a percentage; verified against prices (max gap 0.5 points)</t>
  </si>
  <si>
    <t>Average star rating as scraped</t>
  </si>
  <si>
    <t>Number of ratings; used as a proxy for sales volume</t>
  </si>
  <si>
    <t>Trust-adjusted (Bayesian) rating: pulls ratings with few reviews toward the average</t>
  </si>
  <si>
    <t>Unknown, Low (&lt;100), Medium (100-999) or High (1,000+) ratings</t>
  </si>
  <si>
    <t>Discounted price band in INR</t>
  </si>
  <si>
    <t>0-100 deal-quality score: 50% adj_rating, 30% discount, 20% price vs sub-category median</t>
  </si>
  <si>
    <t>Quartile of value_score among distinct listings</t>
  </si>
  <si>
    <t>TRUE if in the top 50 by value_score under all five weighting schemes tested</t>
  </si>
  <si>
    <t>TRUE if price is at least 2x the leaf-category median (leaf groups of 10+ distinct listings) and adj_rating is below the leaf average; a price-outlier screen for manual review, since leaf groups can mix product types</t>
  </si>
  <si>
    <t>TRUE if rating is 3.8 or below (3.8 is the 15th-percentile cut-off; ties at 3.8 bring it to about 19% of distinct listings)</t>
  </si>
  <si>
    <t>Price divided by the leaf-category median price</t>
  </si>
  <si>
    <t>Number of products sharing the same review pool (colour/size variants)</t>
  </si>
  <si>
    <t>TRUE for one row per variant group; filter on this when counting ratings or reviews</t>
  </si>
  <si>
    <t>decision</t>
  </si>
  <si>
    <t>1. Dropped 114 repeat rows; kept highest Rating_count per Product_id (same product scraped multiple times)</t>
  </si>
  <si>
    <t>2. B096MSW6CT had conflicting actual prices (999 vs 1899); kept 999 (majority of scrapes)</t>
  </si>
  <si>
    <t>3. Stated discount matches recomputed discount (max gap 0.005, rounding only); no inflated discounts found</t>
  </si>
  <si>
    <t>4. Rating '|' on B08L12N5H1 set to null; 2 missing Rating_count left null and flagged, not imputed</t>
  </si>
  <si>
    <t>5. Discount converted from fraction to percentage (discount_pct)</t>
  </si>
  <si>
    <t>6. Category split into main/sub/leaf</t>
  </si>
  <si>
    <t>7. Review columns: only User_Id/Review_Id split reliably; Review_Content kept at product level, titles used only where counts match</t>
  </si>
  <si>
    <t>8. Same review appeared under multiple products (variants): reviews deduplicated to one row per review_id (9,265), bridge table keeps product links (10,598)</t>
  </si>
  <si>
    <t>9. Variant groups built from shared reviews (1,181 listings from 1,351 products); is_primary_listing used for rating and review-count analysis</t>
  </si>
  <si>
    <t>10. Categories with 1-2 products grouped into 'Other' for comparisons</t>
  </si>
  <si>
    <t>11. Price buckets set from quartiles; rating_reliability flag at 100 and 1,000 ratings</t>
  </si>
  <si>
    <t>12. adj_rating = Bayesian average with C = mean rating, m = median rating count; missing inputs stay null</t>
  </si>
  <si>
    <t>13. value_score = 50% adj_rating + 30% discount + 20% price vs sub-category median (percentile ranks); weights are a judgment call</t>
  </si>
  <si>
    <t>14. Repaired mis-encoded characters in product text</t>
  </si>
  <si>
    <t>- Only review titles analysed: Review_Content cannot be split into individual reviews reliably</t>
  </si>
  <si>
    <t>- No per-review star rating exists, so low-rated vs high-rated products (ratings at or below the 15th percentile, 3.8, or at or above the 85th, 4.4; ties make each tier somewhat larger than 15%) are compared</t>
  </si>
  <si>
    <t>- Sentiment from VADER (English only, rough: misreads mixed titles and typos; Hindi titles score neutral); the listing-level correlation is the headline because ~8 reviews share a product</t>
  </si>
  <si>
    <t>- Complaint themes from keyword rules, ignoring clearly positive titles (sentiment 0.4+); high-tier counts are small, so ratios are approximate</t>
  </si>
  <si>
    <t>- Repaired mis-encoded emoji, apostrophes and Hindi text in review titles (CSV and MySQL)</t>
  </si>
  <si>
    <t>- Discount vs rating tested on all products (rho -0.150) and distinct listings (rho -0.163): not driven by variant duplicates</t>
  </si>
  <si>
    <t>- Adjusted rating tested for m from 100 to 10,000: overall ordering stable (rank corr 0.96+), top-20 membership is not; kept m = median rating count</t>
  </si>
  <si>
    <t>- value_score tested with four alternative weightings (rank corr 0.88-0.96); reported as tiers plus robust_value_pick (top 50 under all weightings), not exact ranks</t>
  </si>
  <si>
    <t>- price_premium_flag = price at least 2x leaf-category median (leaf groups of 10+ distinct listings) and adj_rating below the leaf average; low_rating_flag = rating 3.8 or below (3.8 is the 15th-percentile cut-off; ties at 3.8 bring it to about 19% of distinct listings)</t>
  </si>
  <si>
    <t>- price_premium_flag is a screen for manual review, not a verdict: leaf categories can mix product types (for example mini bag sealers and full sealing machines)</t>
  </si>
  <si>
    <t>Row Labels</t>
  </si>
  <si>
    <t>TRUE</t>
  </si>
  <si>
    <t>Grand Total</t>
  </si>
  <si>
    <t>Count of product_id</t>
  </si>
  <si>
    <t>Average of rating</t>
  </si>
  <si>
    <t>Listings</t>
  </si>
  <si>
    <t>Avg discount %</t>
  </si>
  <si>
    <t>Avg rating</t>
  </si>
  <si>
    <t>Avg adj rating</t>
  </si>
  <si>
    <t>Average of rating_count</t>
  </si>
  <si>
    <t>Amazon India products: pricing, discounts and ratings</t>
  </si>
  <si>
    <t>Based on 1,181 distinct product listings (1,351 products, including colour/size variants)</t>
  </si>
  <si>
    <t>Distinct product listings</t>
  </si>
  <si>
    <t>Average discount (%)</t>
  </si>
  <si>
    <t>Average rating (out of 5)</t>
  </si>
  <si>
    <t>Listings with fewer than 100 ratings (rating unreliable)</t>
  </si>
  <si>
    <t>Price-premium listings flagged for review</t>
  </si>
  <si>
    <t>Robust value picks</t>
  </si>
  <si>
    <t>What we found</t>
  </si>
  <si>
    <t>Discounting depends heavily on product type: about 14% for office products against about 66% for wearables.</t>
  </si>
  <si>
    <t>11 listings rated 4.5 or higher have fewer than 100 ratings, so their scores are too uncertain to trust.</t>
  </si>
  <si>
    <t>Low-rated products have about 3× as many negative review titles as high-rated ones (14% against 5%).</t>
  </si>
  <si>
    <t>How to read this</t>
  </si>
  <si>
    <t>The number of ratings is used as a stand-in for sales volume.</t>
  </si>
  <si>
    <t>The file holds up to 8 sample reviews per product, while the rating count shows the real volume.</t>
  </si>
  <si>
    <t>These are patterns in the data, not proof that discounts cause lower ratings.</t>
  </si>
  <si>
    <t>Prices are a snapshot from about early January 2023, judging by timestamps in the product links.</t>
  </si>
  <si>
    <t>Discount band</t>
  </si>
  <si>
    <t>Average rating</t>
  </si>
  <si>
    <t>From (%)</t>
  </si>
  <si>
    <t>Up to (%)</t>
  </si>
  <si>
    <t>0 to 19%</t>
  </si>
  <si>
    <t>20 to 39%</t>
  </si>
  <si>
    <t>40 to 59%</t>
  </si>
  <si>
    <t>60 to 79%</t>
  </si>
  <si>
    <t>80% or more</t>
  </si>
  <si>
    <t>Typical popularity by price bucket</t>
  </si>
  <si>
    <t>Discount band vs Rating</t>
  </si>
  <si>
    <t>Price bucket (INR)</t>
  </si>
  <si>
    <t>Median ratings per listing</t>
  </si>
  <si>
    <t>Deeper discounts go with slightly lower ratings. The pattern is weak, and clearest for items under ₹500 and between ₹1,000 and ₹2,500.</t>
  </si>
  <si>
    <t>Listings under ₹500 typically get the fewest ratings (median about 2,500). Listings at ₹500–2,500 and above ₹10,000 typically get 5,500–6,400, with a dip to about 3,600 at ₹2,500–10,000.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</si>
</sst>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
  </numFmts>
  <fonts count="3" x14ac:knownFonts="1">
    <font>
      <sz val="11"/>
      <color theme="1"/>
      <name val="Calibri"/>
      <family val="2"/>
      <scheme val="minor"/>
    </font>
    <font>
      <b/>
      <sz val="11"/>
      <color theme="1"/>
      <name val="Calibri"/>
      <family val="2"/>
      <scheme val="minor"/>
    </font>
    <font>
      <sz val="8"/>
      <name val="Calibri"/>
      <family val="2"/>
      <scheme val="minor"/>
    </font>
  </fonts>
  <fills count="5">
    <fill>
      <patternFill patternType="none"/>
    </fill>
    <fill>
      <patternFill patternType="gray125"/>
    </fill>
    <fill>
      <patternFill patternType="solid">
        <fgColor rgb="FF000000"/>
        <bgColor indexed="64"/>
      </patternFill>
    </fill>
    <fill>
      <patternFill patternType="solid">
        <fgColor rgb="FF000000"/>
        <bgColor theme="4" tint="0.59999389629810485"/>
      </patternFill>
    </fill>
    <fill>
      <patternFill patternType="solid">
        <fgColor rgb="FFD9D9D9"/>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s>
  <cellStyleXfs count="1">
    <xf numFmtId="0" fontId="0" fillId="0" borderId="0"/>
  </cellStyleXfs>
  <cellXfs count="19">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66" fontId="0" fillId="0" borderId="0" xfId="0" applyNumberFormat="1"/>
    <xf numFmtId="1" fontId="0" fillId="0" borderId="0" xfId="0" applyNumberFormat="1"/>
    <xf numFmtId="0" fontId="0" fillId="2" borderId="0" xfId="0" applyFill="1"/>
    <xf numFmtId="0" fontId="0" fillId="0" borderId="0" xfId="0" applyAlignment="1">
      <alignment wrapText="1"/>
    </xf>
    <xf numFmtId="0" fontId="0" fillId="0" borderId="0" xfId="0" applyAlignment="1">
      <alignment horizontal="center" vertical="center" wrapText="1"/>
    </xf>
    <xf numFmtId="49" fontId="0" fillId="0" borderId="0" xfId="0" applyNumberFormat="1" applyAlignment="1">
      <alignment horizontal="center" vertical="center" wrapText="1"/>
    </xf>
    <xf numFmtId="166" fontId="0" fillId="0" borderId="0" xfId="0" applyNumberFormat="1" applyAlignment="1">
      <alignment horizontal="center" vertical="center" wrapText="1"/>
    </xf>
    <xf numFmtId="1" fontId="0" fillId="0" borderId="0" xfId="0" applyNumberFormat="1" applyAlignment="1">
      <alignment horizontal="center" vertical="center" wrapText="1"/>
    </xf>
    <xf numFmtId="0" fontId="1" fillId="0" borderId="0" xfId="0" applyFont="1"/>
    <xf numFmtId="0" fontId="0" fillId="3" borderId="1" xfId="0" applyFont="1" applyFill="1" applyBorder="1"/>
    <xf numFmtId="0" fontId="0" fillId="3" borderId="2" xfId="0" applyFont="1" applyFill="1" applyBorder="1"/>
    <xf numFmtId="0" fontId="0" fillId="4" borderId="0" xfId="0" applyFill="1"/>
    <xf numFmtId="2" fontId="0" fillId="4" borderId="0" xfId="0" applyNumberFormat="1" applyFill="1"/>
    <xf numFmtId="0" fontId="1" fillId="0" borderId="0" xfId="0" applyFont="1" applyAlignment="1">
      <alignment wrapText="1"/>
    </xf>
  </cellXfs>
  <cellStyles count="1">
    <cellStyle name="Normal" xfId="0" builtinId="0"/>
  </cellStyles>
  <dxfs count="46">
    <dxf>
      <font>
        <color theme="0" tint="-0.499984740745262"/>
      </font>
    </dxf>
    <dxf>
      <fill>
        <patternFill>
          <bgColor rgb="FF00B050"/>
        </patternFill>
      </fill>
    </dxf>
    <dxf>
      <fill>
        <patternFill>
          <fgColor rgb="FFFFFF00"/>
          <bgColor rgb="FFFFC000"/>
        </patternFill>
      </fill>
    </dxf>
    <dxf>
      <fill>
        <patternFill>
          <bgColor rgb="FFFFC7CE"/>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fill>
        <patternFill patternType="solid">
          <fgColor indexed="64"/>
          <bgColor rgb="FFD9D9D9"/>
        </patternFill>
      </fill>
    </dxf>
    <dxf>
      <numFmt numFmtId="2" formatCode="0.0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alignment horizontal="center" vertical="center" textRotation="0" wrapText="1" indent="0" justifyLastLine="0" shrinkToFit="0" readingOrder="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9" defaultPivotStyle="PivotStyleLight16"/>
  <colors>
    <mruColors>
      <color rgb="FFD9D9D9"/>
      <color rgb="FF000000"/>
      <color rgb="FF4E81BD"/>
      <color rgb="FFFF2E1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baseline="0">
                <a:solidFill>
                  <a:sysClr val="windowText" lastClr="000000">
                    <a:lumMod val="65000"/>
                    <a:lumOff val="35000"/>
                  </a:sysClr>
                </a:solidFill>
              </a:rPr>
              <a:t>Deeper discounts go with slightly lower ratings (4.17 down to 4.00)</a:t>
            </a:r>
            <a:endParaRPr lang="en-GB">
              <a:solidFill>
                <a:sysClr val="windowText" lastClr="000000">
                  <a:lumMod val="65000"/>
                  <a:lumOff val="35000"/>
                </a:sysClr>
              </a:solidFill>
            </a:endParaRPr>
          </a:p>
        </c:rich>
      </c:tx>
      <c:layout>
        <c:manualLayout>
          <c:xMode val="edge"/>
          <c:yMode val="edge"/>
          <c:x val="0.1352845581802274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(Summary!$A$26,Summary!$A$27,Summary!$A$28,Summary!$A$29,Summary!$A$30)</c:f>
              <c:strCache>
                <c:ptCount val="5"/>
                <c:pt idx="0">
                  <c:v>0 to 19%</c:v>
                </c:pt>
                <c:pt idx="1">
                  <c:v>20 to 39%</c:v>
                </c:pt>
                <c:pt idx="2">
                  <c:v>40 to 59%</c:v>
                </c:pt>
                <c:pt idx="3">
                  <c:v>60 to 79%</c:v>
                </c:pt>
                <c:pt idx="4">
                  <c:v>80% or more</c:v>
                </c:pt>
              </c:strCache>
            </c:strRef>
          </c:cat>
          <c:val>
            <c:numRef>
              <c:f>(Summary!$C$26,Summary!$C$27,Summary!$C$28,Summary!$C$29,Summary!$C$30)</c:f>
              <c:numCache>
                <c:formatCode>0.00</c:formatCode>
                <c:ptCount val="5"/>
                <c:pt idx="0">
                  <c:v>4.1695945945945958</c:v>
                </c:pt>
                <c:pt idx="1">
                  <c:v>4.1280769230769234</c:v>
                </c:pt>
                <c:pt idx="2">
                  <c:v>4.0723557692307635</c:v>
                </c:pt>
                <c:pt idx="3">
                  <c:v>4.039655172413795</c:v>
                </c:pt>
                <c:pt idx="4">
                  <c:v>3.9954545454545451</c:v>
                </c:pt>
              </c:numCache>
            </c:numRef>
          </c:val>
          <c:smooth val="0"/>
          <c:extLst>
            <c:ext xmlns:c16="http://schemas.microsoft.com/office/drawing/2014/chart" uri="{C3380CC4-5D6E-409C-BE32-E72D297353CC}">
              <c16:uniqueId val="{00000000-788B-AD49-B0E8-E1D3D0583D08}"/>
            </c:ext>
          </c:extLst>
        </c:ser>
        <c:dLbls>
          <c:dLblPos val="t"/>
          <c:showLegendKey val="0"/>
          <c:showVal val="1"/>
          <c:showCatName val="0"/>
          <c:showSerName val="0"/>
          <c:showPercent val="0"/>
          <c:showBubbleSize val="0"/>
        </c:dLbls>
        <c:marker val="1"/>
        <c:smooth val="0"/>
        <c:axId val="1975868416"/>
        <c:axId val="1976370048"/>
      </c:lineChart>
      <c:catAx>
        <c:axId val="1975868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Discount</a:t>
                </a:r>
                <a:r>
                  <a:rPr lang="en-GB" baseline="0"/>
                  <a:t> Band</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370048"/>
        <c:crosses val="autoZero"/>
        <c:auto val="1"/>
        <c:lblAlgn val="ctr"/>
        <c:lblOffset val="100"/>
        <c:noMultiLvlLbl val="0"/>
      </c:catAx>
      <c:valAx>
        <c:axId val="1976370048"/>
        <c:scaling>
          <c:orientation val="minMax"/>
          <c:max val="4.5"/>
          <c:min val="3.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a:t>
                </a:r>
                <a:r>
                  <a:rPr lang="en-GB" baseline="0"/>
                  <a:t> Rating</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86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Typical ratings per listing by price band (median)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6733225244743E-2"/>
          <c:y val="0.21747960084052723"/>
          <c:w val="0.87651878289189322"/>
          <c:h val="0.670852625737963"/>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(Summary!$A$34,Summary!$A$35,Summary!$A$36,Summary!$A$37,Summary!$A$38)</c:f>
              <c:strCache>
                <c:ptCount val="5"/>
                <c:pt idx="0">
                  <c:v>Under 500</c:v>
                </c:pt>
                <c:pt idx="1">
                  <c:v>500-1,000</c:v>
                </c:pt>
                <c:pt idx="2">
                  <c:v>1,000-2,500</c:v>
                </c:pt>
                <c:pt idx="3">
                  <c:v>2,500-10,000</c:v>
                </c:pt>
                <c:pt idx="4">
                  <c:v>10,000+</c:v>
                </c:pt>
              </c:strCache>
            </c:strRef>
          </c:cat>
          <c:val>
            <c:numRef>
              <c:f>(Summary!$C$34,Summary!$C$35,Summary!$C$36,Summary!$C$37,Summary!$C$38)</c:f>
              <c:numCache>
                <c:formatCode>General</c:formatCode>
                <c:ptCount val="5"/>
                <c:pt idx="0">
                  <c:v>2523</c:v>
                </c:pt>
                <c:pt idx="1">
                  <c:v>5556</c:v>
                </c:pt>
                <c:pt idx="2">
                  <c:v>6355</c:v>
                </c:pt>
                <c:pt idx="3">
                  <c:v>3618</c:v>
                </c:pt>
                <c:pt idx="4">
                  <c:v>6297</c:v>
                </c:pt>
              </c:numCache>
            </c:numRef>
          </c:val>
          <c:extLst>
            <c:ext xmlns:c16="http://schemas.microsoft.com/office/drawing/2014/chart" uri="{C3380CC4-5D6E-409C-BE32-E72D297353CC}">
              <c16:uniqueId val="{00000000-FB6F-4F40-9414-DECA416AFED2}"/>
            </c:ext>
          </c:extLst>
        </c:ser>
        <c:dLbls>
          <c:dLblPos val="outEnd"/>
          <c:showLegendKey val="0"/>
          <c:showVal val="1"/>
          <c:showCatName val="0"/>
          <c:showSerName val="0"/>
          <c:showPercent val="0"/>
          <c:showBubbleSize val="0"/>
        </c:dLbls>
        <c:gapWidth val="219"/>
        <c:overlap val="-27"/>
        <c:axId val="1973400256"/>
        <c:axId val="1973567936"/>
      </c:barChart>
      <c:catAx>
        <c:axId val="197340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567936"/>
        <c:crosses val="autoZero"/>
        <c:auto val="1"/>
        <c:lblAlgn val="ctr"/>
        <c:lblOffset val="100"/>
        <c:noMultiLvlLbl val="0"/>
      </c:catAx>
      <c:valAx>
        <c:axId val="1973567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40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12700</xdr:colOff>
      <xdr:row>20</xdr:row>
      <xdr:rowOff>52386</xdr:rowOff>
    </xdr:from>
    <xdr:to>
      <xdr:col>11</xdr:col>
      <xdr:colOff>436034</xdr:colOff>
      <xdr:row>32</xdr:row>
      <xdr:rowOff>42038</xdr:rowOff>
    </xdr:to>
    <xdr:graphicFrame macro="">
      <xdr:nvGraphicFramePr>
        <xdr:cNvPr id="3" name="Chart 2">
          <a:extLst>
            <a:ext uri="{FF2B5EF4-FFF2-40B4-BE49-F238E27FC236}">
              <a16:creationId xmlns:a16="http://schemas.microsoft.com/office/drawing/2014/main" id="{1AA347DC-2127-CB39-5C97-D8713A27C6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12699</xdr:colOff>
      <xdr:row>33</xdr:row>
      <xdr:rowOff>12699</xdr:rowOff>
    </xdr:from>
    <xdr:to>
      <xdr:col>11</xdr:col>
      <xdr:colOff>436033</xdr:colOff>
      <xdr:row>47</xdr:row>
      <xdr:rowOff>29633</xdr:rowOff>
    </xdr:to>
    <xdr:graphicFrame macro="">
      <xdr:nvGraphicFramePr>
        <xdr:cNvPr id="4" name="Chart 3">
          <a:extLst>
            <a:ext uri="{FF2B5EF4-FFF2-40B4-BE49-F238E27FC236}">
              <a16:creationId xmlns:a16="http://schemas.microsoft.com/office/drawing/2014/main" id="{6416E849-EDBB-38AE-2740-4DCFDB37F8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mil Jain" refreshedDate="46312.042917708335" createdVersion="8" refreshedVersion="8" minRefreshableVersion="3" recordCount="1351" xr:uid="{D124A415-0E02-4F40-B05D-D6AB0EFDA1C2}">
  <cacheSource type="worksheet">
    <worksheetSource name="tb1Products"/>
  </cacheSource>
  <cacheFields count="23">
    <cacheField name="product_id" numFmtId="0">
      <sharedItems/>
    </cacheField>
    <cacheField name="product_name" numFmtId="0">
      <sharedItems longText="1"/>
    </cacheField>
    <cacheField name="main_category" numFmtId="0">
      <sharedItems/>
    </cacheField>
    <cacheField name="category_group" numFmtId="0">
      <sharedItems count="4">
        <s v="Computers&amp;Accessories"/>
        <s v="Electronics"/>
        <s v="Other"/>
        <s v="Home&amp;Kitchen"/>
      </sharedItems>
    </cacheField>
    <cacheField name="sub_category" numFmtId="0">
      <sharedItems/>
    </cacheField>
    <cacheField name="leaf_category" numFmtId="0">
      <sharedItems/>
    </cacheField>
    <cacheField name="discounted_price" numFmtId="0">
      <sharedItems containsSemiMixedTypes="0" containsString="0" containsNumber="1" minValue="39" maxValue="77990"/>
    </cacheField>
    <cacheField name="actual_price" numFmtId="0">
      <sharedItems containsSemiMixedTypes="0" containsString="0" containsNumber="1" minValue="39" maxValue="139900"/>
    </cacheField>
    <cacheField name="discount_pct" numFmtId="0">
      <sharedItems containsSemiMixedTypes="0" containsString="0" containsNumber="1" containsInteger="1" minValue="0" maxValue="94"/>
    </cacheField>
    <cacheField name="rating" numFmtId="0">
      <sharedItems containsString="0" containsBlank="1" containsNumber="1" minValue="2" maxValue="5"/>
    </cacheField>
    <cacheField name="rating_count" numFmtId="0">
      <sharedItems containsString="0" containsBlank="1" containsNumber="1" containsInteger="1" minValue="2" maxValue="426973"/>
    </cacheField>
    <cacheField name="adj_rating" numFmtId="0">
      <sharedItems containsString="0" containsBlank="1" containsNumber="1" minValue="3.5178014011347378" maxValue="4.7532435068171184"/>
    </cacheField>
    <cacheField name="rating_reliability" numFmtId="0">
      <sharedItems/>
    </cacheField>
    <cacheField name="price_bucket" numFmtId="0">
      <sharedItems count="5">
        <s v="Under 500"/>
        <s v="10,000+"/>
        <s v="500-1,000"/>
        <s v="2,500-10,000"/>
        <s v="1,000-2,500"/>
      </sharedItems>
    </cacheField>
    <cacheField name="value_score" numFmtId="0">
      <sharedItems containsString="0" containsBlank="1" containsNumber="1" minValue="4.4000000000000004" maxValue="97.9"/>
    </cacheField>
    <cacheField name="value_tier" numFmtId="0">
      <sharedItems containsBlank="1"/>
    </cacheField>
    <cacheField name="robust_value_pick" numFmtId="0">
      <sharedItems/>
    </cacheField>
    <cacheField name="price_premium_flag" numFmtId="0">
      <sharedItems/>
    </cacheField>
    <cacheField name="low_rating_flag" numFmtId="0">
      <sharedItems/>
    </cacheField>
    <cacheField name="price_x_leaf_median" numFmtId="0">
      <sharedItems containsString="0" containsBlank="1" containsNumber="1" minValue="0.1" maxValue="11.58"/>
    </cacheField>
    <cacheField name="variant_group_size" numFmtId="0">
      <sharedItems containsSemiMixedTypes="0" containsString="0" containsNumber="1" containsInteger="1" minValue="1" maxValue="8"/>
    </cacheField>
    <cacheField name="is_primary_listing" numFmtId="0">
      <sharedItems count="2">
        <b v="1"/>
        <b v="0"/>
      </sharedItems>
    </cacheField>
    <cacheField name="product_link"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1">
  <r>
    <s v="B08Y1TFSP6"/>
    <s v="pTron Solero TB301 3A Type-C Data and Fast Charging Cable, Made in India, 480Mbps Data Sync, Strong and Durable 1.5-Meter Nylon Braided USB Cable for Type-C Devices for Charging Adapter (Black)"/>
    <s v="Computers&amp;Accessories"/>
    <x v="0"/>
    <s v="Accessories&amp;Peripherals"/>
    <s v="USBCables"/>
    <n v="149"/>
    <n v="1000"/>
    <n v="85"/>
    <n v="3.9"/>
    <n v="24871"/>
    <n v="3.924261410294962"/>
    <s v="High (1,000+)"/>
    <x v="0"/>
    <n v="49.1"/>
    <s v="Below median"/>
    <b v="0"/>
    <b v="0"/>
    <b v="0"/>
    <n v="0.5"/>
    <n v="3"/>
    <x v="0"/>
    <s v="https://www.amazon.in/Solero-TB301-Charging-480Mbps-1-5-Meter/dp/B08Y1TFSP6/ref=sr_1_6?qid=1672909124&amp;s=electronics&amp;sr=1-6"/>
  </r>
  <r>
    <s v="B008IFXQFU"/>
    <s v="TP-Link USB WiFi Adapter for PC(TL-WN725N), N150 Wireless Network Adapter for Desktop - Nano Size WiFi Dongle Compatible with Windows 11/10/7/8/8.1/XP/ Mac OS 10.9-10.15 Linux Kernel 2.6.18-4.4.3"/>
    <s v="Computers&amp;Accessories"/>
    <x v="0"/>
    <s v="NetworkingDevices"/>
    <s v="WirelessUSBAdapters"/>
    <n v="499"/>
    <n v="999"/>
    <n v="50"/>
    <n v="4.2"/>
    <n v="179691"/>
    <n v="4.1976339458864551"/>
    <s v="High (1,000+)"/>
    <x v="0"/>
    <n v="71.900000000000006"/>
    <s v="Top 25%"/>
    <b v="0"/>
    <b v="0"/>
    <b v="0"/>
    <n v="0.98"/>
    <n v="3"/>
    <x v="1"/>
    <s v="https://www.amazon.in/TP-Link-TL-WN725N-150Mbps-Wireless-Adapter/dp/B008IFXQFU/ref=sr_1_10?qid=1672909124&amp;s=electronics&amp;sr=1-10"/>
  </r>
  <r>
    <s v="B082LZGK39"/>
    <s v="Ambrane Unbreakable 60W / 3A Fast Charging 1.5m Braided Micro USB Cable for Smartphones, Tablets, Laptops &amp; Other Micro USB Devices, 480Mbps Data Sync, Quick Charge 3.0 (RCM15, Black)"/>
    <s v="Computers&amp;Accessories"/>
    <x v="0"/>
    <s v="Accessories&amp;Peripherals"/>
    <s v="USBCables"/>
    <n v="199"/>
    <n v="299"/>
    <n v="33"/>
    <n v="4"/>
    <n v="43994"/>
    <n v="4.0066679738188693"/>
    <s v="High (1,000+)"/>
    <x v="0"/>
    <n v="29.9"/>
    <s v="Bottom 25%"/>
    <b v="0"/>
    <b v="0"/>
    <b v="0"/>
    <n v="0.67"/>
    <n v="3"/>
    <x v="0"/>
    <s v="https://www.amazon.in/Ambrane-Unbreakable-Charging-Braided-Android/dp/B082LZGK39/ref=sr_1_11?qid=1672909124&amp;s=electronics&amp;sr=1-11"/>
  </r>
  <r>
    <s v="B07KSMBL2H"/>
    <s v="AmazonBasics Flexible Premium HDMI Cable (Black, 4K@60Hz, 18Gbps), 3-Foot"/>
    <s v="Electronics"/>
    <x v="1"/>
    <s v="HomeTheater,TV&amp;Video"/>
    <s v="HDMICables"/>
    <n v="219"/>
    <n v="700"/>
    <n v="69"/>
    <n v="4.4000000000000004"/>
    <n v="426973"/>
    <n v="4.3972452679003267"/>
    <s v="High (1,000+)"/>
    <x v="0"/>
    <n v="92.8"/>
    <s v="Top 25%"/>
    <b v="1"/>
    <b v="0"/>
    <b v="0"/>
    <n v="0.56999999999999995"/>
    <n v="3"/>
    <x v="0"/>
    <s v="https://www.amazon.in/AmazonBasics-Flexible-HDMI-Cable-3-Foot/dp/B07KSMBL2H/ref=sr_1_14?qid=1672909124&amp;s=electronics&amp;sr=1-14"/>
  </r>
  <r>
    <s v="B09KLVMZ3B"/>
    <s v="Portronics Konnect L 1.2M POR-1401 Fast Charging 3A 8 Pin USB Cable with Charge &amp; Sync Function (White)"/>
    <s v="Computers&amp;Accessories"/>
    <x v="0"/>
    <s v="Accessories&amp;Peripherals"/>
    <s v="USBCables"/>
    <n v="159"/>
    <n v="399"/>
    <n v="60"/>
    <n v="4.0999999999999996"/>
    <n v="4768"/>
    <n v="4.0932230340168587"/>
    <s v="High (1,000+)"/>
    <x v="0"/>
    <n v="60.5"/>
    <s v="Top 25%"/>
    <b v="0"/>
    <b v="0"/>
    <b v="0"/>
    <n v="0.53"/>
    <n v="1"/>
    <x v="0"/>
    <s v="https://www.amazon.in/Portronics-Konnect-POR-1401-Charging-Function/dp/B09KLVMZ3B/ref=sr_1_16?qid=1672909124&amp;s=electronics&amp;sr=1-16"/>
  </r>
  <r>
    <s v="B083342NKJ"/>
    <s v="MI Braided USB Type-C Cable for Charging Adapter (Red)"/>
    <s v="Computers&amp;Accessories"/>
    <x v="0"/>
    <s v="Accessories&amp;Peripherals"/>
    <s v="USBCables"/>
    <n v="349"/>
    <n v="399"/>
    <n v="13"/>
    <n v="4.4000000000000004"/>
    <n v="18757"/>
    <n v="4.3473096246222536"/>
    <s v="High (1,000+)"/>
    <x v="0"/>
    <n v="59.3"/>
    <s v="Above median"/>
    <b v="0"/>
    <b v="0"/>
    <b v="0"/>
    <n v="1.17"/>
    <n v="1"/>
    <x v="0"/>
    <s v="https://www.amazon.in/Mi-Braided-USB-Type-C-Cable/dp/B083342NKJ/ref=sr_1_17?qid=1672909124&amp;s=electronics&amp;sr=1-17"/>
  </r>
  <r>
    <s v="B0B6F7LX4C"/>
    <s v="MI 80 cm (32 inches) 5A Series HD Ready Smart Android LED TV L32M7-5AIN (Black)"/>
    <s v="Electronics"/>
    <x v="1"/>
    <s v="HomeTheater,TV&amp;Video"/>
    <s v="SmartTelevisions"/>
    <n v="13999"/>
    <n v="24999"/>
    <n v="44"/>
    <n v="4.2"/>
    <n v="32840"/>
    <n v="4.1881412223668004"/>
    <s v="High (1,000+)"/>
    <x v="1"/>
    <n v="51.8"/>
    <s v="Above median"/>
    <b v="0"/>
    <b v="0"/>
    <b v="0"/>
    <n v="0.74"/>
    <n v="5"/>
    <x v="0"/>
    <s v="https://www.amazon.in/MI-inches-Ready-Android-L32M7-5AIN/dp/B0B6F7LX4C/ref=sr_1_18?qid=1672909124&amp;s=electronics&amp;sr=1-18"/>
  </r>
  <r>
    <s v="B082LSVT4B"/>
    <s v="Ambrane Unbreakable 60W / 3A Fast Charging 1.5m Braided Type C to Type C Cable for Smartphones, Tablets, Laptops &amp; Other Type C Devices, PD Technology, 480Mbps Data Sync (RCTT15, Black)"/>
    <s v="Computers&amp;Accessories"/>
    <x v="0"/>
    <s v="Accessories&amp;Peripherals"/>
    <s v="USBCables"/>
    <n v="249"/>
    <n v="399"/>
    <n v="38"/>
    <n v="4"/>
    <n v="43994"/>
    <n v="4.0066679738188693"/>
    <s v="High (1,000+)"/>
    <x v="0"/>
    <n v="30.1"/>
    <s v="Bottom 25%"/>
    <b v="0"/>
    <b v="0"/>
    <b v="0"/>
    <n v="0.83"/>
    <n v="3"/>
    <x v="1"/>
    <s v="https://www.amazon.in/Ambrane-Unbreakable-Charging-Braided-Cable/dp/B082LSVT4B/ref=sr_1_19?qid=1672909124&amp;s=electronics&amp;sr=1-19"/>
  </r>
  <r>
    <s v="B08WRBG3XW"/>
    <s v="boAt Type C A325 Tangle-free, Sturdy Type C Cable with 3A Rapid Charging &amp; 480mbps Data Transmission(Black)"/>
    <s v="Computers&amp;Accessories"/>
    <x v="0"/>
    <s v="Accessories&amp;Peripherals"/>
    <s v="USBCables"/>
    <n v="199"/>
    <n v="499"/>
    <n v="60"/>
    <n v="4.0999999999999996"/>
    <n v="13045"/>
    <n v="4.0965604100360444"/>
    <s v="High (1,000+)"/>
    <x v="0"/>
    <n v="61.1"/>
    <s v="Top 25%"/>
    <b v="0"/>
    <b v="0"/>
    <b v="0"/>
    <n v="0.67"/>
    <n v="1"/>
    <x v="0"/>
    <s v="https://www.amazon.in/boAt-A325-Tangle-Free-Charging-Transmission/dp/B08WRBG3XW/ref=sr_1_20?qid=1672909124&amp;s=electronics&amp;sr=1-20"/>
  </r>
  <r>
    <s v="B09F6S8BT6"/>
    <s v="Samsung 80 cm (32 Inches) Wondertainment Series HD Ready LED Smart TV UA32T4340BKXXL (Glossy Black)"/>
    <s v="Electronics"/>
    <x v="1"/>
    <s v="HomeTheater,TV&amp;Video"/>
    <s v="SmartTelevisions"/>
    <n v="13490"/>
    <n v="22900"/>
    <n v="41"/>
    <n v="4.3"/>
    <n v="16299"/>
    <n v="4.2596086579608112"/>
    <s v="High (1,000+)"/>
    <x v="1"/>
    <n v="55.6"/>
    <s v="Above median"/>
    <b v="0"/>
    <b v="0"/>
    <b v="0"/>
    <n v="0.71"/>
    <n v="2"/>
    <x v="0"/>
    <s v="https://www.amazon.in/Samsung-Inches-Wondertainment-UA32T4340BKXXL-Glossy/dp/B09F6S8BT6/ref=sr_1_24?qid=1672909124&amp;s=electronics&amp;sr=1-24"/>
  </r>
  <r>
    <s v="B09NHVCHS9"/>
    <s v="Flix Micro Usb Cable For Smartphone (Black)"/>
    <s v="Computers&amp;Accessories"/>
    <x v="0"/>
    <s v="Accessories&amp;Peripherals"/>
    <s v="USBCables"/>
    <n v="59"/>
    <n v="199"/>
    <n v="70"/>
    <n v="4"/>
    <n v="9378"/>
    <n v="4.0242334075324999"/>
    <s v="High (1,000+)"/>
    <x v="0"/>
    <n v="54.2"/>
    <s v="Above median"/>
    <b v="0"/>
    <b v="0"/>
    <b v="0"/>
    <n v="0.2"/>
    <n v="8"/>
    <x v="0"/>
    <s v="https://www.amazon.in/Flix-Micro-Cable-Smartphone-Black/dp/B09NHVCHS9/ref=sr_1_25?qid=1672909125&amp;s=electronics&amp;sr=1-25"/>
  </r>
  <r>
    <s v="B0B1YVCJ2Y"/>
    <s v="Acer 80 cm (32 inches) I Series HD Ready Android Smart LED TV AR32AR2841HDFL (Black)"/>
    <s v="Electronics"/>
    <x v="1"/>
    <s v="HomeTheater,TV&amp;Video"/>
    <s v="SmartTelevisions"/>
    <n v="11499"/>
    <n v="19990"/>
    <n v="42"/>
    <n v="4.3"/>
    <n v="4703"/>
    <n v="4.2042807975525136"/>
    <s v="High (1,000+)"/>
    <x v="1"/>
    <n v="53.2"/>
    <s v="Above median"/>
    <b v="0"/>
    <b v="0"/>
    <b v="0"/>
    <n v="0.61"/>
    <n v="5"/>
    <x v="0"/>
    <s v="https://www.amazon.in/Acer-inches-Ready-Android-AR32AR2841HDFL/dp/B0B1YVCJ2Y/ref=sr_1_26?qid=1672909125&amp;s=electronics&amp;sr=1-26"/>
  </r>
  <r>
    <s v="B01M4GGIVU"/>
    <s v="Tizum High Speed HDMI Cable with Ethernet | Supports 3D 4K | for All HDMI Devices Laptop Computer Gaming Console TV Set Top Box (1.5 Meter/ 5 Feet)"/>
    <s v="Electronics"/>
    <x v="1"/>
    <s v="HomeTheater,TV&amp;Video"/>
    <s v="HDMICables"/>
    <n v="199"/>
    <n v="699"/>
    <n v="72"/>
    <n v="4.2"/>
    <n v="12153"/>
    <n v="4.1727271585360697"/>
    <s v="High (1,000+)"/>
    <x v="0"/>
    <n v="80.5"/>
    <s v="Top 25%"/>
    <b v="0"/>
    <b v="0"/>
    <b v="0"/>
    <n v="0.52"/>
    <n v="2"/>
    <x v="0"/>
    <s v="https://www.amazon.in/TIZUM-Slim-1-5m-HDMI-Cable/dp/B01M4GGIVU/ref=sr_1_27?qid=1672909125&amp;s=electronics&amp;sr=1-27"/>
  </r>
  <r>
    <s v="B08B42LWKN"/>
    <s v="OnePlus 80 cm (32 inches) Y Series HD Ready LED Smart Android TV 32Y1 (Black)"/>
    <s v="Electronics"/>
    <x v="1"/>
    <s v="HomeTheater,TV&amp;Video"/>
    <s v="SmartTelevisions"/>
    <n v="14999"/>
    <n v="19999"/>
    <n v="25"/>
    <n v="4.2"/>
    <n v="34899"/>
    <n v="4.1887727866658251"/>
    <s v="High (1,000+)"/>
    <x v="1"/>
    <n v="44.4"/>
    <s v="Below median"/>
    <b v="0"/>
    <b v="0"/>
    <b v="0"/>
    <n v="0.79"/>
    <n v="3"/>
    <x v="0"/>
    <s v="https://www.amazon.in/OnePlus-inches-Ready-Android-32Y1/dp/B08B42LWKN/ref=sr_1_29?qid=1672909125&amp;s=electronics&amp;sr=1-29"/>
  </r>
  <r>
    <s v="B00NH11PEY"/>
    <s v="AmazonBasics USB 2.0 - A-Male to A-Female Extension Cable for Personal Computer, Printer (Black, 9.8 Feet/3 Meters)"/>
    <s v="Computers&amp;Accessories"/>
    <x v="0"/>
    <s v="Accessories&amp;Peripherals"/>
    <s v="USBCables"/>
    <n v="199"/>
    <n v="750"/>
    <n v="73"/>
    <n v="4.5"/>
    <n v="74976"/>
    <n v="4.480151883661498"/>
    <s v="High (1,000+)"/>
    <x v="0"/>
    <n v="90.3"/>
    <s v="Top 25%"/>
    <b v="0"/>
    <b v="0"/>
    <b v="0"/>
    <n v="0.67"/>
    <n v="2"/>
    <x v="1"/>
    <s v="https://www.amazon.in/AmazonBasics-Extension-Cable-Male-Female/dp/B00NH11PEY/ref=sr_1_34?qid=1672909125&amp;s=electronics&amp;sr=1-34"/>
  </r>
  <r>
    <s v="B09CMM3VGK"/>
    <s v="Ambrane 60W / 3A Type C Fast Charging Unbreakable 1.5m L Shaped Braided Cable, PD Technology, 480Mbps Data Transfer for Smartphones, Tablet, Laptops &amp; other type c devices (ABLC10, Black)"/>
    <s v="Computers&amp;Accessories"/>
    <x v="0"/>
    <s v="Accessories&amp;Peripherals"/>
    <s v="USBCables"/>
    <n v="179"/>
    <n v="499"/>
    <n v="64"/>
    <n v="4"/>
    <n v="1934"/>
    <n v="4.0559008323849408"/>
    <s v="High (1,000+)"/>
    <x v="0"/>
    <n v="52.2"/>
    <s v="Above median"/>
    <b v="0"/>
    <b v="0"/>
    <b v="0"/>
    <n v="0.6"/>
    <n v="1"/>
    <x v="0"/>
    <s v="https://www.amazon.in/Ambrane-Charging-Unbreakable-Braided-Connector/dp/B09CMM3VGK/ref=sr_1_35?qid=1672909125&amp;s=electronics&amp;sr=1-35"/>
  </r>
  <r>
    <s v="B08QSC1XY8"/>
    <s v="Zoul USB C 60W Fast Charging 3A 6ft/2M Long Type C Nylon Braided Data Cable Quick Charger Cable QC 3.0 for Samsung Galaxy M31S M30 S10 S9 S20 Plus, Note 10 9 8, A20e A40 A50 A70 (2M, Grey)"/>
    <s v="Computers&amp;Accessories"/>
    <x v="0"/>
    <s v="Accessories&amp;Peripherals"/>
    <s v="USBCables"/>
    <n v="389"/>
    <n v="1099"/>
    <n v="65"/>
    <n v="4.3"/>
    <n v="974"/>
    <n v="4.1289220081665396"/>
    <s v="Medium (100-999)"/>
    <x v="0"/>
    <n v="63.9"/>
    <s v="Top 25%"/>
    <b v="0"/>
    <b v="0"/>
    <b v="0"/>
    <n v="1.3"/>
    <n v="2"/>
    <x v="0"/>
    <s v="https://www.amazon.in/Charging-Braided-Charger-Samsung-Galaxy/dp/B08QSC1XY8/ref=sr_1_36?qid=1672909125&amp;s=electronics&amp;sr=1-36"/>
  </r>
  <r>
    <s v="B008FWZGSG"/>
    <s v="Samsung Original Type C to C Cable - 3.28 Feet (1 Meter), White"/>
    <s v="Computers&amp;Accessories"/>
    <x v="0"/>
    <s v="Accessories&amp;Peripherals"/>
    <s v="USBCables"/>
    <n v="599"/>
    <n v="599"/>
    <n v="0"/>
    <n v="4.3"/>
    <n v="355"/>
    <n v="4.1032031795217518"/>
    <s v="Medium (100-999)"/>
    <x v="2"/>
    <n v="35.700000000000003"/>
    <s v="Bottom 25%"/>
    <b v="0"/>
    <b v="1"/>
    <b v="0"/>
    <n v="2"/>
    <n v="1"/>
    <x v="0"/>
    <s v="https://www.amazon.in/Samsung-Original-Type-Cable-Meter/dp/B008FWZGSG/ref=sr_1_37?qid=1672909125&amp;s=electronics&amp;sr=1-37"/>
  </r>
  <r>
    <s v="B0B4HJNPV4"/>
    <s v="pTron Solero T351 3.5Amps Fast Charging Type-C to Type-C PD Data &amp; Charging USB Cable, Made in India, 480Mbps Data Sync, Durable 1 Meter Long Cable for Type-C Smartphones, Tablets &amp; Laptops (Black)"/>
    <s v="Computers&amp;Accessories"/>
    <x v="0"/>
    <s v="Accessories&amp;Peripherals"/>
    <s v="USBCables"/>
    <n v="199"/>
    <n v="999"/>
    <n v="80"/>
    <n v="3.9"/>
    <n v="1075"/>
    <n v="4.0436049801924163"/>
    <s v="High (1,000+)"/>
    <x v="0"/>
    <n v="55.1"/>
    <s v="Above median"/>
    <b v="0"/>
    <b v="0"/>
    <b v="0"/>
    <n v="0.67"/>
    <n v="4"/>
    <x v="0"/>
    <s v="https://www.amazon.in/pTron-3-5Amps-Charging-480Mbps-Smartphones/dp/B0B4HJNPV4/ref=sr_1_38?qid=1672909125&amp;s=electronics&amp;sr=1-38"/>
  </r>
  <r>
    <s v="B08Y1SJVV5"/>
    <s v="pTron Solero MB301 3A Micro USB Data &amp; Charging Cable, Made in India, 480Mbps Data Sync, Strong &amp; Durable 1.5-Meter Nylon Braided USB Cable for Micro USB Devices - (Black)"/>
    <s v="Computers&amp;Accessories"/>
    <x v="0"/>
    <s v="Accessories&amp;Peripherals"/>
    <s v="USBCables"/>
    <n v="99"/>
    <n v="666.66"/>
    <n v="85"/>
    <n v="3.9"/>
    <n v="24871"/>
    <n v="3.924261410294962"/>
    <s v="High (1,000+)"/>
    <x v="0"/>
    <n v="50.6"/>
    <s v="Above median"/>
    <b v="0"/>
    <b v="0"/>
    <b v="0"/>
    <n v="0.33"/>
    <n v="3"/>
    <x v="1"/>
    <s v="https://www.amazon.in/Solero-MB301-Charging-480Mbps-1-5-Meter/dp/B08Y1SJVV5/ref=sr_1_39?qid=1672909125&amp;s=electronics&amp;sr=1-39"/>
  </r>
  <r>
    <s v="B09RZS1NQT"/>
    <s v="Sounce 65W OnePlus Dash Warp Charge Cable, 6.5A Type-C to USB C PD Data Sync Fast Charging Cable Compatible with One Plus 8T/ 9/ 9R/ 9 pro/ 9RT/ 10R/ Nord &amp; for All Type C Devices – Red, 1 Meter"/>
    <s v="Computers&amp;Accessories"/>
    <x v="0"/>
    <s v="Accessories&amp;Peripherals"/>
    <s v="USBCables"/>
    <n v="199"/>
    <n v="999"/>
    <n v="80"/>
    <n v="4"/>
    <n v="576"/>
    <n v="4.0733984307204816"/>
    <s v="Medium (100-999)"/>
    <x v="0"/>
    <n v="59.1"/>
    <s v="Above median"/>
    <b v="0"/>
    <b v="0"/>
    <b v="0"/>
    <n v="0.67"/>
    <n v="1"/>
    <x v="0"/>
    <s v="https://www.amazon.in/Sounce-Type-C-Compatible-Smartphone-Charging/dp/B09RZS1NQT/ref=sr_1_41?qid=1672909125&amp;s=electronics&amp;sr=1-41"/>
  </r>
  <r>
    <s v="B0B3MMYHYW"/>
    <s v="OnePlus 126 cm (50 inches) Y Series 4K Ultra HD Smart Android LED TV 50Y1S Pro (Black)"/>
    <s v="Electronics"/>
    <x v="1"/>
    <s v="HomeTheater,TV&amp;Video"/>
    <s v="SmartTelevisions"/>
    <n v="32999"/>
    <n v="45999"/>
    <n v="28"/>
    <n v="4.2"/>
    <n v="7298"/>
    <n v="4.1607557607414511"/>
    <s v="High (1,000+)"/>
    <x v="1"/>
    <n v="41"/>
    <s v="Below median"/>
    <b v="0"/>
    <b v="0"/>
    <b v="0"/>
    <n v="1.74"/>
    <n v="2"/>
    <x v="0"/>
    <s v="https://www.amazon.in/OnePlus-50-inches-Android-Pro/dp/B0B3MMYHYW/ref=sr_1_42?qid=1672909125&amp;s=electronics&amp;sr=1-42"/>
  </r>
  <r>
    <s v="B09C6HWG18"/>
    <s v="Duracell Type C To Type C 5A (100W) Braided Sync &amp; Fast Charging Cable, 3.9 Feet (1.2M). USB C to C Cable, Supports PD &amp; QC 3.0 Charging, 5 GBPS Data Transmission – Black"/>
    <s v="Computers&amp;Accessories"/>
    <x v="0"/>
    <s v="Accessories&amp;Peripherals"/>
    <s v="USBCables"/>
    <n v="970"/>
    <n v="1999"/>
    <n v="51"/>
    <n v="4.2"/>
    <n v="462"/>
    <n v="4.0972515307564956"/>
    <s v="Medium (100-999)"/>
    <x v="2"/>
    <n v="46.8"/>
    <s v="Below median"/>
    <b v="0"/>
    <b v="1"/>
    <b v="0"/>
    <n v="3.24"/>
    <n v="1"/>
    <x v="0"/>
    <s v="https://www.amazon.in/DURACELL-Type-C-braided-Charge-Cable/dp/B09C6HWG18/ref=sr_1_43?qid=1672909125&amp;s=electronics&amp;sr=1-43"/>
  </r>
  <r>
    <s v="B00NH11KIK"/>
    <s v="AmazonBasics USB 2.0 Cable - A-Male to B-Male - for Personal Computer, Printer- 6 Feet (1.8 Meters), Black"/>
    <s v="Computers&amp;Accessories"/>
    <x v="0"/>
    <s v="Accessories&amp;Peripherals"/>
    <s v="USBCables"/>
    <n v="209"/>
    <n v="695"/>
    <n v="70"/>
    <n v="4.5"/>
    <n v="107687"/>
    <n v="4.4859774076301893"/>
    <s v="High (1,000+)"/>
    <x v="0"/>
    <n v="89.2"/>
    <s v="Top 25%"/>
    <b v="1"/>
    <b v="0"/>
    <b v="0"/>
    <n v="0.7"/>
    <n v="1"/>
    <x v="0"/>
    <s v="https://www.amazon.in/AmazonBasics-USB-2-0-Cable-Male/dp/B00NH11KIK/ref=sr_1_44?qid=1672909125&amp;s=electronics&amp;sr=1-44"/>
  </r>
  <r>
    <s v="B09JPC82QC"/>
    <s v="Mi 108 cm (43 inches) Full HD Android LED TV 4C | L43M6-INC (Black)"/>
    <s v="Electronics"/>
    <x v="1"/>
    <s v="HomeTheater,TV&amp;Video"/>
    <s v="SmartTelevisions"/>
    <n v="19999"/>
    <n v="34999"/>
    <n v="43"/>
    <n v="4.3"/>
    <n v="27151"/>
    <n v="4.2737877979420258"/>
    <s v="High (1,000+)"/>
    <x v="1"/>
    <n v="57"/>
    <s v="Above median"/>
    <b v="0"/>
    <b v="0"/>
    <b v="0"/>
    <n v="1.05"/>
    <n v="1"/>
    <x v="0"/>
    <s v="https://www.amazon.in/inches-Full-Android-L43M6-INC-Black/dp/B09JPC82QC/ref=sr_1_45?qid=1672909125&amp;s=electronics&amp;sr=1-45"/>
  </r>
  <r>
    <s v="B07JW1Y6XV"/>
    <s v="Wayona Nylon Braided 3A Lightning to USB A Syncing and Fast Charging Data Cable for iPhone, Ipad (3 FT Pack of 1, Black)"/>
    <s v="Computers&amp;Accessories"/>
    <x v="0"/>
    <s v="Accessories&amp;Peripherals"/>
    <s v="USBCables"/>
    <n v="399"/>
    <n v="1099"/>
    <n v="64"/>
    <n v="4.2"/>
    <n v="24269"/>
    <n v="4.1845152450522027"/>
    <s v="High (1,000+)"/>
    <x v="0"/>
    <n v="69.099999999999994"/>
    <s v="Top 25%"/>
    <b v="0"/>
    <b v="0"/>
    <b v="0"/>
    <n v="1.33"/>
    <n v="6"/>
    <x v="1"/>
    <s v="https://www.amazon.in/Wayona-Braided-WN3LB1-Syncing-Charging/dp/B07JW1Y6XV/ref=sr_1_46?qid=1672909125&amp;s=electronics&amp;sr=1-46"/>
  </r>
  <r>
    <s v="B09NJN8L25"/>
    <s v="FLiX (Beetel USB to Micro USB PVC Data Sync &amp; 2A Fast Charging Cable, Made in India, 480Mbps Data Sync, Solid Cable, 1 Meter Long USB Cable for Micro USB Devices (White)(XCD-M11)"/>
    <s v="Computers&amp;Accessories"/>
    <x v="0"/>
    <s v="Accessories&amp;Peripherals"/>
    <s v="USBCables"/>
    <n v="59"/>
    <n v="199"/>
    <n v="70"/>
    <n v="4"/>
    <n v="9378"/>
    <n v="4.0242334075324999"/>
    <s v="High (1,000+)"/>
    <x v="0"/>
    <n v="54.2"/>
    <s v="Above median"/>
    <b v="0"/>
    <b v="0"/>
    <b v="0"/>
    <n v="0.2"/>
    <n v="8"/>
    <x v="1"/>
    <s v="https://www.amazon.in/FLiX-Charging-480Mbps-Devices-XCD-M11/dp/B09NJN8L25/ref=sr_1_48?qid=1672909125&amp;s=electronics&amp;sr=1-48"/>
  </r>
  <r>
    <s v="B07XJYYH7L"/>
    <s v="Wecool Nylon Braided Multifunction Fast Charging Cable For Android Smartphone, Ios And Type C Usb Devices, 3 In 1 Charging Cable, 3A, (3 Feet) (Black)"/>
    <s v="Computers&amp;Accessories"/>
    <x v="0"/>
    <s v="Accessories&amp;Peripherals"/>
    <s v="USBCables"/>
    <n v="333"/>
    <n v="999"/>
    <n v="67"/>
    <n v="3.3"/>
    <n v="9792"/>
    <n v="3.5178014011347378"/>
    <s v="High (1,000+)"/>
    <x v="0"/>
    <n v="35.299999999999997"/>
    <s v="Bottom 25%"/>
    <b v="0"/>
    <b v="0"/>
    <b v="1"/>
    <n v="1.1100000000000001"/>
    <n v="1"/>
    <x v="0"/>
    <s v="https://www.amazon.in/WeCool-Braided-Multifunction-Charging-Android/dp/B07XJYYH7L/ref=sr_1_49?qid=1672909126&amp;s=electronics&amp;sr=1-49"/>
  </r>
  <r>
    <s v="B002PD61Y4"/>
    <s v="D-Link DWA-131 300 Mbps Wireless Nano USB Adapter (Black)"/>
    <s v="Computers&amp;Accessories"/>
    <x v="0"/>
    <s v="NetworkingDevices"/>
    <s v="WirelessUSBAdapters"/>
    <n v="507"/>
    <n v="1208"/>
    <n v="58"/>
    <n v="4.0999999999999996"/>
    <n v="8131"/>
    <n v="4.0951392854652378"/>
    <s v="High (1,000+)"/>
    <x v="2"/>
    <n v="60.8"/>
    <s v="Top 25%"/>
    <b v="0"/>
    <b v="0"/>
    <b v="0"/>
    <n v="1"/>
    <n v="1"/>
    <x v="0"/>
    <s v="https://www.amazon.in/D-Link-DWA-131-Wireless-Adapter-Black/dp/B002PD61Y4/ref=sr_1_50?qid=1672909126&amp;s=electronics&amp;sr=1-50"/>
  </r>
  <r>
    <s v="B014I8SSD0"/>
    <s v="Amazon Basics High-Speed HDMI Cable, 6 Feet - Supports Ethernet, 3D, 4K video,Black"/>
    <s v="Electronics"/>
    <x v="1"/>
    <s v="HomeTheater,TV&amp;Video"/>
    <s v="HDMICables"/>
    <n v="309"/>
    <n v="475"/>
    <n v="35"/>
    <n v="4.4000000000000004"/>
    <n v="426973"/>
    <n v="4.3972452679003267"/>
    <s v="High (1,000+)"/>
    <x v="0"/>
    <n v="75.7"/>
    <s v="Top 25%"/>
    <b v="0"/>
    <b v="0"/>
    <b v="0"/>
    <n v="0.81"/>
    <n v="3"/>
    <x v="1"/>
    <s v="https://www.amazon.in/AmazonBasics-High-Speed-HDMI-Cable-Feet/dp/B014I8SSD0/ref=sr_1_51?qid=1672909126&amp;s=electronics&amp;sr=1-51"/>
  </r>
  <r>
    <s v="B09L8DSSFH"/>
    <s v="7SEVEN® Compatible for Samsung Smart 4K Ultra HD TV Monitor Remote Control Replacement of Original Samsung TV Remote for LED OLED UHD QLED and Suitable for 6 7 8 Series Samsung TV with Hot Keys BN59-01259E"/>
    <s v="Electronics"/>
    <x v="1"/>
    <s v="HomeTheater,TV&amp;Video"/>
    <s v="RemoteControls"/>
    <n v="399"/>
    <n v="999"/>
    <n v="60"/>
    <n v="3.6"/>
    <n v="493"/>
    <n v="4.0284899757210244"/>
    <s v="Medium (100-999)"/>
    <x v="0"/>
    <n v="48.9"/>
    <s v="Below median"/>
    <b v="0"/>
    <b v="0"/>
    <b v="1"/>
    <n v="1.1599999999999999"/>
    <n v="1"/>
    <x v="0"/>
    <s v="https://www.amazon.in/7SEVENTM-Compatible-Replacement-Original-BN59-01259E/dp/B09L8DSSFH/ref=sr_1_52?qid=1672909126&amp;s=electronics&amp;sr=1-52"/>
  </r>
  <r>
    <s v="B07232M876"/>
    <s v="Amazonbasics Micro Usb Fast Charging Cable For Android Smartphone,Personal Computer,Printer With Gold Plated Connectors (6 Feet, Black)"/>
    <s v="Computers&amp;Accessories"/>
    <x v="0"/>
    <s v="Accessories&amp;Peripherals"/>
    <s v="USBCables"/>
    <n v="199"/>
    <n v="395"/>
    <n v="50"/>
    <n v="4.2"/>
    <n v="92595"/>
    <n v="4.1954953074922123"/>
    <s v="High (1,000+)"/>
    <x v="0"/>
    <n v="69.5"/>
    <s v="Top 25%"/>
    <b v="0"/>
    <b v="0"/>
    <b v="0"/>
    <n v="0.67"/>
    <n v="2"/>
    <x v="0"/>
    <s v="https://www.amazon.in/AmazonBasics-Micro-Charging-Android-Phones/dp/B07232M876/ref=sr_1_53?qid=1672909126&amp;s=electronics&amp;sr=1-53"/>
  </r>
  <r>
    <s v="B0711PVX6Z"/>
    <s v="AmazonBasics Micro USB Fast Charging Cable for Android Phones with Gold Plated Connectors (3 Feet, Black)"/>
    <s v="Computers&amp;Accessories"/>
    <x v="0"/>
    <s v="Accessories&amp;Peripherals"/>
    <s v="USBCables"/>
    <n v="179"/>
    <n v="500"/>
    <n v="64"/>
    <n v="4.2"/>
    <n v="92595"/>
    <n v="4.1954953074922123"/>
    <s v="High (1,000+)"/>
    <x v="0"/>
    <n v="77.7"/>
    <s v="Top 25%"/>
    <b v="0"/>
    <b v="0"/>
    <b v="0"/>
    <n v="0.6"/>
    <n v="2"/>
    <x v="1"/>
    <s v="https://www.amazon.in/AmazonBasics-Micro-Charging-Android-Phones/dp/B0711PVX6Z/ref=sr_1_55?qid=1672909126&amp;s=electronics&amp;sr=1-55"/>
  </r>
  <r>
    <s v="B07MKFNHKG"/>
    <s v="VW 80 cm (32 inches) Frameless Series HD Ready LED TV VW32A (Black)"/>
    <s v="Electronics"/>
    <x v="1"/>
    <s v="HomeTheater,TV&amp;Video"/>
    <s v="StandardTelevisions"/>
    <n v="6999"/>
    <n v="12999"/>
    <n v="46"/>
    <n v="4.2"/>
    <n v="4003"/>
    <n v="4.1441039329960478"/>
    <s v="High (1,000+)"/>
    <x v="3"/>
    <n v="48.9"/>
    <s v="Below median"/>
    <b v="0"/>
    <b v="0"/>
    <b v="0"/>
    <m/>
    <n v="2"/>
    <x v="0"/>
    <s v="https://www.amazon.in/Visio-World-inches-VW32A-Ready/dp/B07MKFNHKG/ref=sr_1_58?qid=1672909126&amp;s=electronics&amp;sr=1-58"/>
  </r>
  <r>
    <s v="B0BFWGBX61"/>
    <s v="Ambrane Unbreakable 3A Fast Charging Braided Type C Cable    1.5 Meter (RCT15, Blue) Supports QC 2.0/3.0 Charging"/>
    <s v="Computers&amp;Accessories"/>
    <x v="0"/>
    <s v="Accessories&amp;Peripherals"/>
    <s v="USBCables"/>
    <n v="199"/>
    <n v="349"/>
    <n v="43"/>
    <n v="4.0999999999999996"/>
    <n v="314"/>
    <n v="4.0858184942182794"/>
    <s v="Medium (100-999)"/>
    <x v="0"/>
    <n v="46.1"/>
    <s v="Below median"/>
    <b v="0"/>
    <b v="0"/>
    <b v="0"/>
    <n v="0.67"/>
    <n v="1"/>
    <x v="0"/>
    <s v="https://www.amazon.in/Ambrane-Unbreakable-Charging-RCT15-Supports/dp/B0BFWGBX61/ref=sr_1_59?qid=1672909126&amp;s=electronics&amp;sr=1-59"/>
  </r>
  <r>
    <s v="B01N90RZ4M"/>
    <s v="Tata Sky Universal Remote"/>
    <s v="Electronics"/>
    <x v="1"/>
    <s v="HomeTheater,TV&amp;Video"/>
    <s v="RemoteControls"/>
    <n v="230"/>
    <n v="499"/>
    <n v="54"/>
    <n v="3.7"/>
    <n v="2960"/>
    <n v="3.915275432009047"/>
    <s v="High (1,000+)"/>
    <x v="0"/>
    <n v="39.9"/>
    <s v="Below median"/>
    <b v="0"/>
    <b v="0"/>
    <b v="1"/>
    <n v="0.67"/>
    <n v="1"/>
    <x v="0"/>
    <s v="https://www.amazon.in/TATASKY-Universal-Remote/dp/B01N90RZ4M/ref=sr_1_60?qid=1672909126&amp;s=electronics&amp;sr=1-60"/>
  </r>
  <r>
    <s v="B0088TKTY2"/>
    <s v="TP-LINK WiFi Dongle 300 Mbps Mini Wireless Network USB Wi-Fi Adapter for PC Desktop Laptop(Supports Windows 11/10/8.1/8/7/XP, Mac OS 10.9-10.15 and Linux, WPS, Soft AP Mode, USB 2.0) (TL-WN823N),Black"/>
    <s v="Computers&amp;Accessories"/>
    <x v="0"/>
    <s v="NetworkingDevices"/>
    <s v="WirelessUSBAdapters"/>
    <n v="649"/>
    <n v="1399"/>
    <n v="54"/>
    <n v="4.2"/>
    <n v="179691"/>
    <n v="4.1976339458864551"/>
    <s v="High (1,000+)"/>
    <x v="2"/>
    <n v="72.3"/>
    <s v="Top 25%"/>
    <b v="0"/>
    <b v="0"/>
    <b v="0"/>
    <n v="1.28"/>
    <n v="3"/>
    <x v="1"/>
    <s v="https://www.amazon.in/TP-Link-TL-WN823N-300Mbps-Wireless-N-Adapter/dp/B0088TKTY2/ref=sr_1_61?qid=1672909126&amp;s=electronics&amp;sr=1-61"/>
  </r>
  <r>
    <s v="B09Q5SWVBJ"/>
    <s v="OnePlus 80 cm (32 inches) Y Series HD Ready Smart Android LED TV 32 Y1S (Black)"/>
    <s v="Electronics"/>
    <x v="1"/>
    <s v="HomeTheater,TV&amp;Video"/>
    <s v="SmartTelevisions"/>
    <n v="15999"/>
    <n v="21999"/>
    <n v="27"/>
    <n v="4.2"/>
    <n v="34899"/>
    <n v="4.1887727866658251"/>
    <s v="High (1,000+)"/>
    <x v="1"/>
    <n v="45.1"/>
    <s v="Below median"/>
    <b v="0"/>
    <b v="0"/>
    <b v="0"/>
    <n v="0.84"/>
    <n v="3"/>
    <x v="1"/>
    <s v="https://www.amazon.in/OnePlus-inches-Ready-Smart-Android/dp/B09Q5SWVBJ/ref=sr_1_63?qid=1672909126&amp;s=electronics&amp;sr=1-63"/>
  </r>
  <r>
    <s v="B07B275VN9"/>
    <s v="Airtel DigitalTV DTH Television, Setup Box Remote Compatible for SD and HD Recording (Black)"/>
    <s v="Electronics"/>
    <x v="1"/>
    <s v="HomeTheater,TV&amp;Video"/>
    <s v="RemoteControls"/>
    <n v="179"/>
    <n v="799"/>
    <n v="78"/>
    <n v="3.7"/>
    <n v="2201"/>
    <n v="3.942674451526925"/>
    <s v="High (1,000+)"/>
    <x v="0"/>
    <n v="52"/>
    <s v="Above median"/>
    <b v="0"/>
    <b v="0"/>
    <b v="1"/>
    <n v="0.52"/>
    <n v="1"/>
    <x v="0"/>
    <s v="https://www.amazon.in/Airtel-Digital-Remote-Compatible-Recording/dp/B07B275VN9/ref=sr_1_66_mod_primary_new?qid=1672909126&amp;s=electronics&amp;sbo=RZvfv%2F%2FHxDF%2BO5021pAnSA%3D%3D&amp;sr=1-66"/>
  </r>
  <r>
    <s v="B0B15CPR37"/>
    <s v="Samsung 108 cm (43 inches) Crystal 4K Neo Series Ultra HD Smart LED TV UA43AUE65AKXXL (Black)"/>
    <s v="Electronics"/>
    <x v="1"/>
    <s v="HomeTheater,TV&amp;Video"/>
    <s v="SmartTelevisions"/>
    <n v="32990"/>
    <n v="47900"/>
    <n v="31"/>
    <n v="4.3"/>
    <n v="7109"/>
    <n v="4.2254646637244919"/>
    <s v="High (1,000+)"/>
    <x v="1"/>
    <n v="49.1"/>
    <s v="Below median"/>
    <b v="0"/>
    <b v="0"/>
    <b v="0"/>
    <n v="1.74"/>
    <n v="4"/>
    <x v="0"/>
    <s v="https://www.amazon.in/Samsung-inches-Crystal-Ultra-UA43AUE65AKXXL/dp/B0B15CPR37/ref=sr_1_67?qid=1672909126&amp;s=electronics&amp;sr=1-67"/>
  </r>
  <r>
    <s v="B01GGKZ0V6"/>
    <s v="AmazonBasics USB Type-C to USB Type-C 2.0 Cable - 3 Feet Laptop (0.9 Meters) - White"/>
    <s v="Computers&amp;Accessories"/>
    <x v="0"/>
    <s v="Accessories&amp;Peripherals"/>
    <s v="USBCables"/>
    <n v="329"/>
    <n v="845"/>
    <n v="61"/>
    <n v="4.2"/>
    <n v="29746"/>
    <n v="4.1870462447343453"/>
    <s v="High (1,000+)"/>
    <x v="0"/>
    <n v="70.099999999999994"/>
    <s v="Top 25%"/>
    <b v="0"/>
    <b v="0"/>
    <b v="0"/>
    <n v="1.1000000000000001"/>
    <n v="2"/>
    <x v="0"/>
    <s v="https://www.amazon.in/AmazonBasics-USB-Type-C-2-0-Cable/dp/B01GGKZ0V6/ref=sr_1_69?qid=1672909126&amp;s=electronics&amp;sr=1-69"/>
  </r>
  <r>
    <s v="B09F9YQQ7B"/>
    <s v="Redmi 80 cm (32 inches) Android 11 Series HD Ready Smart LED TV | L32M6-RA/L32M7-RA (Black)"/>
    <s v="Electronics"/>
    <x v="1"/>
    <s v="HomeTheater,TV&amp;Video"/>
    <s v="SmartTelevisions"/>
    <n v="13999"/>
    <n v="24999"/>
    <n v="44"/>
    <n v="4.2"/>
    <n v="45238"/>
    <n v="4.1911417045067054"/>
    <s v="High (1,000+)"/>
    <x v="1"/>
    <n v="52.6"/>
    <s v="Above median"/>
    <b v="0"/>
    <b v="0"/>
    <b v="0"/>
    <n v="0.74"/>
    <n v="3"/>
    <x v="0"/>
    <s v="https://www.amazon.in/Redmi-inches-Ready-L32M6-RA-Android/dp/B09F9YQQ7B/ref=sr_1_72?qid=1672909126&amp;s=electronics&amp;sr=1-72"/>
  </r>
  <r>
    <s v="B014I8SX4Y"/>
    <s v="Amazon Basics High-Speed HDMI Cable, 6 Feet (2-Pack),Black"/>
    <s v="Electronics"/>
    <x v="1"/>
    <s v="HomeTheater,TV&amp;Video"/>
    <s v="HDMICables"/>
    <n v="309"/>
    <n v="1400"/>
    <n v="78"/>
    <n v="4.4000000000000004"/>
    <n v="426973"/>
    <n v="4.3972452679003267"/>
    <s v="High (1,000+)"/>
    <x v="0"/>
    <n v="94.7"/>
    <s v="Top 25%"/>
    <b v="0"/>
    <b v="0"/>
    <b v="0"/>
    <n v="0.81"/>
    <n v="3"/>
    <x v="1"/>
    <s v="https://www.amazon.in/AmazonBasics-High-Speed-Cable-2-Pack-Black/dp/B014I8SX4Y/ref=sr_1_73?qid=1672909128&amp;s=electronics&amp;sr=1-73"/>
  </r>
  <r>
    <s v="B0B9XN9S3W"/>
    <s v="Acer 80 cm (32 inches) N Series HD Ready TV AR32NSV53HD (Black)"/>
    <s v="Electronics"/>
    <x v="1"/>
    <s v="HomeTheater,TV&amp;Video"/>
    <s v="StandardTelevisions"/>
    <n v="7999"/>
    <n v="14990"/>
    <n v="47"/>
    <n v="4.3"/>
    <n v="457"/>
    <n v="4.1079604435788157"/>
    <s v="Medium (100-999)"/>
    <x v="3"/>
    <n v="45.8"/>
    <s v="Below median"/>
    <b v="0"/>
    <b v="0"/>
    <b v="0"/>
    <m/>
    <n v="1"/>
    <x v="0"/>
    <s v="https://www.amazon.in/Acer-inches-Ready-AR32NSV53HD-Black/dp/B0B9XN9S3W/ref=sr_1_75?qid=1672909128&amp;s=electronics&amp;sr=1-75"/>
  </r>
  <r>
    <s v="B07966M8XH"/>
    <s v="Model-P4 6 Way Swivel Tilt Wall Mount 32-55-inch Full Motion Cantilever for LED,LCD and Plasma TV's"/>
    <s v="Electronics"/>
    <x v="1"/>
    <s v="HomeTheater,TV&amp;Video"/>
    <s v="TVWall&amp;CeilingMounts"/>
    <n v="1599"/>
    <n v="2999"/>
    <n v="47"/>
    <n v="4.2"/>
    <n v="2727"/>
    <n v="4.1331133510564477"/>
    <s v="High (1,000+)"/>
    <x v="4"/>
    <n v="53.9"/>
    <s v="Above median"/>
    <b v="0"/>
    <b v="0"/>
    <b v="0"/>
    <m/>
    <n v="1"/>
    <x v="0"/>
    <s v="https://www.amazon.in/Model-P4-Swivel-32-55-inch-Motion-Cantilever/dp/B07966M8XH/ref=sr_1_76?qid=1672909128&amp;s=electronics&amp;sr=1-76"/>
  </r>
  <r>
    <s v="B01GGKYKQM"/>
    <s v="Amazon Basics USB Type-C to USB-A 2.0 Male Fast Charging Cable for Laptop - 3 Feet (0.9 Meters), Black"/>
    <s v="Computers&amp;Accessories"/>
    <x v="0"/>
    <s v="Accessories&amp;Peripherals"/>
    <s v="USBCables"/>
    <n v="219"/>
    <n v="700"/>
    <n v="69"/>
    <n v="4.3"/>
    <n v="20053"/>
    <n v="4.2659754820046114"/>
    <s v="High (1,000+)"/>
    <x v="0"/>
    <n v="82.3"/>
    <s v="Top 25%"/>
    <b v="1"/>
    <b v="0"/>
    <b v="0"/>
    <n v="0.73"/>
    <n v="1"/>
    <x v="0"/>
    <s v="https://www.amazon.in/AmazonBasics-Type-C-USB-Male-Cable/dp/B01GGKYKQM/ref=sr_1_77?qid=1672909128&amp;s=electronics&amp;sr=1-77"/>
  </r>
  <r>
    <s v="B0B86CDHL1"/>
    <s v="oraimo 65W Type C to C Fast Charging Cable USB C to USB C Cable High Speed Syncing, Nylon Braided 1M length with LED Indicator Compatible For Laptop, Macbook, Samsung Galaxy S22 S20 S10 S20Fe S21 S21 Ultra A70 A51 A71 A50S M31 M51 M31S M53 5G"/>
    <s v="Computers&amp;Accessories"/>
    <x v="0"/>
    <s v="Accessories&amp;Peripherals"/>
    <s v="USBCables"/>
    <n v="349"/>
    <n v="899"/>
    <n v="61"/>
    <n v="4.5"/>
    <n v="149"/>
    <n v="4.1004573927344534"/>
    <s v="Medium (100-999)"/>
    <x v="0"/>
    <n v="60.6"/>
    <s v="Top 25%"/>
    <b v="0"/>
    <b v="0"/>
    <b v="0"/>
    <n v="1.17"/>
    <n v="1"/>
    <x v="0"/>
    <s v="https://www.amazon.in/oraimo-Charging-Syncing-Indicator-Compatible/dp/B0B86CDHL1/ref=sr_1_79?qid=1672909128&amp;s=electronics&amp;sr=1-79"/>
  </r>
  <r>
    <s v="B0B5ZF3NRK"/>
    <s v="CEDO 65W OnePlus Dash Warp Charge Cable, USB A to Type C Data Sync Fast Charging Cable Compatible with One Plus 3 /3T /5 /5T /6 /6T /7 /7T /7 pro &amp; for All Type C Devices - 1 Meter, Red"/>
    <s v="Computers&amp;Accessories"/>
    <x v="0"/>
    <s v="Accessories&amp;Peripherals"/>
    <s v="USBCables"/>
    <n v="349"/>
    <n v="599"/>
    <n v="42"/>
    <n v="4.0999999999999996"/>
    <n v="210"/>
    <n v="4.0854472225754099"/>
    <s v="Medium (100-999)"/>
    <x v="0"/>
    <n v="40.700000000000003"/>
    <s v="Below median"/>
    <b v="0"/>
    <b v="0"/>
    <b v="0"/>
    <n v="1.17"/>
    <n v="1"/>
    <x v="0"/>
    <s v="https://www.amazon.in/CEDO-OnePlus-Charging-Compatible-Devices/dp/B0B5ZF3NRK/ref=sr_1_80?qid=1672909128&amp;s=electronics&amp;sr=1-80"/>
  </r>
  <r>
    <s v="B09RFC46VP"/>
    <s v="Redmi 108 cm (43 inches) 4K Ultra HD Android Smart LED TV X43 | L43R7-7AIN (Black)"/>
    <s v="Electronics"/>
    <x v="1"/>
    <s v="HomeTheater,TV&amp;Video"/>
    <s v="SmartTelevisions"/>
    <n v="26999"/>
    <n v="42999"/>
    <n v="37"/>
    <n v="4.2"/>
    <n v="45238"/>
    <n v="4.1911417045067054"/>
    <s v="High (1,000+)"/>
    <x v="1"/>
    <n v="48.7"/>
    <s v="Below median"/>
    <b v="0"/>
    <b v="0"/>
    <b v="0"/>
    <n v="1.42"/>
    <n v="3"/>
    <x v="1"/>
    <s v="https://www.amazon.in/Redmi-inches-Ultra-Android-L43R7-7AIN/dp/B09RFC46VP/ref=sr_1_81?qid=1672909128&amp;s=electronics&amp;sr=1-81"/>
  </r>
  <r>
    <s v="B09YLXYP7Y"/>
    <s v="Ambrane 60W / 3A Fast Charging Output Cable with Type-C to USB for Mobile, Neckband, True Wireless Earphone Charging, 480mbps Data Sync Speed, 1m Length (ACT - AZ10, Black)"/>
    <s v="Computers&amp;Accessories"/>
    <x v="0"/>
    <s v="Accessories&amp;Peripherals"/>
    <s v="USBCables"/>
    <n v="179"/>
    <n v="399"/>
    <n v="55"/>
    <n v="4"/>
    <n v="1423"/>
    <n v="4.0614095249601423"/>
    <s v="High (1,000+)"/>
    <x v="0"/>
    <n v="47.9"/>
    <s v="Below median"/>
    <b v="0"/>
    <b v="0"/>
    <b v="0"/>
    <n v="0.6"/>
    <n v="3"/>
    <x v="0"/>
    <s v="https://www.amazon.in/Ambrane-Charging-Neckband-Wireless-ACT/dp/B09YLXYP7Y/ref=sr_1_85?qid=1672909128&amp;s=electronics&amp;sr=1-85"/>
  </r>
  <r>
    <s v="B09ZPM4C2C"/>
    <s v="TCL 80 cm (32 inches) HD Ready Certified Android Smart LED TV 32S5205 (Black)"/>
    <s v="Electronics"/>
    <x v="1"/>
    <s v="HomeTheater,TV&amp;Video"/>
    <s v="SmartTelevisions"/>
    <n v="10901"/>
    <n v="30990"/>
    <n v="65"/>
    <n v="4.0999999999999996"/>
    <n v="398"/>
    <n v="4.0861048171327523"/>
    <s v="Medium (100-999)"/>
    <x v="1"/>
    <n v="44.7"/>
    <s v="Below median"/>
    <b v="0"/>
    <b v="0"/>
    <b v="0"/>
    <n v="0.56999999999999995"/>
    <n v="1"/>
    <x v="0"/>
    <s v="https://www.amazon.in/TCL-inches-Certified-Android-32S5205/dp/B09ZPM4C2C/ref=sr_1_86?qid=1672909128&amp;s=electronics&amp;sr=1-86"/>
  </r>
  <r>
    <s v="B0B2DJDCPX"/>
    <s v="SWAPKART Fast Charging Cable and Data Sync USB Cable Compatible for iPhone 6/6S/7/7+/8/8+/10/11, 12, 13 Pro max iPad Air/Mini, iPod and iOS Devices (White)"/>
    <s v="Computers&amp;Accessories"/>
    <x v="0"/>
    <s v="Accessories&amp;Peripherals"/>
    <s v="USBCables"/>
    <n v="209"/>
    <n v="499"/>
    <n v="58"/>
    <n v="3.9"/>
    <n v="536"/>
    <n v="4.0616119789882088"/>
    <s v="Medium (100-999)"/>
    <x v="0"/>
    <n v="48.1"/>
    <s v="Below median"/>
    <b v="0"/>
    <b v="0"/>
    <b v="0"/>
    <n v="0.7"/>
    <n v="1"/>
    <x v="0"/>
    <s v="https://www.amazon.in/SWAPKART-Charging-Compatible-iPhone-Devices/dp/B0B2DJDCPX/ref=sr_1_87?qid=1672909128&amp;s=electronics&amp;sr=1-87"/>
  </r>
  <r>
    <s v="B0BCZCQTJX"/>
    <s v="Firestick Remote"/>
    <s v="Electronics"/>
    <x v="1"/>
    <s v="HomeTheater,TV&amp;Video"/>
    <s v="RemoteControls"/>
    <n v="1434"/>
    <n v="3999"/>
    <n v="64"/>
    <n v="4"/>
    <n v="32"/>
    <n v="4.0839212259008608"/>
    <s v="Low (&lt;100)"/>
    <x v="4"/>
    <n v="50.4"/>
    <s v="Below median"/>
    <b v="0"/>
    <b v="0"/>
    <b v="0"/>
    <n v="4.17"/>
    <n v="1"/>
    <x v="0"/>
    <s v="https://www.amazon.in/Basesailor-2nd-generation-Firestick-Remote/dp/B0BCZCQTJX/ref=sr_1_88?qid=1672909128&amp;s=electronics&amp;sr=1-88"/>
  </r>
  <r>
    <s v="B07LGT55SJ"/>
    <s v="Wayona Usb Nylon Braided Data Sync And Charging Cable For Iphone, Ipad Tablet (Red, Black)"/>
    <s v="Computers&amp;Accessories"/>
    <x v="0"/>
    <s v="Accessories&amp;Peripherals"/>
    <s v="USBCables"/>
    <n v="399"/>
    <n v="1099"/>
    <n v="64"/>
    <n v="4.2"/>
    <n v="24269"/>
    <n v="4.1845152450522027"/>
    <s v="High (1,000+)"/>
    <x v="0"/>
    <n v="69.099999999999994"/>
    <s v="Top 25%"/>
    <b v="0"/>
    <b v="0"/>
    <b v="0"/>
    <n v="1.33"/>
    <n v="6"/>
    <x v="1"/>
    <s v="https://www.amazon.in/Wayona-Braided-Syncing-Charging-iPhone/dp/B07LGT55SJ/ref=sr_1_89?qid=1672909128&amp;s=electronics&amp;sr=1-89"/>
  </r>
  <r>
    <s v="B09NKZXMWJ"/>
    <s v="Flix (Beetel) Usb To Type C Pvc Data Sync And 2A 480Mbps Data Sync, Tough Fast Charging Long Cable For Usb Type C Devices, Charging Adapter (White, 1 Meter) - Xcd-C12"/>
    <s v="Computers&amp;Accessories"/>
    <x v="0"/>
    <s v="Accessories&amp;Peripherals"/>
    <s v="USBCables"/>
    <n v="139"/>
    <n v="249"/>
    <n v="44"/>
    <n v="4"/>
    <n v="9378"/>
    <n v="4.0242334075324999"/>
    <s v="High (1,000+)"/>
    <x v="0"/>
    <n v="39.200000000000003"/>
    <s v="Below median"/>
    <b v="0"/>
    <b v="0"/>
    <b v="0"/>
    <n v="0.46"/>
    <n v="8"/>
    <x v="1"/>
    <s v="https://www.amazon.in/FLiX-Charging-480Mbps-Devices-XCD-C12/dp/B09NKZXMWJ/ref=sr_1_90?qid=1672909128&amp;s=electronics&amp;sr=1-90"/>
  </r>
  <r>
    <s v="B08QX1CC14"/>
    <s v="SKYWALL 81.28 cm (32 inches) HD Ready Smart LED TV 32SWELS-PRO (Black)"/>
    <s v="Electronics"/>
    <x v="1"/>
    <s v="HomeTheater,TV&amp;Video"/>
    <s v="SmartTelevisions"/>
    <n v="7299"/>
    <n v="19125"/>
    <n v="62"/>
    <n v="3.4"/>
    <n v="902"/>
    <n v="3.952243346914099"/>
    <s v="Medium (100-999)"/>
    <x v="3"/>
    <n v="29.6"/>
    <s v="Bottom 25%"/>
    <b v="0"/>
    <b v="0"/>
    <b v="1"/>
    <n v="0.38"/>
    <n v="1"/>
    <x v="0"/>
    <s v="https://www.amazon.in/Skywall-81-28-inches-Smart-32SWELS-PRO/dp/B08QX1CC14/ref=sr_1_91?qid=1672909128&amp;s=electronics&amp;sr=1-91"/>
  </r>
  <r>
    <s v="B0974H97TJ"/>
    <s v="boAt A 350 Type C Cable for Smartphone, Charging Adapter (1.5m, Carbon Black)"/>
    <s v="Computers&amp;Accessories"/>
    <x v="0"/>
    <s v="Accessories&amp;Peripherals"/>
    <s v="USBCables"/>
    <n v="299"/>
    <n v="799"/>
    <n v="63"/>
    <n v="4.4000000000000004"/>
    <n v="28791"/>
    <n v="4.3635504351814962"/>
    <s v="High (1,000+)"/>
    <x v="0"/>
    <n v="82"/>
    <s v="Top 25%"/>
    <b v="0"/>
    <b v="0"/>
    <b v="0"/>
    <n v="1"/>
    <n v="2"/>
    <x v="0"/>
    <s v="https://www.amazon.in/boAt-350-Cable-Carbon-Black/dp/B0974H97TJ/ref=sr_1_92?qid=1672909128&amp;s=electronics&amp;sr=1-92"/>
  </r>
  <r>
    <s v="B09VCHLSJF"/>
    <s v="OnePlus 108 cm (43 inches) Y Series 4K Ultra HD Smart Android LED TV 43Y1S Pro (Black)"/>
    <s v="Electronics"/>
    <x v="1"/>
    <s v="HomeTheater,TV&amp;Video"/>
    <s v="SmartTelevisions"/>
    <n v="29999"/>
    <n v="39999"/>
    <n v="25"/>
    <n v="4.2"/>
    <n v="7298"/>
    <n v="4.1607557607414511"/>
    <s v="High (1,000+)"/>
    <x v="1"/>
    <n v="40"/>
    <s v="Below median"/>
    <b v="0"/>
    <b v="0"/>
    <b v="0"/>
    <n v="1.58"/>
    <n v="2"/>
    <x v="1"/>
    <s v="https://www.amazon.in/OnePlus-43-inches-Android-Pro/dp/B09VCHLSJF/ref=sr_1_94?qid=1672909128&amp;s=electronics&amp;sr=1-94"/>
  </r>
  <r>
    <s v="B0B1YZX72F"/>
    <s v="Acer 127 cm (50 inches) I Series 4K Ultra HD Android Smart LED TV AR50AR2851UDFL (Black)"/>
    <s v="Electronics"/>
    <x v="1"/>
    <s v="HomeTheater,TV&amp;Video"/>
    <s v="SmartTelevisions"/>
    <n v="27999"/>
    <n v="40990"/>
    <n v="32"/>
    <n v="4.3"/>
    <n v="4703"/>
    <n v="4.2042807975525136"/>
    <s v="High (1,000+)"/>
    <x v="1"/>
    <n v="48.5"/>
    <s v="Below median"/>
    <b v="0"/>
    <b v="0"/>
    <b v="0"/>
    <n v="1.47"/>
    <n v="5"/>
    <x v="1"/>
    <s v="https://www.amazon.in/Acer-inches-Ultra-Android-AR50AR2851UDFL/dp/B0B1YZX72F/ref=sr_1_95?qid=1672909128&amp;s=electronics&amp;sr=1-95"/>
  </r>
  <r>
    <s v="B092BJMT8Q"/>
    <s v="Samsung 108 cm (43 inches) Crystal 4K Series Ultra HD Smart LED TV UA43AUE60AKLXL (Black)"/>
    <s v="Electronics"/>
    <x v="1"/>
    <s v="HomeTheater,TV&amp;Video"/>
    <s v="SmartTelevisions"/>
    <n v="30990"/>
    <n v="52900"/>
    <n v="41"/>
    <n v="4.3"/>
    <n v="7109"/>
    <n v="4.2254646637244919"/>
    <s v="High (1,000+)"/>
    <x v="1"/>
    <n v="53"/>
    <s v="Above median"/>
    <b v="0"/>
    <b v="0"/>
    <b v="0"/>
    <n v="1.63"/>
    <n v="4"/>
    <x v="1"/>
    <s v="https://www.amazon.in/Samsung-inches-Crystal-Ultra-UA43AUE60AKLXL/dp/B092BJMT8Q/ref=sr_1_96?qid=1672909128&amp;s=electronics&amp;sr=1-96"/>
  </r>
  <r>
    <s v="B07JH1C41D"/>
    <s v="Wayona Nylon Braided (2 Pack) Lightning Fast Usb Data Cable Fast Charger Cord For Iphone, Ipad Tablet (3 Ft Pack Of 2, Grey)"/>
    <s v="Computers&amp;Accessories"/>
    <x v="0"/>
    <s v="Accessories&amp;Peripherals"/>
    <s v="USBCables"/>
    <n v="649"/>
    <n v="1999"/>
    <n v="68"/>
    <n v="4.2"/>
    <n v="24269"/>
    <n v="4.1845152450522027"/>
    <s v="High (1,000+)"/>
    <x v="2"/>
    <n v="67.599999999999994"/>
    <s v="Top 25%"/>
    <b v="0"/>
    <b v="0"/>
    <b v="0"/>
    <n v="2.17"/>
    <n v="6"/>
    <x v="1"/>
    <s v="https://www.amazon.in/Wayona-Braided-WN3LG2-Syncing-Charging/dp/B07JH1C41D/ref=sr_1_98?qid=1672909129&amp;s=electronics&amp;sr=1-98"/>
  </r>
  <r>
    <s v="B0141EZMAI"/>
    <s v="Gizga Essentials USB WiFi Adapter for PC, 150 Mbps Wireless Network Adapter for Desktop - Nano Size WiFi Dongle Compatible with Windows, Mac OS &amp; Linux Kernel | WPA/WPA2 Encryption Standards| Black"/>
    <s v="Computers&amp;Accessories"/>
    <x v="0"/>
    <s v="NetworkingDevices"/>
    <s v="WirelessUSBAdapters"/>
    <n v="269"/>
    <n v="800"/>
    <n v="66"/>
    <n v="3.6"/>
    <n v="10134"/>
    <n v="3.7312157083928188"/>
    <s v="High (1,000+)"/>
    <x v="0"/>
    <n v="43.7"/>
    <s v="Below median"/>
    <b v="0"/>
    <b v="0"/>
    <b v="1"/>
    <n v="0.53"/>
    <n v="1"/>
    <x v="0"/>
    <s v="https://www.amazon.in/Receiver-300Mbps-802-11b-Wireless-Network/dp/B0141EZMAI/ref=sr_1_99?qid=1672909129&amp;s=electronics&amp;sr=1-99"/>
  </r>
  <r>
    <s v="B09Q5P2MT3"/>
    <s v="OnePlus 108 cm (43 inches) Y Series Full HD Smart Android LED TV 43 Y1S (Black)"/>
    <s v="Electronics"/>
    <x v="1"/>
    <s v="HomeTheater,TV&amp;Video"/>
    <s v="SmartTelevisions"/>
    <n v="24999"/>
    <n v="31999"/>
    <n v="22"/>
    <n v="4.2"/>
    <n v="34899"/>
    <n v="4.1887727866658251"/>
    <s v="High (1,000+)"/>
    <x v="1"/>
    <n v="43.1"/>
    <s v="Below median"/>
    <b v="0"/>
    <b v="0"/>
    <b v="0"/>
    <n v="1.32"/>
    <n v="3"/>
    <x v="1"/>
    <s v="https://www.amazon.in/OnePlus-inches-Smart-Android-Black/dp/B09Q5P2MT3/ref=sr_1_100?qid=1672909129&amp;s=electronics&amp;sr=1-100"/>
  </r>
  <r>
    <s v="B08HDH26JX"/>
    <s v="boAt Deuce USB 300 2 in 1 Type-C &amp; Micro USB Stress Resistant, Sturdy Cable with 3A Fast Charging &amp; 480mbps Data Transmission, 10000+ Bends Lifespan and Extended 1.5m Length(Mercurial Black)"/>
    <s v="Computers&amp;Accessories"/>
    <x v="0"/>
    <s v="Accessories&amp;Peripherals"/>
    <s v="USBCables"/>
    <n v="299"/>
    <n v="699"/>
    <n v="57"/>
    <n v="4.2"/>
    <n v="94363"/>
    <n v="4.1955764718822417"/>
    <s v="High (1,000+)"/>
    <x v="0"/>
    <n v="70.2"/>
    <s v="Top 25%"/>
    <b v="0"/>
    <b v="0"/>
    <b v="0"/>
    <n v="1"/>
    <n v="4"/>
    <x v="1"/>
    <s v="https://www.amazon.in/Deuce-300-Resistant-Transmission-Mercurial/dp/B08HDH26JX/ref=sr_1_101?qid=1672909129&amp;s=electronics&amp;sr=1-101"/>
  </r>
  <r>
    <s v="B09VT6JKRP"/>
    <s v="Lapster USB 3.0 A to Micro B SuperSpeed for hard disk cable - short cable"/>
    <s v="Computers&amp;Accessories"/>
    <x v="0"/>
    <s v="Accessories&amp;Peripherals"/>
    <s v="USBCables"/>
    <n v="199"/>
    <n v="999"/>
    <n v="80"/>
    <n v="4.0999999999999996"/>
    <n v="425"/>
    <n v="4.0861944099536274"/>
    <s v="Medium (100-999)"/>
    <x v="0"/>
    <n v="62.7"/>
    <s v="Top 25%"/>
    <b v="0"/>
    <b v="0"/>
    <b v="0"/>
    <n v="0.67"/>
    <n v="1"/>
    <x v="0"/>
    <s v="https://www.amazon.in/Lapster-Micro-SuperSpeed-hard-cable/dp/B09VT6JKRP/ref=sr_1_102?qid=1672909129&amp;s=electronics&amp;sr=1-102"/>
  </r>
  <r>
    <s v="B09T3KB6JZ"/>
    <s v="TCL 100 cm (40 inches) Full HD Certified Android R Smart LED TV 40S6505 (Black)"/>
    <s v="Electronics"/>
    <x v="1"/>
    <s v="HomeTheater,TV&amp;Video"/>
    <s v="SmartTelevisions"/>
    <n v="18990"/>
    <n v="40990"/>
    <n v="54"/>
    <n v="4.2"/>
    <n v="6659"/>
    <n v="4.1583494786432684"/>
    <s v="High (1,000+)"/>
    <x v="1"/>
    <n v="52.6"/>
    <s v="Above median"/>
    <b v="0"/>
    <b v="0"/>
    <b v="0"/>
    <n v="1"/>
    <n v="1"/>
    <x v="0"/>
    <s v="https://www.amazon.in/TCL-inches-Certified-Android-40S6505/dp/B09T3KB6JZ/ref=sr_1_103?qid=1672909129&amp;s=electronics&amp;sr=1-103"/>
  </r>
  <r>
    <s v="B093QCY6YJ"/>
    <s v="ZEBRONICS ZEB-USB150WF1 WiFi USB Mini Adapter Supports 150 Mbps Wireless Data, Comes with Advanced Security WPA/WPA2 encryption Standards"/>
    <s v="Computers&amp;Accessories"/>
    <x v="0"/>
    <s v="NetworkingDevices"/>
    <s v="WirelessUSBAdapters"/>
    <n v="290"/>
    <n v="349"/>
    <n v="17"/>
    <n v="3.7"/>
    <n v="1977"/>
    <n v="3.9521454990296738"/>
    <s v="High (1,000+)"/>
    <x v="0"/>
    <n v="26.1"/>
    <s v="Bottom 25%"/>
    <b v="0"/>
    <b v="0"/>
    <b v="1"/>
    <n v="0.56999999999999995"/>
    <n v="1"/>
    <x v="0"/>
    <s v="https://www.amazon.in/ZEBRONICS-ZEB-USB150WF1-Supports-encryption-Standards/dp/B093QCY6YJ/ref=sr_1_104?qid=1672909129&amp;s=electronics&amp;sr=1-104"/>
  </r>
  <r>
    <s v="B093ZNQZ2Y"/>
    <s v="LOHAYA Remote Compatible for Mi Smart LED TV 4A Remote Control (32&quot;/43&quot;) [ Compatible for Mi Tv Remote Control ] [ Compatible for Mi Smart LED Tv Remote Control ]"/>
    <s v="Electronics"/>
    <x v="1"/>
    <s v="HomeTheater,TV&amp;Video"/>
    <s v="RemoteControls"/>
    <n v="249"/>
    <n v="799"/>
    <n v="69"/>
    <n v="3.8"/>
    <n v="1079"/>
    <n v="4.0211998536984019"/>
    <s v="High (1,000+)"/>
    <x v="0"/>
    <n v="53"/>
    <s v="Above median"/>
    <b v="0"/>
    <b v="0"/>
    <b v="1"/>
    <n v="0.72"/>
    <n v="1"/>
    <x v="0"/>
    <s v="https://www.amazon.in/LOHAYA-Remote-Compatible-Control-Please/dp/B093ZNQZ2Y/ref=sr_1_108?qid=1672909129&amp;s=electronics&amp;sr=1-108"/>
  </r>
  <r>
    <s v="B08LKS3LSP"/>
    <s v="Gilary Multi Charging Cable, 3 in 1 Nylon Braided Fast Charging Cable for iPhone Micro USB Type C Mobile Phone | Colour May Vary |"/>
    <s v="Computers&amp;Accessories"/>
    <x v="0"/>
    <s v="Accessories&amp;Peripherals"/>
    <s v="USBCables"/>
    <n v="345"/>
    <n v="999"/>
    <n v="65"/>
    <n v="3.7"/>
    <n v="1097"/>
    <n v="3.997806171762694"/>
    <s v="High (1,000+)"/>
    <x v="0"/>
    <n v="40.799999999999997"/>
    <s v="Below median"/>
    <b v="0"/>
    <b v="0"/>
    <b v="1"/>
    <n v="1.1499999999999999"/>
    <n v="1"/>
    <x v="0"/>
    <s v="https://www.amazon.in/Gilary-Charging-Braided-Magnetic-Charger/dp/B08LKS3LSP/ref=sr_1_109?qid=1672909129&amp;s=electronics&amp;sr=1-109"/>
  </r>
  <r>
    <s v="B00V4BGDKU"/>
    <s v="TP-Link UE300 USB 3.0 to RJ45 Gigabit Ethernet Network Adapter - Plug and Play"/>
    <s v="Computers&amp;Accessories"/>
    <x v="0"/>
    <s v="NetworkingDevices"/>
    <s v="WirelessUSBAdapters"/>
    <n v="1099"/>
    <n v="1899"/>
    <n v="42"/>
    <n v="4.5"/>
    <n v="22420"/>
    <n v="4.4403108599897188"/>
    <s v="High (1,000+)"/>
    <x v="4"/>
    <n v="71.8"/>
    <s v="Top 25%"/>
    <b v="0"/>
    <b v="0"/>
    <b v="0"/>
    <n v="2.17"/>
    <n v="2"/>
    <x v="0"/>
    <s v="https://www.amazon.in/TP-Link-TL-UE300-Gigabit-Ethernet-Network/dp/B00V4BGDKU/ref=sr_1_110?qid=1672909129&amp;s=electronics&amp;sr=1-110"/>
  </r>
  <r>
    <s v="B08CHKQ8D4"/>
    <s v="Wayona Type C to Lightning MFI Certified 20W Fast charging Nylon Braided USB C Cable for iPhone 14, 14 Pro, 14 Pro Max, 14 Plus, 13, 13 Pro, 13 Pro Max, 13 Mini, 12, 12 Pro, 11, 11 Pro Max iPhone 12 Mini, X, 8 (2M, Grey)"/>
    <s v="Computers&amp;Accessories"/>
    <x v="0"/>
    <s v="Accessories&amp;Peripherals"/>
    <s v="USBCables"/>
    <n v="719"/>
    <n v="1499"/>
    <n v="52"/>
    <n v="4.0999999999999996"/>
    <n v="1045"/>
    <n v="4.0879748500636124"/>
    <s v="High (1,000+)"/>
    <x v="2"/>
    <n v="42.7"/>
    <s v="Below median"/>
    <b v="0"/>
    <b v="1"/>
    <b v="0"/>
    <n v="2.4"/>
    <n v="2"/>
    <x v="0"/>
    <s v="https://www.amazon.in/Wayona-charging-Nylon-Braided-iPhone/dp/B08CHKQ8D4/ref=sr_1_111?qid=1672909129&amp;s=electronics&amp;sr=1-111"/>
  </r>
  <r>
    <s v="B09BW334ML"/>
    <s v="Dealfreez Case Compatible with Fire TV Stick 3rd Gen 2021 Full Wrap Silicone Remote Cover Anti-Lost with Loop (D-Black)"/>
    <s v="Electronics"/>
    <x v="1"/>
    <s v="HomeTheater,TV&amp;Video"/>
    <s v="RemoteControls"/>
    <n v="349"/>
    <n v="1499"/>
    <n v="77"/>
    <n v="4.3"/>
    <n v="4145"/>
    <n v="4.1975262841202419"/>
    <s v="High (1,000+)"/>
    <x v="0"/>
    <n v="85"/>
    <s v="Top 25%"/>
    <b v="1"/>
    <b v="0"/>
    <b v="0"/>
    <n v="1.01"/>
    <n v="1"/>
    <x v="0"/>
    <s v="https://www.amazon.in/Dealfreez-Compatible-Silicone-Anti-Lost-D-Black/dp/B09BW334ML/ref=sr_1_112?qid=1672909129&amp;s=electronics&amp;sr=1-112"/>
  </r>
  <r>
    <s v="B082T6GVLJ"/>
    <s v="Amazon Basics New Release Nylon USB-A to Lightning Cable Cord, Fast Charging MFi Certified Charger for Apple iPhone, iPad (3-Ft, Rose Gold)"/>
    <s v="Computers&amp;Accessories"/>
    <x v="0"/>
    <s v="Accessories&amp;Peripherals"/>
    <s v="USBCables"/>
    <n v="849"/>
    <n v="1809"/>
    <n v="53"/>
    <n v="4.3"/>
    <n v="6547"/>
    <n v="4.2214015317601064"/>
    <s v="High (1,000+)"/>
    <x v="2"/>
    <n v="63"/>
    <s v="Top 25%"/>
    <b v="0"/>
    <b v="0"/>
    <b v="0"/>
    <n v="2.84"/>
    <n v="1"/>
    <x v="0"/>
    <s v="https://www.amazon.in/AmazonBasics-Nylon-Braided-Lightning-Cable/dp/B082T6GVLJ/ref=sr_1_113?qid=1672909129&amp;s=electronics&amp;sr=1-113"/>
  </r>
  <r>
    <s v="B07DL1KC3H"/>
    <s v="Isoelite Remote Compatible for Samsung LED/LCD Remote Control Works with All Samsung LED/LCD TV Model No :- BN59-607A (Please Match The Image with Your Old Remote)"/>
    <s v="Electronics"/>
    <x v="1"/>
    <s v="HomeTheater,TV&amp;Video"/>
    <s v="RemoteControls"/>
    <n v="299"/>
    <n v="899"/>
    <n v="67"/>
    <n v="4"/>
    <n v="1588"/>
    <n v="4.0595157633269441"/>
    <s v="High (1,000+)"/>
    <x v="0"/>
    <n v="57"/>
    <s v="Above median"/>
    <b v="0"/>
    <b v="0"/>
    <b v="0"/>
    <n v="0.87"/>
    <n v="1"/>
    <x v="0"/>
    <s v="https://www.amazon.in/Isoelite-Remote-Compatible-Samsung-Control/dp/B07DL1KC3H/ref=sr_1_114?qid=1672909129&amp;s=electronics&amp;sr=1-114"/>
  </r>
  <r>
    <s v="B0B6F98KJJ"/>
    <s v="MI 100 cm (40 inches) 5A Series Full HD Smart Android LED TV with 24W Dolby Audio &amp; Metal Bezel-Less Frame (Black) (2022 Model)"/>
    <s v="Electronics"/>
    <x v="1"/>
    <s v="HomeTheater,TV&amp;Video"/>
    <s v="SmartTelevisions"/>
    <n v="21999"/>
    <n v="29999"/>
    <n v="27"/>
    <n v="4.2"/>
    <n v="32840"/>
    <n v="4.1881412223668004"/>
    <s v="High (1,000+)"/>
    <x v="1"/>
    <n v="44.5"/>
    <s v="Below median"/>
    <b v="0"/>
    <b v="0"/>
    <b v="0"/>
    <n v="1.1599999999999999"/>
    <n v="5"/>
    <x v="1"/>
    <s v="https://www.amazon.in/MI-inches-Smart-Android-Bezel-Less/dp/B0B6F98KJJ/ref=sr_1_115?qid=1672909129&amp;s=electronics&amp;sr=1-115"/>
  </r>
  <r>
    <s v="B07JNVF678"/>
    <s v="Wayona Nylon Braided USB Data Sync and Fast Charging 3A Short Power Bank Cable For iPhones, iPad Air, iPad mini, iPod Nano and iPod Touch (Grey)"/>
    <s v="Computers&amp;Accessories"/>
    <x v="0"/>
    <s v="Accessories&amp;Peripherals"/>
    <s v="USBCables"/>
    <n v="349"/>
    <n v="999"/>
    <n v="65"/>
    <n v="4.2"/>
    <n v="13120"/>
    <n v="4.1742892990777918"/>
    <s v="High (1,000+)"/>
    <x v="0"/>
    <n v="69.2"/>
    <s v="Top 25%"/>
    <b v="0"/>
    <b v="0"/>
    <b v="0"/>
    <n v="1.17"/>
    <n v="2"/>
    <x v="0"/>
    <s v="https://www.amazon.in/Wayona-Nylon-Braided-Charging-iPhones/dp/B07JNVF678/ref=sr_1_117?qid=1672909129&amp;s=electronics&amp;sr=1-117"/>
  </r>
  <r>
    <s v="B09QGZFBPM"/>
    <s v="Wayona Type C To Type C Long Fast Charging Cable Type C Charger Cord Compatible With Samsung S22 S20 S20 Fe 2022 S22 Ultra S21 Ultra A70 A51 A53 A33 A73 M51 M31 M33 M53 (Grey, 2M, 65W, 6Ft)"/>
    <s v="Computers&amp;Accessories"/>
    <x v="0"/>
    <s v="Accessories&amp;Peripherals"/>
    <s v="USBCables"/>
    <n v="399"/>
    <n v="999"/>
    <n v="60"/>
    <n v="4.3"/>
    <n v="2806"/>
    <n v="4.1766368412393717"/>
    <s v="High (1,000+)"/>
    <x v="0"/>
    <n v="65.7"/>
    <s v="Top 25%"/>
    <b v="0"/>
    <b v="0"/>
    <b v="0"/>
    <n v="1.33"/>
    <n v="4"/>
    <x v="0"/>
    <s v="https://www.amazon.in/Wayona-Charging-Charger-Compatible-Samsung/dp/B09QGZFBPM/ref=sr_1_118?qid=1672909129&amp;s=electronics&amp;sr=1-118"/>
  </r>
  <r>
    <s v="B07JGDB5M1"/>
    <s v="Wayona Nylon Braided 2M / 6Ft Fast Charge Usb To Lightning Data Sync And Charging Cable For Iphone, Ipad Tablet (6 Ft Pack Of 1, Grey)"/>
    <s v="Computers&amp;Accessories"/>
    <x v="0"/>
    <s v="Accessories&amp;Peripherals"/>
    <s v="USBCables"/>
    <n v="449"/>
    <n v="1299"/>
    <n v="65"/>
    <n v="4.2"/>
    <n v="24269"/>
    <n v="4.1845152450522027"/>
    <s v="High (1,000+)"/>
    <x v="0"/>
    <n v="68.599999999999994"/>
    <s v="Top 25%"/>
    <b v="0"/>
    <b v="0"/>
    <b v="0"/>
    <n v="1.5"/>
    <n v="6"/>
    <x v="1"/>
    <s v="https://www.amazon.in/Wayona-Braided-WN6LG1-Syncing-Charging/dp/B07JGDB5M1/ref=sr_1_119?qid=1672909129&amp;s=electronics&amp;sr=1-119"/>
  </r>
  <r>
    <s v="B0981XSZJ7"/>
    <s v="CROSSVOLT Compatible Dash/Warp Data Sync Fast Charging Cable Supported for All C Type Devices (Cable)"/>
    <s v="Computers&amp;Accessories"/>
    <x v="0"/>
    <s v="Accessories&amp;Peripherals"/>
    <s v="USBCables"/>
    <n v="299"/>
    <n v="999"/>
    <n v="70"/>
    <n v="4.3"/>
    <n v="766"/>
    <n v="4.1210641695220964"/>
    <s v="Medium (100-999)"/>
    <x v="0"/>
    <n v="67.599999999999994"/>
    <s v="Top 25%"/>
    <b v="0"/>
    <b v="0"/>
    <b v="0"/>
    <n v="1"/>
    <n v="1"/>
    <x v="0"/>
    <s v="https://www.amazon.in/CROSSVOLT-Compatible-Charging-Supported-Devices/dp/B0981XSZJ7/ref=sr_1_120?qid=1672909129&amp;s=electronics&amp;sr=1-120"/>
  </r>
  <r>
    <s v="B0B9XLX8VR"/>
    <s v="VU 139 cm (55 inches) The GloLED Series 4K Smart LED Google TV 55GloLED (Grey)"/>
    <s v="Electronics"/>
    <x v="1"/>
    <s v="HomeTheater,TV&amp;Video"/>
    <s v="SmartTelevisions"/>
    <n v="37999"/>
    <n v="65000"/>
    <n v="42"/>
    <n v="4.3"/>
    <n v="3587"/>
    <n v="4.1897461176516524"/>
    <s v="High (1,000+)"/>
    <x v="1"/>
    <n v="50.5"/>
    <s v="Below median"/>
    <b v="0"/>
    <b v="0"/>
    <b v="0"/>
    <n v="2"/>
    <n v="2"/>
    <x v="0"/>
    <s v="https://www.amazon.in/VU-inches-GloLED-Google-55GloLED/dp/B0B9XLX8VR/ref=sr_1_121?qid=1672909130&amp;s=electronics&amp;sr=1-121"/>
  </r>
  <r>
    <s v="B08Y5KXR6Z"/>
    <s v="PTron Solero T241 2.4A Type-C Data &amp; Charging USB Cable, Made in India, 480Mbps Data Sync, Durable 1-Meter Long USB Cable for Type-C USB Devices for Charging Adapter (Black)"/>
    <s v="Computers&amp;Accessories"/>
    <x v="0"/>
    <s v="Accessories&amp;Peripherals"/>
    <s v="USBCables"/>
    <n v="99"/>
    <n v="800"/>
    <n v="88"/>
    <n v="3.9"/>
    <n v="24871"/>
    <n v="3.924261410294962"/>
    <s v="High (1,000+)"/>
    <x v="0"/>
    <n v="50.9"/>
    <s v="Above median"/>
    <b v="0"/>
    <b v="0"/>
    <b v="0"/>
    <n v="0.33"/>
    <n v="3"/>
    <x v="1"/>
    <s v="https://www.amazon.in/Solero-T241-Charging-480Mbps-Durable/dp/B08Y5KXR6Z/ref=sr_1_122?qid=1672909130&amp;s=electronics&amp;sr=1-122"/>
  </r>
  <r>
    <s v="B09F6VHQXB"/>
    <s v="Croma 80 cm (32 Inches) HD Ready LED TV (CREL7369, Black) (2021 Model)"/>
    <s v="Electronics"/>
    <x v="1"/>
    <s v="HomeTheater,TV&amp;Video"/>
    <s v="StandardTelevisions"/>
    <n v="7390"/>
    <n v="20000"/>
    <n v="63"/>
    <n v="4.0999999999999996"/>
    <n v="2581"/>
    <n v="4.0908865912636259"/>
    <s v="High (1,000+)"/>
    <x v="3"/>
    <n v="47.6"/>
    <s v="Below median"/>
    <b v="0"/>
    <b v="0"/>
    <b v="0"/>
    <m/>
    <n v="1"/>
    <x v="0"/>
    <s v="https://www.amazon.in/Croma-Inches-Ready-CREL7369-Black/dp/B09F6VHQXB/ref=sr_1_123?qid=1672909130&amp;s=electronics&amp;sr=1-123"/>
  </r>
  <r>
    <s v="B0974G5Q2Y"/>
    <s v="boAt Laptop, Smartphone Type-c A400 Male Data Cable (Carbon Black)"/>
    <s v="Computers&amp;Accessories"/>
    <x v="0"/>
    <s v="Accessories&amp;Peripherals"/>
    <s v="USBCables"/>
    <n v="273.10000000000002"/>
    <n v="999"/>
    <n v="73"/>
    <n v="4.3"/>
    <n v="20850"/>
    <n v="4.2670772612160812"/>
    <s v="High (1,000+)"/>
    <x v="0"/>
    <n v="81.900000000000006"/>
    <s v="Top 25%"/>
    <b v="0"/>
    <b v="0"/>
    <b v="0"/>
    <n v="0.91"/>
    <n v="3"/>
    <x v="0"/>
    <s v="https://www.amazon.in/boAt-Type-c-A400-Cable-Carbon/dp/B0974G5Q2Y/ref=sr_1_124?qid=1672909130&amp;s=electronics&amp;sr=1-124"/>
  </r>
  <r>
    <s v="B09YL9SN9B"/>
    <s v="LG 80 cm (32 inches) HD Ready Smart LED TV 32LQ576BPSA (Ceramic Black)"/>
    <s v="Electronics"/>
    <x v="1"/>
    <s v="HomeTheater,TV&amp;Video"/>
    <s v="SmartTelevisions"/>
    <n v="15990"/>
    <n v="23990"/>
    <n v="33"/>
    <n v="4.3"/>
    <n v="1035"/>
    <n v="4.1310972572549902"/>
    <s v="High (1,000+)"/>
    <x v="1"/>
    <n v="40.6"/>
    <s v="Below median"/>
    <b v="0"/>
    <b v="0"/>
    <b v="0"/>
    <n v="0.84"/>
    <n v="1"/>
    <x v="0"/>
    <s v="https://www.amazon.in/LG-inches-Ready-32LQ576BPSA-Ceramic/dp/B09YL9SN9B/ref=sr_1_125?qid=1672909130&amp;s=electronics&amp;sr=1-125"/>
  </r>
  <r>
    <s v="B09RX1FK54"/>
    <s v="boAt Type C A750 Stress Resistant, Tangle-free, Sturdy Flat Cable with 6.5A Fast Charging &amp; 480Mbps Data Transmission, 10000+ Bends Lifespan and Extended 1.5m Length(Radiant Red)"/>
    <s v="Computers&amp;Accessories"/>
    <x v="0"/>
    <s v="Accessories&amp;Peripherals"/>
    <s v="USBCables"/>
    <n v="399"/>
    <n v="999"/>
    <n v="60"/>
    <n v="4.0999999999999996"/>
    <n v="1780"/>
    <n v="4.0895695248860289"/>
    <s v="High (1,000+)"/>
    <x v="0"/>
    <n v="51.5"/>
    <s v="Above median"/>
    <b v="0"/>
    <b v="0"/>
    <b v="0"/>
    <n v="1.33"/>
    <n v="2"/>
    <x v="0"/>
    <s v="https://www.amazon.in/boAt-A750-Resistant-Tangle-free-Transmission/dp/B09RX1FK54/ref=sr_1_126?qid=1672909130&amp;s=electronics&amp;sr=1-126"/>
  </r>
  <r>
    <s v="B09TT6BFDX"/>
    <s v="Cotbolt Silicone Protective Case Cover for LG an MR21GA Magic Remote Shockproof for LG Smart TV Remote 2021 Protective Skin Waterproof Anti Lost (Black) (Remote Not Included)"/>
    <s v="Electronics"/>
    <x v="1"/>
    <s v="HomeTheater,TV&amp;Video"/>
    <s v="RemoteControls"/>
    <n v="399"/>
    <n v="1999"/>
    <n v="80"/>
    <n v="4.5"/>
    <n v="505"/>
    <n v="4.1337877191987848"/>
    <s v="Medium (100-999)"/>
    <x v="0"/>
    <n v="77.7"/>
    <s v="Top 25%"/>
    <b v="0"/>
    <b v="0"/>
    <b v="0"/>
    <n v="1.1599999999999999"/>
    <n v="1"/>
    <x v="0"/>
    <s v="https://www.amazon.in/Cotbolt-Silicone-Protective-Shockproof-Waterproof/dp/B09TT6BFDX/ref=sr_1_127?qid=1672909130&amp;s=electronics&amp;sr=1-127"/>
  </r>
  <r>
    <s v="B09KH58JZR"/>
    <s v="Portronics Konnect L POR-1403 Fast Charging 3A Type-C Cable 1.2 Meter with Charge &amp; Sync Function for All Type-C Devices (White)"/>
    <s v="Computers&amp;Accessories"/>
    <x v="0"/>
    <s v="Accessories&amp;Peripherals"/>
    <s v="USBCables"/>
    <n v="210"/>
    <n v="399"/>
    <n v="47"/>
    <n v="4.0999999999999996"/>
    <n v="1717"/>
    <n v="4.0894496015477344"/>
    <s v="High (1,000+)"/>
    <x v="0"/>
    <n v="49.7"/>
    <s v="Below median"/>
    <b v="0"/>
    <b v="0"/>
    <b v="0"/>
    <n v="0.7"/>
    <n v="1"/>
    <x v="0"/>
    <s v="https://www.amazon.in/Portronics-Konnect-POR-1403-Charging-Function/dp/B09KH58JZR/ref=sr_1_129?qid=1672909130&amp;s=electronics&amp;sr=1-129"/>
  </r>
  <r>
    <s v="B09DDCQFMT"/>
    <s v="Electvision Remote Control Compatible with Amazon Fire tv Stick (Pairing Manual Will be Back Side Remote Control)(P)"/>
    <s v="Electronics"/>
    <x v="1"/>
    <s v="HomeTheater,TV&amp;Video"/>
    <s v="RemoteControls"/>
    <n v="1299"/>
    <n v="1999"/>
    <n v="35"/>
    <n v="3.6"/>
    <n v="590"/>
    <n v="4.0189406299094346"/>
    <s v="Medium (100-999)"/>
    <x v="4"/>
    <n v="27.8"/>
    <s v="Bottom 25%"/>
    <b v="0"/>
    <b v="1"/>
    <b v="1"/>
    <n v="3.78"/>
    <n v="1"/>
    <x v="0"/>
    <s v="https://www.amazon.in/Electvision-Remote-Control-Compatible-Pairing/dp/B09DDCQFMT/ref=sr_1_130?qid=1672909130&amp;s=electronics&amp;sr=1-130"/>
  </r>
  <r>
    <s v="B08RP2L2NL"/>
    <s v="King Shine Multi Retractable 3.0A Fast Charger Cord, Multiple Charging Cable 4Ft/1.2m 3-in-1 USB Charge Cord Compatible with Phone/Type C/Micro USB for All Android and iOS Smartphones (Random Colour)"/>
    <s v="Computers&amp;Accessories"/>
    <x v="0"/>
    <s v="Accessories&amp;Peripherals"/>
    <s v="USBCables"/>
    <n v="347"/>
    <n v="999"/>
    <n v="65"/>
    <n v="3.5"/>
    <n v="1121"/>
    <n v="3.9504329050232041"/>
    <s v="High (1,000+)"/>
    <x v="0"/>
    <n v="39.1"/>
    <s v="Below median"/>
    <b v="0"/>
    <b v="0"/>
    <b v="1"/>
    <n v="1.1599999999999999"/>
    <n v="1"/>
    <x v="0"/>
    <s v="https://www.amazon.in/Retractable-Multiple-Charging-Compatible-Smartphones/dp/B08RP2L2NL/ref=sr_1_131?qid=1672909130&amp;s=electronics&amp;sr=1-131"/>
  </r>
  <r>
    <s v="B0B4G2MWSB"/>
    <s v="Lapster 5 pin mini usb cable, usb b cable,camera cable usb2.0 for External HDDS/Card Readers/Camera etc."/>
    <s v="Computers&amp;Accessories"/>
    <x v="0"/>
    <s v="Accessories&amp;Peripherals"/>
    <s v="USBCables"/>
    <n v="149"/>
    <n v="999"/>
    <n v="85"/>
    <n v="4"/>
    <n v="1313"/>
    <n v="4.0627404377264931"/>
    <s v="High (1,000+)"/>
    <x v="0"/>
    <n v="60"/>
    <s v="Above median"/>
    <b v="0"/>
    <b v="0"/>
    <b v="0"/>
    <n v="0.5"/>
    <n v="2"/>
    <x v="0"/>
    <s v="https://www.amazon.in/Lapster-camera-usb2-0-External-Readers/dp/B0B4G2MWSB/ref=sr_1_132?qid=1672909130&amp;s=electronics&amp;sr=1-132"/>
  </r>
  <r>
    <s v="B0B21C4BMX"/>
    <s v="Portronics Konnect Spydr 31 3-in-1 Multi Functional Cable with 3.0A Output, Tangle Resistant, 1.2M Length, Nylon Braided(Zebra)"/>
    <s v="Computers&amp;Accessories"/>
    <x v="0"/>
    <s v="Accessories&amp;Peripherals"/>
    <s v="USBCables"/>
    <n v="228"/>
    <n v="899"/>
    <n v="75"/>
    <n v="3.8"/>
    <n v="132"/>
    <n v="4.0749875700810927"/>
    <s v="Medium (100-999)"/>
    <x v="0"/>
    <n v="56.7"/>
    <s v="Above median"/>
    <b v="0"/>
    <b v="0"/>
    <b v="1"/>
    <n v="0.76"/>
    <n v="1"/>
    <x v="0"/>
    <s v="https://www.amazon.in/Portronics-Konnect-Functional-Resistant-Braided/dp/B0B21C4BMX/ref=sr_1_133?qid=1672909130&amp;s=electronics&amp;sr=1-133"/>
  </r>
  <r>
    <s v="B084MZXJNK"/>
    <s v="Belkin Apple Certified Lightning To Type C Cable, Tough Unbreakable Braided Fast Charging For Iphone, Ipad, Air Pods, 3.3 Feet (1 Meters)    White"/>
    <s v="Computers&amp;Accessories"/>
    <x v="0"/>
    <s v="Accessories&amp;Peripherals"/>
    <s v="USBCables"/>
    <n v="1599"/>
    <n v="1999"/>
    <n v="20"/>
    <n v="4.4000000000000004"/>
    <n v="1951"/>
    <n v="4.1923232854958989"/>
    <s v="High (1,000+)"/>
    <x v="4"/>
    <n v="45.5"/>
    <s v="Below median"/>
    <b v="0"/>
    <b v="0"/>
    <b v="0"/>
    <n v="5.35"/>
    <n v="2"/>
    <x v="0"/>
    <s v="https://www.amazon.in/Belkin-Lightning-Unbreakable-Braided-Charging/dp/B084MZXJNK/ref=sr_1_134?qid=1672909130&amp;s=electronics&amp;sr=1-134"/>
  </r>
  <r>
    <s v="B0BHZCNC4P"/>
    <s v="Remote Control Compatible for Amazon Fire Tv Stick Remote Control [ 3rd Gen ](Not Compatible for Fire TV Edition Smart TV) from basesailor"/>
    <s v="Electronics"/>
    <x v="1"/>
    <s v="HomeTheater,TV&amp;Video"/>
    <s v="RemoteControls"/>
    <n v="1499"/>
    <n v="3999"/>
    <n v="63"/>
    <n v="3.7"/>
    <n v="37"/>
    <n v="4.0808893516728029"/>
    <s v="Low (&lt;100)"/>
    <x v="4"/>
    <n v="48.8"/>
    <s v="Below median"/>
    <b v="0"/>
    <b v="0"/>
    <b v="1"/>
    <n v="4.3600000000000003"/>
    <n v="1"/>
    <x v="0"/>
    <s v="https://www.amazon.in/Remote-Control-Compatible-Amazon-basesailor/dp/B0BHZCNC4P/ref=sr_1_135?qid=1672909130&amp;s=electronics&amp;sr=1-135"/>
  </r>
  <r>
    <s v="B0B16KD737"/>
    <s v="VW 80 cm (32 inches) Playwall Frameless Series HD Ready Android Smart LED TV VW3251 (Black)"/>
    <s v="Electronics"/>
    <x v="1"/>
    <s v="HomeTheater,TV&amp;Video"/>
    <s v="SmartTelevisions"/>
    <n v="8499"/>
    <n v="15999"/>
    <n v="47"/>
    <n v="4.3"/>
    <n v="592"/>
    <n v="4.1139141328925968"/>
    <s v="Medium (100-999)"/>
    <x v="3"/>
    <n v="46"/>
    <s v="Below median"/>
    <b v="0"/>
    <b v="0"/>
    <b v="0"/>
    <n v="0.45"/>
    <n v="1"/>
    <x v="0"/>
    <s v="https://www.amazon.in/VW-Playwall-Frameless-Android-VW3251/dp/B0B16KD737/ref=sr_1_136?qid=1672909130&amp;s=electronics&amp;sr=1-136"/>
  </r>
  <r>
    <s v="B099K9ZX65"/>
    <s v="Hisense 108 cm (43 inches) 4K Ultra HD Smart Certified Android LED TV 43A6GE (Black)"/>
    <s v="Electronics"/>
    <x v="1"/>
    <s v="HomeTheater,TV&amp;Video"/>
    <s v="SmartTelevisions"/>
    <n v="20990"/>
    <n v="44990"/>
    <n v="53"/>
    <n v="4.0999999999999996"/>
    <n v="1259"/>
    <n v="4.088487322847917"/>
    <s v="High (1,000+)"/>
    <x v="1"/>
    <n v="38.9"/>
    <s v="Below median"/>
    <b v="0"/>
    <b v="0"/>
    <b v="0"/>
    <n v="1.1100000000000001"/>
    <n v="1"/>
    <x v="0"/>
    <s v="https://www.amazon.in/Hisense-inches-Certified-Android-43A6GE/dp/B099K9ZX65/ref=sr_1_137?qid=1672909130&amp;s=electronics&amp;sr=1-137"/>
  </r>
  <r>
    <s v="B08Y55LPBF"/>
    <s v="Redmi 126 cm (50 inches) 4K Ultra HD Android Smart LED TV X50 | L50M6-RA (Black)"/>
    <s v="Electronics"/>
    <x v="1"/>
    <s v="HomeTheater,TV&amp;Video"/>
    <s v="SmartTelevisions"/>
    <n v="32999"/>
    <n v="44999"/>
    <n v="27"/>
    <n v="4.2"/>
    <n v="45238"/>
    <n v="4.1911417045067054"/>
    <s v="High (1,000+)"/>
    <x v="1"/>
    <n v="45"/>
    <s v="Below median"/>
    <b v="0"/>
    <b v="0"/>
    <b v="0"/>
    <n v="1.74"/>
    <n v="3"/>
    <x v="1"/>
    <s v="https://www.amazon.in/Redmi-inches-Ultra-Android-L50M6-RA/dp/B08Y55LPBF/ref=sr_1_138?qid=1672909130&amp;s=electronics&amp;sr=1-138"/>
  </r>
  <r>
    <s v="B015OW3M1W"/>
    <s v="AmazonBasics 6-Feet DisplayPort (not USB port) to HDMI Cable Black"/>
    <s v="Electronics"/>
    <x v="1"/>
    <s v="HomeTheater,TV&amp;Video"/>
    <s v="HDMICables"/>
    <n v="799"/>
    <n v="1700"/>
    <n v="53"/>
    <n v="4.0999999999999996"/>
    <n v="28638"/>
    <n v="4.0982157402410708"/>
    <s v="High (1,000+)"/>
    <x v="2"/>
    <n v="58.2"/>
    <s v="Above median"/>
    <b v="0"/>
    <b v="1"/>
    <b v="0"/>
    <n v="2.09"/>
    <n v="1"/>
    <x v="0"/>
    <s v="https://www.amazon.in/AmazonBasics-6-Feet-DisplayPort-port-Cable/dp/B015OW3M1W/ref=sr_1_140?qid=1672909130&amp;s=electronics&amp;sr=1-140"/>
  </r>
  <r>
    <s v="B01D5H8ZI8"/>
    <s v="AmazonBasics 3 Feet High Speed HDMI Male to Female 2.0 Extension Cable"/>
    <s v="Electronics"/>
    <x v="1"/>
    <s v="HomeTheater,TV&amp;Video"/>
    <s v="HDMICables"/>
    <n v="229"/>
    <n v="595"/>
    <n v="62"/>
    <n v="4.3"/>
    <n v="12835"/>
    <n v="4.2511787372604797"/>
    <s v="High (1,000+)"/>
    <x v="0"/>
    <n v="83.5"/>
    <s v="Top 25%"/>
    <b v="1"/>
    <b v="0"/>
    <b v="0"/>
    <n v="0.6"/>
    <n v="1"/>
    <x v="0"/>
    <s v="https://www.amazon.in/AmazonBasics-Speed-Female-Extension-Cable/dp/B01D5H8ZI8/ref=sr_1_141?qid=1672909130&amp;s=electronics&amp;sr=1-141"/>
  </r>
  <r>
    <s v="B09X1M3DHX"/>
    <s v="iFFALCON 80 cm (32 inches) HD Ready Smart LED TV 32F53 (Black)"/>
    <s v="Electronics"/>
    <x v="1"/>
    <s v="HomeTheater,TV&amp;Video"/>
    <s v="SmartTelevisions"/>
    <n v="9999"/>
    <n v="27990"/>
    <n v="64"/>
    <n v="4.2"/>
    <n v="1269"/>
    <n v="4.113731311076382"/>
    <s v="High (1,000+)"/>
    <x v="3"/>
    <n v="54.6"/>
    <s v="Above median"/>
    <b v="0"/>
    <b v="0"/>
    <b v="0"/>
    <n v="0.53"/>
    <n v="1"/>
    <x v="0"/>
    <s v="https://www.amazon.in/iFFALCON-inches-Ready-Smart-TV-32F53/dp/B09X1M3DHX/ref=sr_1_142?qid=1672909130&amp;s=electronics&amp;sr=1-142"/>
  </r>
  <r>
    <s v="B09MM6P76N"/>
    <s v="7SEVEN® Compatible Lg Smart Tv Remote Suitable for Any LG LED OLED LCD UHD Plasma Android Television and AKB75095303 replacement of Original Lg Tv Remote Control"/>
    <s v="Electronics"/>
    <x v="1"/>
    <s v="HomeTheater,TV&amp;Video"/>
    <s v="RemoteControls"/>
    <n v="349"/>
    <n v="599"/>
    <n v="42"/>
    <n v="4.2"/>
    <n v="284"/>
    <n v="4.09273176613884"/>
    <s v="Medium (100-999)"/>
    <x v="0"/>
    <n v="53"/>
    <s v="Above median"/>
    <b v="0"/>
    <b v="0"/>
    <b v="0"/>
    <n v="1.01"/>
    <n v="1"/>
    <x v="0"/>
    <s v="https://www.amazon.in/7SEVENTM-Universal-Replacement-Original-AKB75095303/dp/B09MM6P76N/ref=sr_1_143?qid=1672909130&amp;s=electronics&amp;sr=1-143"/>
  </r>
  <r>
    <s v="B01D5H8LDM"/>
    <s v="AmazonBasics 3.5mm to 2-Male RCA Adapter Cable For Tablet, Smartphone (Black, 15 feet)"/>
    <s v="Electronics"/>
    <x v="1"/>
    <s v="HomeTheater,TV&amp;Video"/>
    <s v="RCACables"/>
    <n v="489"/>
    <n v="1200"/>
    <n v="59"/>
    <n v="4.4000000000000004"/>
    <n v="69538"/>
    <n v="4.3838123763368708"/>
    <s v="High (1,000+)"/>
    <x v="0"/>
    <n v="85.6"/>
    <s v="Top 25%"/>
    <b v="1"/>
    <b v="0"/>
    <b v="0"/>
    <m/>
    <n v="1"/>
    <x v="0"/>
    <s v="https://www.amazon.in/AmazonBasics-3-5mm-2-Male-Adapter-cable/dp/B01D5H8LDM/ref=sr_1_144?qid=1672909130&amp;s=electronics&amp;sr=1-144"/>
  </r>
  <r>
    <s v="B0B1YY6JJL"/>
    <s v="Acer 109 cm (43 inches) I Series 4K Ultra HD Android Smart LED TV AR43AR2851UDFL (Black)"/>
    <s v="Electronics"/>
    <x v="1"/>
    <s v="HomeTheater,TV&amp;Video"/>
    <s v="SmartTelevisions"/>
    <n v="23999"/>
    <n v="34990"/>
    <n v="31"/>
    <n v="4.3"/>
    <n v="4703"/>
    <n v="4.2042807975525136"/>
    <s v="High (1,000+)"/>
    <x v="1"/>
    <n v="48.3"/>
    <s v="Below median"/>
    <b v="0"/>
    <b v="0"/>
    <b v="0"/>
    <n v="1.26"/>
    <n v="5"/>
    <x v="1"/>
    <s v="https://www.amazon.in/Acer-inches-Ultra-Android-AR43AR2851UDFL/dp/B0B1YY6JJL/ref=sr_1_146?qid=1672909131&amp;s=electronics&amp;sr=1-146"/>
  </r>
  <r>
    <s v="B09QGZM8QB"/>
    <s v="Wayona Usb Type C 65W 6Ft/2M Long Fast Charging Cable Compatible For Samsung S22 S20 Fe S21 Ultra A33 A53 A01 A73 A70 A51 M33 M53 M51 M31(2M, Black)"/>
    <s v="Computers&amp;Accessories"/>
    <x v="0"/>
    <s v="Accessories&amp;Peripherals"/>
    <s v="USBCables"/>
    <n v="399"/>
    <n v="999"/>
    <n v="60"/>
    <n v="4.3"/>
    <n v="2806"/>
    <n v="4.1766368412393717"/>
    <s v="High (1,000+)"/>
    <x v="0"/>
    <n v="65.7"/>
    <s v="Top 25%"/>
    <b v="0"/>
    <b v="0"/>
    <b v="0"/>
    <n v="1.33"/>
    <n v="4"/>
    <x v="1"/>
    <s v="https://www.amazon.in/Wayona-Charging-Cable-Compatible-Samsung/dp/B09QGZM8QB/ref=sr_1_149?qid=1672909131&amp;s=electronics&amp;sr=1-149"/>
  </r>
  <r>
    <s v="B08L4SBJRY"/>
    <s v="Saifsmart Outlet Wall Mount Hanger Holder for Dot 3rd Gen, Compact Bracket Case Plug and Built-in Cable Management for Kitchen Bathroom, Bedroom (Black)"/>
    <s v="Electronics"/>
    <x v="1"/>
    <s v="HomeAudio"/>
    <s v="Mounts"/>
    <n v="349"/>
    <n v="1299"/>
    <n v="73"/>
    <n v="4"/>
    <n v="3295"/>
    <n v="4.0451206647794287"/>
    <s v="High (1,000+)"/>
    <x v="0"/>
    <n v="55.7"/>
    <s v="Above median"/>
    <b v="0"/>
    <b v="0"/>
    <b v="0"/>
    <m/>
    <n v="1"/>
    <x v="0"/>
    <s v="https://www.amazon.in/SAIFSMART-Compact-Bracket-Management-Bathroom/dp/B08L4SBJRY/ref=sr_1_150?qid=1672909131&amp;s=electronics&amp;sr=1-150"/>
  </r>
  <r>
    <s v="B09X79PP8F"/>
    <s v="MI 2-in-1 USB Type C Cable (Micro USB to Type C) 30cm for Smartphone, Headphone, Laptop (White)"/>
    <s v="Computers&amp;Accessories"/>
    <x v="0"/>
    <s v="Accessories&amp;Peripherals"/>
    <s v="USBCables"/>
    <n v="179"/>
    <n v="299"/>
    <n v="40"/>
    <n v="3.9"/>
    <n v="81"/>
    <n v="4.0807438771122193"/>
    <s v="Low (&lt;100)"/>
    <x v="0"/>
    <n v="43.5"/>
    <s v="Below median"/>
    <b v="0"/>
    <b v="0"/>
    <b v="0"/>
    <n v="0.6"/>
    <n v="1"/>
    <x v="0"/>
    <s v="https://www.amazon.in/USB-Cable-Micro-Type-30cm/dp/B09X79PP8F/ref=sr_1_151?qid=1672909131&amp;s=electronics&amp;sr=1-151"/>
  </r>
  <r>
    <s v="B082T6GVG9"/>
    <s v="AmazonBasics New Release ABS USB-A to Lightning Cable Cord, Fast Charging MFi Certified Charger for Apple iPhone, iPad Tablet (3-Ft, White)"/>
    <s v="Computers&amp;Accessories"/>
    <x v="0"/>
    <s v="Accessories&amp;Peripherals"/>
    <s v="USBCables"/>
    <n v="689"/>
    <n v="1500"/>
    <n v="54"/>
    <n v="4.2"/>
    <n v="42301"/>
    <n v="4.1905769012706564"/>
    <s v="High (1,000+)"/>
    <x v="2"/>
    <n v="61.8"/>
    <s v="Top 25%"/>
    <b v="0"/>
    <b v="0"/>
    <b v="0"/>
    <n v="2.2999999999999998"/>
    <n v="1"/>
    <x v="0"/>
    <s v="https://www.amazon.in/AmazonBasics-Lightning-USB-Cable-Certified/dp/B082T6GVG9/ref=sr_1_153?qid=1672909131&amp;s=electronics&amp;sr=1-153"/>
  </r>
  <r>
    <s v="B0B3XY5YT4"/>
    <s v="LG 108 cm (43 inches) 4K Ultra HD Smart LED TV 43UQ7500PSF (Ceramic Black)"/>
    <s v="Electronics"/>
    <x v="1"/>
    <s v="HomeTheater,TV&amp;Video"/>
    <s v="SmartTelevisions"/>
    <n v="30990"/>
    <n v="49990"/>
    <n v="38"/>
    <n v="4.3"/>
    <n v="1376"/>
    <n v="4.1423059436957894"/>
    <s v="High (1,000+)"/>
    <x v="1"/>
    <n v="42.8"/>
    <s v="Below median"/>
    <b v="0"/>
    <b v="0"/>
    <b v="0"/>
    <n v="1.63"/>
    <n v="2"/>
    <x v="0"/>
    <s v="https://www.amazon.in/LG-inches-Ultra-43UQ7500PSF-Ceramic/dp/B0B3XY5YT4/ref=sr_1_154?qid=1672909131&amp;s=electronics&amp;sr=1-154"/>
  </r>
  <r>
    <s v="B0B4HKH19N"/>
    <s v="pTron Solero 331 3.4Amps Multifunction Fast Charging Cable, 3-in-1 USB Cable Micro USB/Type-C/iOS, Made in India, Durable &amp; Strong &amp; Tangle-free 118cm in Length (Black)"/>
    <s v="Computers&amp;Accessories"/>
    <x v="0"/>
    <s v="Accessories&amp;Peripherals"/>
    <s v="USBCables"/>
    <n v="249"/>
    <n v="931"/>
    <n v="73"/>
    <n v="3.9"/>
    <n v="1075"/>
    <n v="4.0436049801924163"/>
    <s v="High (1,000+)"/>
    <x v="0"/>
    <n v="51.3"/>
    <s v="Above median"/>
    <b v="0"/>
    <b v="0"/>
    <b v="0"/>
    <n v="0.83"/>
    <n v="4"/>
    <x v="1"/>
    <s v="https://www.amazon.in/pTron-3-4Amps-Multifunction-Charging-Tangle-free/dp/B0B4HKH19N/ref=sr_1_155?qid=1672909131&amp;s=electronics&amp;sr=1-155"/>
  </r>
  <r>
    <s v="B08TGG316Z"/>
    <s v="10k 8k 4k HDMI Cable, Certified 48Gbps 1ms Ultra High Speed HDMI 2.1 Cable 4k 120Hz 144Hz 2k 165Hz 8k 60Hz Dynamic HDR ARC eARC DTS:X Compatible for Mac Gaming PC Soundbar TV Monitor Laptop PS5 4 Xbox"/>
    <s v="Electronics"/>
    <x v="1"/>
    <s v="HomeTheater,TV&amp;Video"/>
    <s v="HDMICables"/>
    <n v="999"/>
    <n v="2399"/>
    <n v="58"/>
    <n v="4.5999999999999996"/>
    <n v="3664"/>
    <n v="4.3388997632371664"/>
    <s v="High (1,000+)"/>
    <x v="2"/>
    <n v="79"/>
    <s v="Top 25%"/>
    <b v="0"/>
    <b v="0"/>
    <b v="0"/>
    <n v="2.61"/>
    <n v="1"/>
    <x v="0"/>
    <s v="https://www.amazon.in/Cable-Certified-48Gbps-Ultra-Dynamic/dp/B08TGG316Z/ref=sr_1_156?qid=1672909131&amp;s=electronics&amp;sr=1-156"/>
  </r>
  <r>
    <s v="B071VMP1Z4"/>
    <s v="LRIPL Compatible Sony Bravia LCD/led Remote Works with Almost All Sony led/LCD tv's"/>
    <s v="Electronics"/>
    <x v="1"/>
    <s v="HomeTheater,TV&amp;Video"/>
    <s v="RemoteControls"/>
    <n v="399"/>
    <n v="399"/>
    <n v="0"/>
    <n v="3.9"/>
    <n v="1951"/>
    <n v="4.0215873092991714"/>
    <s v="High (1,000+)"/>
    <x v="0"/>
    <n v="27.2"/>
    <s v="Bottom 25%"/>
    <b v="0"/>
    <b v="0"/>
    <b v="0"/>
    <n v="1.1599999999999999"/>
    <n v="1"/>
    <x v="0"/>
    <s v="https://www.amazon.in/LRIPL-Compatible-Bravia-Remote-Almost/dp/B071VMP1Z4/ref=sr_1_157?qid=1672909131&amp;s=electronics&amp;sr=1-157"/>
  </r>
  <r>
    <s v="B071SDRGWL"/>
    <s v="boAt Type-c A400 Type-c to USB A Cable for All Type C Phones (Lg nexus 5x), 1Mtr(Black)"/>
    <s v="Computers&amp;Accessories"/>
    <x v="0"/>
    <s v="Accessories&amp;Peripherals"/>
    <s v="USBCables"/>
    <n v="349"/>
    <n v="699"/>
    <n v="50"/>
    <n v="4.3"/>
    <n v="20850"/>
    <n v="4.2670772612160812"/>
    <s v="High (1,000+)"/>
    <x v="0"/>
    <n v="69.400000000000006"/>
    <s v="Top 25%"/>
    <b v="0"/>
    <b v="0"/>
    <b v="0"/>
    <n v="1.17"/>
    <n v="3"/>
    <x v="1"/>
    <s v="https://www.amazon.in/Indestructible-Type-C-Cable-Type-Phones/dp/B071SDRGWL/ref=sr_1_158?qid=1672909131&amp;s=electronics&amp;sr=1-158"/>
  </r>
  <r>
    <s v="B08PSQRW2T"/>
    <s v="Zoul Type C to Type C Fast Charging Cable 65W 2M/6ft USB C Nylon Braided Cord Compatible with MacBook Oneplus 9 9R Samsung Galaxy S21 Ultra S20+ (2M, Black)"/>
    <s v="Computers&amp;Accessories"/>
    <x v="0"/>
    <s v="Accessories&amp;Peripherals"/>
    <s v="USBCables"/>
    <n v="399"/>
    <n v="1099"/>
    <n v="64"/>
    <n v="4.0999999999999996"/>
    <n v="2685"/>
    <n v="4.0910335931261441"/>
    <s v="High (1,000+)"/>
    <x v="0"/>
    <n v="54.5"/>
    <s v="Above median"/>
    <b v="0"/>
    <b v="0"/>
    <b v="0"/>
    <n v="1.33"/>
    <n v="2"/>
    <x v="0"/>
    <s v="https://www.amazon.in/Charging-Braided-Compatible-Samsung-Galaxy/dp/B08PSQRW2T/ref=sr_1_159?qid=1672909131&amp;s=electronics&amp;sr=1-159"/>
  </r>
  <r>
    <s v="B0859M539M"/>
    <s v="TP-LINK AC1300 Archer T3U Plus High Gain USB 3.0 Wi-Fi Dongle, Wireless Dual Band MU-MIMO WiFi Adapter with High Gain Antenna, Supports Windows 11/10/8.1/8/7/XP/MacOS"/>
    <s v="Computers&amp;Accessories"/>
    <x v="0"/>
    <s v="NetworkingDevices"/>
    <s v="WirelessUSBAdapters"/>
    <n v="1699"/>
    <n v="2999"/>
    <n v="43"/>
    <n v="4.4000000000000004"/>
    <n v="24780"/>
    <n v="4.3584282768391276"/>
    <s v="High (1,000+)"/>
    <x v="4"/>
    <n v="67"/>
    <s v="Top 25%"/>
    <b v="0"/>
    <b v="0"/>
    <b v="0"/>
    <n v="3.35"/>
    <n v="2"/>
    <x v="0"/>
    <s v="https://www.amazon.in/TP-LINK-T3U-Wireless-MU-MIMO-Supports/dp/B0859M539M/ref=sr_1_160?qid=1672909131&amp;s=electronics&amp;sr=1-160"/>
  </r>
  <r>
    <s v="B08RX8G496"/>
    <s v="LRIPL Mi Remote Control with Netflix &amp; Prime Video Button Compatible for Mi 4X LED Android Smart TV 4A Remote Control (32&quot;/43&quot;) with Voice Command (Pairing Required)"/>
    <s v="Electronics"/>
    <x v="1"/>
    <s v="HomeTheater,TV&amp;Video"/>
    <s v="RemoteControls"/>
    <n v="655"/>
    <n v="1099"/>
    <n v="40"/>
    <n v="3.2"/>
    <n v="285"/>
    <n v="4.0223444327809306"/>
    <s v="Medium (100-999)"/>
    <x v="2"/>
    <n v="35.4"/>
    <s v="Bottom 25%"/>
    <b v="0"/>
    <b v="0"/>
    <b v="1"/>
    <n v="1.9"/>
    <n v="1"/>
    <x v="0"/>
    <s v="https://www.amazon.in/LRIPL-Remote-Control-Netflix-Compatible/dp/B08RX8G496/ref=sr_1_161?qid=1672909131&amp;s=electronics&amp;sr=1-161"/>
  </r>
  <r>
    <s v="B002SZEOLG"/>
    <s v="TP-Link Nano USB WiFi Dongle 150Mbps High Gain Wireless Network Wi-Fi Adapter for PC Desktop and Laptops, Supports Windows 10/8.1/8/7/XP, Linux, Mac OS X (TL-WN722N)"/>
    <s v="Computers&amp;Accessories"/>
    <x v="0"/>
    <s v="NetworkingDevices"/>
    <s v="WirelessUSBAdapters"/>
    <n v="749"/>
    <n v="1339"/>
    <n v="44"/>
    <n v="4.2"/>
    <n v="179692"/>
    <n v="4.1976339587836806"/>
    <s v="High (1,000+)"/>
    <x v="2"/>
    <n v="66.400000000000006"/>
    <s v="Top 25%"/>
    <b v="0"/>
    <b v="0"/>
    <b v="0"/>
    <n v="1.48"/>
    <n v="3"/>
    <x v="0"/>
    <s v="https://www.amazon.in/TP-Link-TL-WN722N-150Mbps-Wireless-Adapter/dp/B002SZEOLG/ref=sr_1_162?qid=1672909131&amp;s=electronics&amp;sr=1-162"/>
  </r>
  <r>
    <s v="B08CS3BT4L"/>
    <s v="Kodak 80 cm (32 inches) HD Ready Certified Android LED TV 32HDX7XPRO (Black)"/>
    <s v="Electronics"/>
    <x v="1"/>
    <s v="HomeTheater,TV&amp;Video"/>
    <s v="SmartTelevisions"/>
    <n v="9999"/>
    <n v="12999"/>
    <n v="23"/>
    <n v="4.2"/>
    <n v="6088"/>
    <n v="4.1559351395036606"/>
    <s v="High (1,000+)"/>
    <x v="3"/>
    <n v="39.9"/>
    <s v="Below median"/>
    <b v="0"/>
    <b v="0"/>
    <b v="0"/>
    <n v="0.53"/>
    <n v="1"/>
    <x v="0"/>
    <s v="https://www.amazon.in/Kodak-Inches-Certified-Android-32HDX7XPRO/dp/B08CS3BT4L/ref=sr_1_163?qid=1672909131&amp;s=electronics&amp;sr=1-163"/>
  </r>
  <r>
    <s v="B00RFWNJMC"/>
    <s v="Airtel DigitalTV DTH Remote SD/HD/HD Recording Compatible for Television (Shining Black )"/>
    <s v="Electronics"/>
    <x v="1"/>
    <s v="HomeTheater,TV&amp;Video"/>
    <s v="RemoteControls"/>
    <n v="195"/>
    <n v="499"/>
    <n v="61"/>
    <n v="3.7"/>
    <n v="1383"/>
    <n v="3.9812533459684798"/>
    <s v="High (1,000+)"/>
    <x v="0"/>
    <n v="47.2"/>
    <s v="Below median"/>
    <b v="0"/>
    <b v="0"/>
    <b v="1"/>
    <n v="0.56999999999999995"/>
    <n v="1"/>
    <x v="0"/>
    <s v="https://www.amazon.in/OXYURA-Airtel-Digital-Recording-Compatible/dp/B00RFWNJMC/ref=sr_1_164?qid=1672909131&amp;s=electronics&amp;sr=1-164"/>
  </r>
  <r>
    <s v="B082T6GXS5"/>
    <s v="AmazonBasics New Release Nylon USB-A to Lightning Cable Cord, MFi Certified Charger for Apple iPhone, iPad, Silver, 6-Ft"/>
    <s v="Computers&amp;Accessories"/>
    <x v="0"/>
    <s v="Accessories&amp;Peripherals"/>
    <s v="USBCables"/>
    <n v="999"/>
    <n v="2100"/>
    <n v="52"/>
    <n v="4.5"/>
    <n v="5492"/>
    <n v="4.3311296225275084"/>
    <s v="High (1,000+)"/>
    <x v="2"/>
    <n v="67.7"/>
    <s v="Top 25%"/>
    <b v="0"/>
    <b v="0"/>
    <b v="0"/>
    <n v="3.34"/>
    <n v="1"/>
    <x v="0"/>
    <s v="https://www.amazon.in/AmazonBasics-Nylon-Braided-Lightning-Cable/dp/B082T6GXS5/ref=sr_1_165?qid=1672909131&amp;s=electronics&amp;sr=1-165"/>
  </r>
  <r>
    <s v="B09CMQRQM6"/>
    <s v="Ambrane Fast 100W Output Cable with Type-C to Type-C for Mobile, Laptop, Macbook &amp; Table Charging, 480mbps Data Sync Speed, Braided Cable, 1.5m Length (ABCC-100, Black-Grey)"/>
    <s v="Computers&amp;Accessories"/>
    <x v="0"/>
    <s v="Accessories&amp;Peripherals"/>
    <s v="USBCables"/>
    <n v="499"/>
    <n v="899"/>
    <n v="44"/>
    <n v="4.2"/>
    <n v="919"/>
    <n v="4.1072816600834807"/>
    <s v="Medium (100-999)"/>
    <x v="0"/>
    <n v="49.4"/>
    <s v="Below median"/>
    <b v="0"/>
    <b v="0"/>
    <b v="0"/>
    <n v="1.67"/>
    <n v="1"/>
    <x v="0"/>
    <s v="https://www.amazon.in/Ambrane-Charging-480mbps-ABCC-100-Black-Grey/dp/B09CMQRQM6/ref=sr_1_166?qid=1672909131&amp;s=electronics&amp;sr=1-166"/>
  </r>
  <r>
    <s v="B005LJQMCK"/>
    <s v="BlueRigger Digital Optical Audio Toslink Cable (3.3 Feet / 1 Meter) With 8 Channel (7.1) Audio Support (for Home Theatre, Xbox, Playstation etc.)"/>
    <s v="Electronics"/>
    <x v="1"/>
    <s v="HomeTheater,TV&amp;Video"/>
    <s v="OpticalCables"/>
    <n v="416"/>
    <n v="599"/>
    <n v="31"/>
    <n v="4.2"/>
    <n v="30023"/>
    <n v="4.1871524497693038"/>
    <s v="High (1,000+)"/>
    <x v="0"/>
    <n v="62.5"/>
    <s v="Top 25%"/>
    <b v="0"/>
    <b v="0"/>
    <b v="0"/>
    <m/>
    <n v="2"/>
    <x v="0"/>
    <s v="https://www.amazon.in/BlueRigger-Digital-Optical-Audio-Toslink/dp/B005LJQMCK/ref=sr_1_167?qid=1672909131&amp;s=electronics&amp;sr=1-167"/>
  </r>
  <r>
    <s v="B09C6H53KH"/>
    <s v="Duracell Type-C To Micro 1.2M braided Sync &amp; Charge Cable, USB C to Micro Fast Charge Compatible for fast data transmission (Black)"/>
    <s v="Computers&amp;Accessories"/>
    <x v="0"/>
    <s v="Accessories&amp;Peripherals"/>
    <s v="USBCables"/>
    <n v="368"/>
    <n v="699"/>
    <n v="47"/>
    <n v="4.2"/>
    <n v="387"/>
    <n v="4.0953944069600716"/>
    <s v="Medium (100-999)"/>
    <x v="0"/>
    <n v="48.3"/>
    <s v="Below median"/>
    <b v="0"/>
    <b v="0"/>
    <b v="0"/>
    <n v="1.23"/>
    <n v="1"/>
    <x v="0"/>
    <s v="https://www.amazon.in/DURACELL-Type-C-Micro-braided-Charge/dp/B09C6H53KH/ref=sr_1_168?qid=1672909131&amp;s=electronics&amp;sr=1-168"/>
  </r>
  <r>
    <s v="B0BB3CBFBM"/>
    <s v="VU 138 cm (55 inches) Premium Series 4K Ultra HD Smart IPS LED TV 55UT (Black)"/>
    <s v="Electronics"/>
    <x v="1"/>
    <s v="HomeTheater,TV&amp;Video"/>
    <s v="SmartTelevisions"/>
    <n v="29990"/>
    <n v="65000"/>
    <n v="54"/>
    <n v="4.0999999999999996"/>
    <n v="211"/>
    <n v="4.0854508850335511"/>
    <s v="Medium (100-999)"/>
    <x v="1"/>
    <n v="37.200000000000003"/>
    <s v="Bottom 25%"/>
    <b v="0"/>
    <b v="0"/>
    <b v="0"/>
    <n v="1.58"/>
    <n v="1"/>
    <x v="0"/>
    <s v="https://www.amazon.in/VU-inches-Premium-Ultra-Smart/dp/B0BB3CBFBM/ref=sr_1_169?qid=1672909133&amp;s=electronics&amp;sr=1-169"/>
  </r>
  <r>
    <s v="B08QSDKFGQ"/>
    <s v="Zoul USB Type C Fast Charging 3A Nylon Braided Data Cable Quick Charger Cable QC 3.0 for Samsung Galaxy M31s M30 S10 S9 S20 Plus, Note 10 9 8, A20e A40 A50 A70 (1M, Grey)"/>
    <s v="Computers&amp;Accessories"/>
    <x v="0"/>
    <s v="Accessories&amp;Peripherals"/>
    <s v="USBCables"/>
    <n v="339"/>
    <n v="1099"/>
    <n v="69"/>
    <n v="4.3"/>
    <n v="974"/>
    <n v="4.1289220081665396"/>
    <s v="Medium (100-999)"/>
    <x v="0"/>
    <n v="66.8"/>
    <s v="Top 25%"/>
    <b v="0"/>
    <b v="0"/>
    <b v="0"/>
    <n v="1.1299999999999999"/>
    <n v="2"/>
    <x v="1"/>
    <s v="https://www.amazon.in/Charging-Braided-Charger-Samsung-Galaxy/dp/B08QSDKFGQ/ref=sr_1_170?qid=1672909133&amp;s=electronics&amp;sr=1-170"/>
  </r>
  <r>
    <s v="B08PV1X771"/>
    <s v="Samsung 80 cm (32 inches) Wondertainment Series HD Ready LED Smart TV UA32TE40AAKBXL (Titan Gray)"/>
    <s v="Electronics"/>
    <x v="1"/>
    <s v="HomeTheater,TV&amp;Video"/>
    <s v="SmartTelevisions"/>
    <n v="15490"/>
    <n v="20900"/>
    <n v="26"/>
    <n v="4.3"/>
    <n v="16299"/>
    <n v="4.2596086579608112"/>
    <s v="High (1,000+)"/>
    <x v="1"/>
    <n v="49.7"/>
    <s v="Below median"/>
    <b v="0"/>
    <b v="0"/>
    <b v="0"/>
    <n v="0.82"/>
    <n v="2"/>
    <x v="1"/>
    <s v="https://www.amazon.in/Samsung-inches-Wondertainment-Ready-UA32TE40AAKBXL/dp/B08PV1X771/ref=sr_1_171?qid=1672909133&amp;s=electronics&amp;sr=1-171"/>
  </r>
  <r>
    <s v="B07YTNKVJQ"/>
    <s v="MI Xiaomi USB Type C HYperCharge Cable 6A 100cm Sturdy and Durable Black Supports 120W HyperCharging"/>
    <s v="Computers&amp;Accessories"/>
    <x v="0"/>
    <s v="Accessories&amp;Peripherals"/>
    <s v="USBCables"/>
    <n v="499"/>
    <n v="1299"/>
    <n v="62"/>
    <n v="4.3"/>
    <n v="30411"/>
    <n v="4.2762883255060444"/>
    <s v="High (1,000+)"/>
    <x v="0"/>
    <n v="73.7"/>
    <s v="Top 25%"/>
    <b v="0"/>
    <b v="0"/>
    <b v="0"/>
    <n v="1.67"/>
    <n v="2"/>
    <x v="0"/>
    <s v="https://www.amazon.in/Xiaomi-HyperCharge-Cable-100cm-Type-C/dp/B07YTNKVJQ/ref=sr_1_172?qid=1672909133&amp;s=electronics&amp;sr=1-172"/>
  </r>
  <r>
    <s v="B0117H7GZ6"/>
    <s v="GENERIC Ultra-Mini Bluetooth CSR 4.0 USB Dongle Adapter for Windows Computer ( Black:Golden)"/>
    <s v="Computers&amp;Accessories"/>
    <x v="0"/>
    <s v="NetworkingDevices"/>
    <s v="WirelessUSBAdapters"/>
    <n v="249"/>
    <n v="399"/>
    <n v="38"/>
    <n v="3.4"/>
    <n v="4642"/>
    <n v="3.706495221807462"/>
    <s v="High (1,000+)"/>
    <x v="0"/>
    <n v="29.3"/>
    <s v="Bottom 25%"/>
    <b v="0"/>
    <b v="0"/>
    <b v="1"/>
    <n v="0.49"/>
    <n v="1"/>
    <x v="0"/>
    <s v="https://www.amazon.in/GENERIC-Ultra-Mini-Bluetooth-Dongle-Adapter/dp/B0117H7GZ6/ref=sr_1_173_mod_primary_new?qid=1672909133&amp;s=electronics&amp;sbo=RZvfv%2F%2FHxDF%2BO5021pAnSA%3D%3D&amp;sr=1-173"/>
  </r>
  <r>
    <s v="B09XJ1LM7R"/>
    <s v="7SEVEN® Compatible for Tata Sky Remote Original Set Top HD Box and Suitable for SD Tata Play setup Box Remote Control"/>
    <s v="Electronics"/>
    <x v="1"/>
    <s v="HomeTheater,TV&amp;Video"/>
    <s v="RemoteControls"/>
    <n v="399"/>
    <n v="799"/>
    <n v="50"/>
    <n v="4.3"/>
    <n v="12"/>
    <n v="4.0853196692756164"/>
    <s v="Low (&lt;100)"/>
    <x v="0"/>
    <n v="52"/>
    <s v="Above median"/>
    <b v="0"/>
    <b v="0"/>
    <b v="0"/>
    <n v="1.1599999999999999"/>
    <n v="1"/>
    <x v="0"/>
    <s v="https://www.amazon.in/7SEVEN%C2%AE-Compatible-Control-Replacement-Original/dp/B09XJ1LM7R/ref=sr_1_174?qid=1672909133&amp;s=electronics&amp;sr=1-174"/>
  </r>
  <r>
    <s v="B084N133Y7"/>
    <s v="Belkin Apple Certified Lightning To Type C Cable, Fast Charging For Iphone, Ipad, Air Pods, 3.3 Feet (1 Meters)    White"/>
    <s v="Computers&amp;Accessories"/>
    <x v="0"/>
    <s v="Accessories&amp;Peripherals"/>
    <s v="USBCables"/>
    <n v="1499"/>
    <n v="1999"/>
    <n v="25"/>
    <n v="4.4000000000000004"/>
    <n v="1951"/>
    <n v="4.1923232854958989"/>
    <s v="High (1,000+)"/>
    <x v="4"/>
    <n v="47.2"/>
    <s v="Below median"/>
    <b v="0"/>
    <b v="0"/>
    <b v="0"/>
    <n v="5.01"/>
    <n v="2"/>
    <x v="1"/>
    <s v="https://www.amazon.in/Belkin-Lightning-iPhone-Charging-MFi-Certified/dp/B084N133Y7/ref=sr_1_175?qid=1672909133&amp;s=electronics&amp;sr=1-175"/>
  </r>
  <r>
    <s v="B088Z1YWBC"/>
    <s v="EGate i9 Pro-Max 1080p Native Full HD Projector 4k Support | 3600 L (330 ANSI ) | 150&quot; (381 cm) Large Screen | VGA, AV, HDMI, SD Card, USB, Audio Out | (E03i31 / E04i32) Black"/>
    <s v="Electronics"/>
    <x v="1"/>
    <s v="HomeTheater,TV&amp;Video"/>
    <s v="Projectors"/>
    <n v="9490"/>
    <n v="15990"/>
    <n v="41"/>
    <n v="3.9"/>
    <n v="10480"/>
    <n v="3.9487757831617212"/>
    <s v="High (1,000+)"/>
    <x v="3"/>
    <n v="17.899999999999999"/>
    <s v="Bottom 25%"/>
    <b v="0"/>
    <b v="0"/>
    <b v="0"/>
    <m/>
    <n v="1"/>
    <x v="0"/>
    <s v="https://www.amazon.in/Support-Display-Projector-Connectivity-E03i31/dp/B088Z1YWBC/ref=sr_1_176?qid=1672909133&amp;s=electronics&amp;sr=1-176"/>
  </r>
  <r>
    <s v="B07VSG5SXZ"/>
    <s v="ZEBRONICS HAA2021 HDMI version 2.1 cable with 8K @ 60Hz, 4K @ 120Hz, eARC &amp; CEC support, 3D compatible, 2 meters length, 48Gbps max and Gold-plated connectors"/>
    <s v="Electronics"/>
    <x v="1"/>
    <s v="HomeTheater,TV&amp;Video"/>
    <s v="HDMICables"/>
    <n v="637"/>
    <n v="1499"/>
    <n v="58"/>
    <n v="4.0999999999999996"/>
    <n v="24"/>
    <n v="4.0847323627837877"/>
    <s v="Low (&lt;100)"/>
    <x v="2"/>
    <n v="53.9"/>
    <s v="Above median"/>
    <b v="0"/>
    <b v="0"/>
    <b v="0"/>
    <n v="1.66"/>
    <n v="1"/>
    <x v="0"/>
    <s v="https://www.amazon.in/Zeb-HAA2021-HDMI-Meter-Cable/dp/B07VSG5SXZ/ref=sr_1_177?qid=1672909133&amp;s=electronics&amp;sr=1-177"/>
  </r>
  <r>
    <s v="B08RWCZ6SY"/>
    <s v="7SEVEN® Compatible for Sony Bravia LCD LED UHD OLED QLED 4K Ultra HD TV remote control with YouTube and NETFLIX Hotkeys. Universal Replacement for Original Sony Smart Android tv Remote Control"/>
    <s v="Electronics"/>
    <x v="1"/>
    <s v="HomeTheater,TV&amp;Video"/>
    <s v="RemoteControls"/>
    <n v="399"/>
    <n v="899"/>
    <n v="56"/>
    <n v="3.9"/>
    <n v="254"/>
    <n v="4.0729588177967919"/>
    <s v="Medium (100-999)"/>
    <x v="0"/>
    <n v="52.5"/>
    <s v="Above median"/>
    <b v="0"/>
    <b v="0"/>
    <b v="0"/>
    <n v="1.1599999999999999"/>
    <n v="1"/>
    <x v="0"/>
    <s v="https://www.amazon.in/7SEVEN-Control-YouTube-Netflix-Compatible/dp/B08RWCZ6SY/ref=sr_1_178?qid=1672909133&amp;s=electronics&amp;sr=1-178"/>
  </r>
  <r>
    <s v="B07KSB1MLX"/>
    <s v="AmazonBasics Digital Optical Coax to Analog RCA Audio Converter Adapter with Fiber Cable"/>
    <s v="Electronics"/>
    <x v="1"/>
    <s v="HomeTheater,TV&amp;Video"/>
    <s v="OpticalCables"/>
    <n v="1089"/>
    <n v="1600"/>
    <n v="32"/>
    <n v="4"/>
    <n v="3565"/>
    <n v="4.04345808143034"/>
    <s v="High (1,000+)"/>
    <x v="4"/>
    <n v="31.6"/>
    <s v="Bottom 25%"/>
    <b v="0"/>
    <b v="0"/>
    <b v="0"/>
    <m/>
    <n v="1"/>
    <x v="0"/>
    <s v="https://www.amazon.in/AmazonBasics-Digital-Optical-Converter-Adapter/dp/B07KSB1MLX/ref=sr_1_179?qid=1672909133&amp;s=electronics&amp;sr=1-179"/>
  </r>
  <r>
    <s v="B081FG1QYX"/>
    <s v="Wayona Type C Cable Nylon Braided USB C QC 3.0 Fast Charging Short Power Bank Cable for Samsung Galaxy S10e/S10+/S10/S9/S9+/Note 9/S8/Note 8, LG G7 G5 G6, Moto G6 G7 (0.25M, Black)"/>
    <s v="Computers&amp;Accessories"/>
    <x v="0"/>
    <s v="Accessories&amp;Peripherals"/>
    <s v="USBCables"/>
    <n v="339"/>
    <n v="999"/>
    <n v="66"/>
    <n v="4.3"/>
    <n v="6255"/>
    <n v="4.2191104658528404"/>
    <s v="High (1,000+)"/>
    <x v="0"/>
    <n v="75.7"/>
    <s v="Top 25%"/>
    <b v="0"/>
    <b v="0"/>
    <b v="0"/>
    <n v="1.1299999999999999"/>
    <n v="2"/>
    <x v="0"/>
    <s v="https://www.amazon.in/Wayona-Braided-Charging-Samsung-Galaxy/dp/B081FG1QYX/ref=sr_1_180?qid=1672909133&amp;s=electronics&amp;sr=1-180"/>
  </r>
  <r>
    <s v="B08R69WBN7"/>
    <s v="Pinnaclz Original Combo of 2 USB Type C Fast Charging Cable, USB C Data Cable for Charging and Data Transfer Smart Phones White 1.2 Meter Made in India (Pack of 2)"/>
    <s v="Computers&amp;Accessories"/>
    <x v="0"/>
    <s v="Accessories&amp;Peripherals"/>
    <s v="USBCables"/>
    <n v="149"/>
    <n v="499"/>
    <n v="70"/>
    <n v="4"/>
    <n v="7732"/>
    <n v="4.0277036053487159"/>
    <s v="High (1,000+)"/>
    <x v="0"/>
    <n v="51.9"/>
    <s v="Above median"/>
    <b v="0"/>
    <b v="0"/>
    <b v="0"/>
    <n v="0.5"/>
    <n v="2"/>
    <x v="0"/>
    <s v="https://www.amazon.in/Pinnaclz-Original-Type-Charging-Transfer/dp/B08R69WBN7/ref=sr_1_182?qid=1672909133&amp;s=electronics&amp;sr=1-182"/>
  </r>
  <r>
    <s v="B0B3RHX6B6"/>
    <s v="Ambrane BCL-15 Lightning Cable for Smartphone (1.5m Black)"/>
    <s v="Computers&amp;Accessories"/>
    <x v="0"/>
    <s v="Accessories&amp;Peripherals"/>
    <s v="USBCables"/>
    <n v="149"/>
    <n v="399"/>
    <n v="63"/>
    <n v="3.9"/>
    <n v="57"/>
    <n v="4.0818795893914954"/>
    <s v="Low (&lt;100)"/>
    <x v="0"/>
    <n v="56.8"/>
    <s v="Above median"/>
    <b v="0"/>
    <b v="0"/>
    <b v="0"/>
    <n v="0.5"/>
    <n v="1"/>
    <x v="0"/>
    <s v="https://www.amazon.in/Ambrane-BCL-15-Lightning-Cable-Smartphone/dp/B0B3RHX6B6/ref=sr_1_183?qid=1672909133&amp;s=electronics&amp;sr=1-183"/>
  </r>
  <r>
    <s v="B084N18QZY"/>
    <s v="Belkin USB C to USB-C Fast Charging Type C Cable, 60W PD, 3.3 feet (1 meter) for Laptop, Personal Computer, Tablet, Smartphone - Black, USB-IF Certified"/>
    <s v="Computers&amp;Accessories"/>
    <x v="0"/>
    <s v="Accessories&amp;Peripherals"/>
    <s v="USBCables"/>
    <n v="599"/>
    <n v="849"/>
    <n v="29"/>
    <n v="4.5"/>
    <n v="577"/>
    <n v="4.1398638303216533"/>
    <s v="Medium (100-999)"/>
    <x v="2"/>
    <n v="45.3"/>
    <s v="Below median"/>
    <b v="0"/>
    <b v="0"/>
    <b v="0"/>
    <n v="2"/>
    <n v="1"/>
    <x v="0"/>
    <s v="https://www.amazon.in/Belkin-USB-C-Charging-USB-IF-Certified/dp/B084N18QZY/ref=sr_1_184?qid=1672909133&amp;s=electronics&amp;sr=1-184"/>
  </r>
  <r>
    <s v="B081NHWT6Z"/>
    <s v="LOHAYA Television Remote Compatible with Samsung Smart LED/LCD/HD TV Remote Control [ Compatible for All Samsung Tv Remote Control ]"/>
    <s v="Electronics"/>
    <x v="1"/>
    <s v="HomeTheater,TV&amp;Video"/>
    <s v="RemoteControls"/>
    <n v="299"/>
    <n v="1199"/>
    <n v="75"/>
    <n v="3.9"/>
    <n v="1193"/>
    <n v="4.0401854690103551"/>
    <s v="High (1,000+)"/>
    <x v="0"/>
    <n v="56.7"/>
    <s v="Above median"/>
    <b v="0"/>
    <b v="0"/>
    <b v="0"/>
    <n v="0.87"/>
    <n v="1"/>
    <x v="0"/>
    <s v="https://www.amazon.in/LOHAYA-Television-Compatible-Samsung-Control/dp/B081NHWT6Z/ref=sr_1_185?qid=1672909133&amp;s=electronics&amp;sr=1-185"/>
  </r>
  <r>
    <s v="B07JPJJZ2H"/>
    <s v="Wayona Nylon Braided Lightning USB Data Sync &amp; 3A Charging Cable for iPhones, iPad Air, iPad Mini, iPod Nano and iPod Touch (3 FT Pack of 1, Grey)"/>
    <s v="Computers&amp;Accessories"/>
    <x v="0"/>
    <s v="Accessories&amp;Peripherals"/>
    <s v="USBCables"/>
    <n v="399"/>
    <n v="1299"/>
    <n v="69"/>
    <n v="4.2"/>
    <n v="13120"/>
    <n v="4.1742892990777918"/>
    <s v="High (1,000+)"/>
    <x v="0"/>
    <n v="69.2"/>
    <s v="Top 25%"/>
    <b v="0"/>
    <b v="0"/>
    <b v="0"/>
    <n v="1.33"/>
    <n v="2"/>
    <x v="1"/>
    <s v="https://www.amazon.in/Wayona-Nylon-Braided-Charging-iPhones/dp/B07JPJJZ2H/ref=sr_1_186?qid=1672909133&amp;s=electronics&amp;sr=1-186"/>
  </r>
  <r>
    <s v="B09JKNF147"/>
    <s v="Electvision Remote Control Compatible with Kodak/Thomson Smart led tv (Without Voice) Before Placing Order for verification Contact Our coustmer Care 7738090464"/>
    <s v="Electronics"/>
    <x v="1"/>
    <s v="HomeTheater,TV&amp;Video"/>
    <s v="RemoteControls"/>
    <n v="339"/>
    <n v="1999"/>
    <n v="83"/>
    <n v="4"/>
    <n v="343"/>
    <n v="4.0775640218440659"/>
    <s v="Medium (100-999)"/>
    <x v="0"/>
    <n v="63.8"/>
    <s v="Top 25%"/>
    <b v="0"/>
    <b v="0"/>
    <b v="0"/>
    <n v="0.99"/>
    <n v="1"/>
    <x v="0"/>
    <s v="https://www.amazon.in/Electvision-Compatible-verification-coustmer-7738090464/dp/B09JKNF147/ref=sr_1_187?qid=1672909133&amp;s=electronics&amp;sr=1-187"/>
  </r>
  <r>
    <s v="B0B9959XF3"/>
    <s v="Acer 80 cm (32 inches) S Series HD Ready Android Smart LED TV AR32AR2841HDSB (Black)"/>
    <s v="Electronics"/>
    <x v="1"/>
    <s v="HomeTheater,TV&amp;Video"/>
    <s v="SmartTelevisions"/>
    <n v="12499"/>
    <n v="22990"/>
    <n v="46"/>
    <n v="4.3"/>
    <n v="1611"/>
    <n v="4.1492023991217666"/>
    <s v="High (1,000+)"/>
    <x v="1"/>
    <n v="48.1"/>
    <s v="Below median"/>
    <b v="0"/>
    <b v="0"/>
    <b v="0"/>
    <n v="0.66"/>
    <n v="2"/>
    <x v="0"/>
    <s v="https://www.amazon.in/Acer-inches-Ready-Android-AR32AR2841HDSB/dp/B0B9959XF3/ref=sr_1_188?qid=1672909133&amp;s=electronics&amp;sr=1-188"/>
  </r>
  <r>
    <s v="B09PNR6F8Q"/>
    <s v="realme 10W Fast Charging Micro-USB Cable (Braided, Black)"/>
    <s v="Computers&amp;Accessories"/>
    <x v="0"/>
    <s v="Accessories&amp;Peripherals"/>
    <s v="USBCables"/>
    <n v="249"/>
    <n v="399"/>
    <n v="38"/>
    <n v="4"/>
    <n v="6558"/>
    <n v="4.0308550062187702"/>
    <s v="High (1,000+)"/>
    <x v="0"/>
    <n v="33.6"/>
    <s v="Bottom 25%"/>
    <b v="0"/>
    <b v="0"/>
    <b v="0"/>
    <n v="0.83"/>
    <n v="1"/>
    <x v="0"/>
    <s v="https://www.amazon.in/realme-Charging-Micro-USB-Cable-Braided/dp/B09PNR6F8Q/ref=sr_1_189?qid=1672909133&amp;s=electronics&amp;sr=1-189"/>
  </r>
  <r>
    <s v="B07M69276N"/>
    <s v="TP-Link AC1300 USB WiFi Adapter (Archer T3U) - 2.4G/5G Dual Band Mini Wireless Network Adapter for PC Desktop, MU-MIMO Wi-Fi Dongle, USB 3.0, Supports Windows 11,10, 8.1, 8, 7, XP/Mac OS 10.15 and earlier"/>
    <s v="Computers&amp;Accessories"/>
    <x v="0"/>
    <s v="NetworkingDevices"/>
    <s v="WirelessUSBAdapters"/>
    <n v="1399"/>
    <n v="2499"/>
    <n v="44"/>
    <n v="4.4000000000000004"/>
    <n v="23169"/>
    <n v="4.3559415217006414"/>
    <s v="High (1,000+)"/>
    <x v="4"/>
    <n v="68.599999999999994"/>
    <s v="Top 25%"/>
    <b v="0"/>
    <b v="0"/>
    <b v="0"/>
    <n v="2.76"/>
    <n v="1"/>
    <x v="0"/>
    <s v="https://www.amazon.in/TP-Link-Archer-T3U-Wireless-MU-MIMO/dp/B07M69276N/ref=sr_1_190?qid=1672909133&amp;s=electronics&amp;sr=1-190"/>
  </r>
  <r>
    <s v="B0B1YZ9CB8"/>
    <s v="Acer 139 cm (55 inches) I Series 4K Ultra HD Android Smart LED TV AR55AR2851UDFL (Black)"/>
    <s v="Electronics"/>
    <x v="1"/>
    <s v="HomeTheater,TV&amp;Video"/>
    <s v="SmartTelevisions"/>
    <n v="32999"/>
    <n v="47990"/>
    <n v="31"/>
    <n v="4.3"/>
    <n v="4703"/>
    <n v="4.2042807975525136"/>
    <s v="High (1,000+)"/>
    <x v="1"/>
    <n v="48"/>
    <s v="Below median"/>
    <b v="0"/>
    <b v="0"/>
    <b v="0"/>
    <n v="1.74"/>
    <n v="5"/>
    <x v="1"/>
    <s v="https://www.amazon.in/Acer-inches-Ultra-Android-AR55AR2851UDFL/dp/B0B1YZ9CB8/ref=sr_1_191?qid=1672909133&amp;s=electronics&amp;sr=1-191"/>
  </r>
  <r>
    <s v="B09YLYB9PB"/>
    <s v="Ambrane 60W / 3A Fast Charging Output Cable with Micro to USB for Mobile, Neckband, True Wireless Earphone Charging, 480mbps Data Sync Speed, 1m Length (ACM - AZ1, Black)"/>
    <s v="Computers&amp;Accessories"/>
    <x v="0"/>
    <s v="Accessories&amp;Peripherals"/>
    <s v="USBCables"/>
    <n v="149"/>
    <n v="399"/>
    <n v="63"/>
    <n v="4"/>
    <n v="1423"/>
    <n v="4.0614095249601423"/>
    <s v="High (1,000+)"/>
    <x v="0"/>
    <n v="53.2"/>
    <s v="Above median"/>
    <b v="0"/>
    <b v="0"/>
    <b v="0"/>
    <n v="0.5"/>
    <n v="3"/>
    <x v="1"/>
    <s v="https://www.amazon.in/Ambrane-Charging-Neckband-Wireless-ACM/dp/B09YLYB9PB/ref=sr_1_192?qid=1672909133&amp;s=electronics&amp;sr=1-192"/>
  </r>
  <r>
    <s v="B08CTNJ985"/>
    <s v="Wayona USB Type C 65W Fast Charging 2M/6Ft Long Flash Charge Cable 3A QC 3.0 Data Cable Compatible with Samsung Galaxy S21 S10 S9 S8, iQOO Z3, Vivo, Note 10 9 8, A20e A40 A50 A70, Moto G7 G8 (2M, Grey)"/>
    <s v="Computers&amp;Accessories"/>
    <x v="0"/>
    <s v="Accessories&amp;Peripherals"/>
    <s v="USBCables"/>
    <n v="325"/>
    <n v="999"/>
    <n v="67"/>
    <n v="4.3"/>
    <n v="2651"/>
    <n v="4.1736554286553078"/>
    <s v="High (1,000+)"/>
    <x v="0"/>
    <n v="70.8"/>
    <s v="Top 25%"/>
    <b v="0"/>
    <b v="0"/>
    <b v="0"/>
    <n v="1.0900000000000001"/>
    <n v="2"/>
    <x v="0"/>
    <s v="https://www.amazon.in/Wayona-Charging-Charger-Samsung-Galaxy/dp/B08CTNJ985/ref=sr_1_193?qid=1672909134&amp;s=electronics&amp;sr=1-193"/>
  </r>
  <r>
    <s v="B0BP7XLX48"/>
    <s v="Syncwire LTG to USB Cable for Fast Charging Compatible with Phone 5/ 5C/ 5S/ 6/ 6S/ 7/8/ X/XR/XS Max/ 11/12/ 13 Series and Pad Air/Mini, Pod &amp; Other Devices (1.1 Meter, White)"/>
    <s v="Computers&amp;Accessories"/>
    <x v="0"/>
    <s v="Accessories&amp;Peripherals"/>
    <s v="USBCables"/>
    <n v="399"/>
    <n v="1999"/>
    <n v="80"/>
    <n v="5"/>
    <n v="5"/>
    <n v="4.0858497920851544"/>
    <s v="Low (&lt;100)"/>
    <x v="0"/>
    <n v="56.6"/>
    <s v="Above median"/>
    <b v="0"/>
    <b v="0"/>
    <b v="0"/>
    <n v="1.33"/>
    <n v="1"/>
    <x v="0"/>
    <s v="https://www.amazon.in/Syncwire-Cable-Charging-Compatible-Devices/dp/B0BP7XLX48/ref=sr_1_194?qid=1672909134&amp;s=electronics&amp;sr=1-194"/>
  </r>
  <r>
    <s v="B09LHXNZLR"/>
    <s v="Skadioo WiFi Adapter for pc | Car Accessories, WiFi Dongle for pc | USB WiFi Adapter for pc | Wi-Fi Receiver 2.4GHz, 802.11b/g/n UNano Size WiFi Dongle Compatible Adapter,WiFi dongle for pc"/>
    <s v="Computers&amp;Accessories"/>
    <x v="0"/>
    <s v="NetworkingDevices"/>
    <s v="WirelessUSBAdapters"/>
    <n v="199"/>
    <n v="499"/>
    <n v="60"/>
    <n v="3.7"/>
    <n v="612"/>
    <n v="4.0308238865426489"/>
    <s v="Medium (100-999)"/>
    <x v="0"/>
    <n v="50.7"/>
    <s v="Above median"/>
    <b v="0"/>
    <b v="0"/>
    <b v="1"/>
    <n v="0.39"/>
    <n v="1"/>
    <x v="0"/>
    <s v="https://www.amazon.in/Skadioo-Accessories-Receiver-Compatible-dongle/dp/B09LHXNZLR/ref=sr_1_195?qid=1672909134&amp;s=electronics&amp;sr=1-195"/>
  </r>
  <r>
    <s v="B0B3N8VG24"/>
    <s v="FLiX (Beetel USB to Type C PVC Data Sync &amp; 15W(3A) TPE Fast Charging Cable, Made in India, 480Mbps Data Sync, 1 Meter Long cable for all Andriod &amp; all Type C Devices (Black)(XCD - FPC02)"/>
    <s v="Computers&amp;Accessories"/>
    <x v="0"/>
    <s v="Accessories&amp;Peripherals"/>
    <s v="USBCables"/>
    <n v="88"/>
    <n v="299"/>
    <n v="71"/>
    <n v="4"/>
    <n v="9378"/>
    <n v="4.0242334075324999"/>
    <s v="High (1,000+)"/>
    <x v="0"/>
    <n v="53.6"/>
    <s v="Above median"/>
    <b v="0"/>
    <b v="0"/>
    <b v="0"/>
    <n v="0.28999999999999998"/>
    <n v="8"/>
    <x v="1"/>
    <s v="https://www.amazon.in/FLiX-Charging-480Mbps-Andriod-Devices/dp/B0B3N8VG24/ref=sr_1_196?qid=1672909134&amp;s=electronics&amp;sr=1-196"/>
  </r>
  <r>
    <s v="B08PSVBB2X"/>
    <s v="Zoul USB C to USB C Fast Charging Cable 65W Type C to Type C Nylon Braided Cord Compatible with Macbook Oneplus 9 10R Samsung Galaxy S22 S21 Ultra Z Flip3 Macbook Air/Pro M1 Google Pixel 11'' iPad Pro 2020/2018 (2M, Grey)"/>
    <s v="Computers&amp;Accessories"/>
    <x v="0"/>
    <s v="Accessories&amp;Peripherals"/>
    <s v="USBCables"/>
    <n v="399"/>
    <n v="1099"/>
    <n v="64"/>
    <n v="4.0999999999999996"/>
    <n v="2685"/>
    <n v="4.0910335931261441"/>
    <s v="High (1,000+)"/>
    <x v="0"/>
    <n v="54.5"/>
    <s v="Above median"/>
    <b v="0"/>
    <b v="0"/>
    <b v="0"/>
    <n v="1.33"/>
    <n v="2"/>
    <x v="1"/>
    <s v="https://www.amazon.in/Charging-Braided-Compatible-Samsung-Galaxy/dp/B08PSVBB2X/ref=sr_1_197?qid=1672909134&amp;s=electronics&amp;sr=1-197"/>
  </r>
  <r>
    <s v="B0B3MQXNFB"/>
    <s v="FLiX (Beetel Flow USB to Micro USB PVC Data Sync &amp; 12W(2.4A) Fast Charging Cable,Made in India,480Mbps Data Sync,Solid Cable,1 Meter Long cable for all Andriod &amp; Micro USB Devices (Black)(XCD-FPM01)"/>
    <s v="Computers&amp;Accessories"/>
    <x v="0"/>
    <s v="Accessories&amp;Peripherals"/>
    <s v="USBCables"/>
    <n v="57.89"/>
    <n v="199"/>
    <n v="71"/>
    <n v="4"/>
    <n v="9378"/>
    <n v="4.0242334075324999"/>
    <s v="High (1,000+)"/>
    <x v="0"/>
    <n v="54.5"/>
    <s v="Above median"/>
    <b v="0"/>
    <b v="0"/>
    <b v="0"/>
    <n v="0.19"/>
    <n v="8"/>
    <x v="1"/>
    <s v="https://www.amazon.in/FLiX-Charging-480Mbps-Andriod-XCD-FPM01/dp/B0B3MQXNFB/ref=sr_1_198?qid=1672909134&amp;s=electronics&amp;sr=1-198"/>
  </r>
  <r>
    <s v="B08XMSKKMM"/>
    <s v="7SEVEN® Bluetooth Voice Command Remote for Xiaomi Redmi Mi Smart TV with Netflix &amp; Prime Video Hot Keys XMRM-00A"/>
    <s v="Electronics"/>
    <x v="1"/>
    <s v="HomeTheater,TV&amp;Video"/>
    <s v="RemoteControls"/>
    <n v="799"/>
    <n v="1999"/>
    <n v="60"/>
    <n v="3.3"/>
    <n v="576"/>
    <n v="3.980463084402631"/>
    <s v="Medium (100-999)"/>
    <x v="2"/>
    <n v="40.9"/>
    <s v="Below median"/>
    <b v="0"/>
    <b v="1"/>
    <b v="1"/>
    <n v="2.3199999999999998"/>
    <n v="1"/>
    <x v="0"/>
    <s v="https://www.amazon.in/7SEVEN-Bluetooth-Command-Netflix-XMRM-00A/dp/B08XMSKKMM/ref=sr_1_199?qid=1672909134&amp;s=electronics&amp;sr=1-199"/>
  </r>
  <r>
    <s v="B09L8DT7D6"/>
    <s v="Sony TV - Remote Compatible for Sony LED Remote Control Works with Sony LED TV by Trend Trail Speed tech &amp; Remote hi Remote &amp; REO India only"/>
    <s v="Electronics"/>
    <x v="1"/>
    <s v="HomeTheater,TV&amp;Video"/>
    <s v="RemoteControls"/>
    <n v="205"/>
    <n v="499"/>
    <n v="59"/>
    <n v="3.8"/>
    <n v="313"/>
    <n v="4.0627748967441581"/>
    <s v="Medium (100-999)"/>
    <x v="0"/>
    <n v="54"/>
    <s v="Above median"/>
    <b v="0"/>
    <b v="0"/>
    <b v="1"/>
    <n v="0.6"/>
    <n v="1"/>
    <x v="0"/>
    <s v="https://www.amazon.in/Sony-TV-Remote-Compatible-Control/dp/B09L8DT7D6/ref=sr_1_200?qid=1672909134&amp;s=electronics&amp;sr=1-200"/>
  </r>
  <r>
    <s v="B00GE55L22"/>
    <s v="Storite USB 3.0 Cable A to Micro B high Speed Upto 5 Gbps Data Transfer Cable for Portable External Hard Drive - (20cm), Black"/>
    <s v="Computers&amp;Accessories"/>
    <x v="0"/>
    <s v="Accessories&amp;Peripherals"/>
    <s v="USBCables"/>
    <n v="299"/>
    <n v="699"/>
    <n v="57"/>
    <n v="4.0999999999999996"/>
    <n v="2957"/>
    <n v="4.0913965461240887"/>
    <s v="High (1,000+)"/>
    <x v="0"/>
    <n v="53.5"/>
    <s v="Above median"/>
    <b v="0"/>
    <b v="0"/>
    <b v="0"/>
    <n v="1"/>
    <n v="1"/>
    <x v="0"/>
    <s v="https://www.amazon.in/Storite-USB-3-0-Micro-Cable/dp/B00GE55L22/ref=sr_1_201?qid=1672909134&amp;s=electronics&amp;sr=1-201"/>
  </r>
  <r>
    <s v="B0162K34H2"/>
    <s v="boAt LTG 500 Apple MFI Certified for iPhone, iPad and iPod 2Mtr Data Cable(Space Grey)"/>
    <s v="Computers&amp;Accessories"/>
    <x v="0"/>
    <s v="Accessories&amp;Peripherals"/>
    <s v="USBCables"/>
    <n v="849"/>
    <n v="999"/>
    <n v="15"/>
    <n v="4.0999999999999996"/>
    <n v="6736"/>
    <n v="4.094493412552346"/>
    <s v="High (1,000+)"/>
    <x v="2"/>
    <n v="31.5"/>
    <s v="Bottom 25%"/>
    <b v="0"/>
    <b v="1"/>
    <b v="0"/>
    <n v="2.84"/>
    <n v="1"/>
    <x v="0"/>
    <s v="https://www.amazon.in/LTG500-Indestructible-Certified-Lightning-2Meter/dp/B0162K34H2/ref=sr_1_202?qid=1672909134&amp;s=electronics&amp;sr=1-202"/>
  </r>
  <r>
    <s v="B0B8SRZ5SV"/>
    <s v="AmazonBasics USB C to Lightning Aluminum with Nylon Braided MFi Certified Charging Cable (Grey, 1.2 meter)"/>
    <s v="Computers&amp;Accessories"/>
    <x v="0"/>
    <s v="Accessories&amp;Peripherals"/>
    <s v="USBCables"/>
    <n v="949"/>
    <n v="1999"/>
    <n v="53"/>
    <n v="4.4000000000000004"/>
    <n v="13552"/>
    <n v="4.3314701026123084"/>
    <s v="High (1,000+)"/>
    <x v="2"/>
    <n v="68.400000000000006"/>
    <s v="Top 25%"/>
    <b v="0"/>
    <b v="0"/>
    <b v="0"/>
    <n v="3.17"/>
    <n v="3"/>
    <x v="0"/>
    <s v="https://www.amazon.in/AmazonBasics-Lightning-Aluminum-Certified-Charging/dp/B0B8SRZ5SV/ref=sr_1_203?qid=1672909134&amp;s=electronics&amp;sr=1-203"/>
  </r>
  <r>
    <s v="B07CWNJLPC"/>
    <s v="AmazonBasics Double Braided Nylon USB Type-C to Type-C 2.0 Cable Smartphone (Dark Grey, 3 feet)"/>
    <s v="Computers&amp;Accessories"/>
    <x v="0"/>
    <s v="Accessories&amp;Peripherals"/>
    <s v="USBCables"/>
    <n v="499"/>
    <n v="1200"/>
    <n v="58"/>
    <n v="4.3"/>
    <n v="5451"/>
    <n v="4.2120517818072187"/>
    <s v="High (1,000+)"/>
    <x v="0"/>
    <n v="67.3"/>
    <s v="Top 25%"/>
    <b v="0"/>
    <b v="0"/>
    <b v="0"/>
    <n v="1.67"/>
    <n v="2"/>
    <x v="0"/>
    <s v="https://www.amazon.in/AmazonBasics-Double-Braided-Nylon-Type-C/dp/B07CWNJLPC/ref=sr_1_204?qid=1672909134&amp;s=electronics&amp;sr=1-204"/>
  </r>
  <r>
    <s v="B00NH12R1O"/>
    <s v="Amazon Basics USB 3.0 Cable - A Male to Micro B - 6 Feet (1.8 Meters), Black"/>
    <s v="Computers&amp;Accessories"/>
    <x v="0"/>
    <s v="Accessories&amp;Peripherals"/>
    <s v="USBCables"/>
    <n v="299"/>
    <n v="485"/>
    <n v="38"/>
    <n v="4.3"/>
    <n v="10911"/>
    <n v="4.2447772577558736"/>
    <s v="High (1,000+)"/>
    <x v="0"/>
    <n v="63.7"/>
    <s v="Top 25%"/>
    <b v="0"/>
    <b v="0"/>
    <b v="0"/>
    <n v="1"/>
    <n v="1"/>
    <x v="0"/>
    <s v="https://www.amazon.in/AmazonBasics-USB-3-0-Cable-Meters/dp/B00NH12R1O/ref=sr_1_205?qid=1672909134&amp;s=electronics&amp;sr=1-205"/>
  </r>
  <r>
    <s v="B0B8SSC5D9"/>
    <s v="AmazonBasics USB C to Lightning Aluminum with Nylon Braided MFi Certified Charging Cable (Grey, 1.8 meter)"/>
    <s v="Computers&amp;Accessories"/>
    <x v="0"/>
    <s v="Accessories&amp;Peripherals"/>
    <s v="USBCables"/>
    <n v="949"/>
    <n v="1999"/>
    <n v="53"/>
    <n v="4.4000000000000004"/>
    <n v="13552"/>
    <n v="4.3314701026123084"/>
    <s v="High (1,000+)"/>
    <x v="2"/>
    <n v="68.400000000000006"/>
    <s v="Top 25%"/>
    <b v="0"/>
    <b v="0"/>
    <b v="0"/>
    <n v="3.17"/>
    <n v="3"/>
    <x v="1"/>
    <s v="https://www.amazon.in/AmazonBasics-Lightning-Aluminum-Certified-Charging/dp/B0B8SSC5D9/ref=sr_1_206?qid=1672909134&amp;s=electronics&amp;sr=1-206"/>
  </r>
  <r>
    <s v="B08WKG2MWT"/>
    <s v="Wayona Usb C 65W Fast Charging Cable Compatible For Tablets Samsung S22 S20 S10 S20Fe S21 S21 Ultra A70 A51 A71 A50S M31 M51 M31S M53 5G (1M, Black)"/>
    <s v="Computers&amp;Accessories"/>
    <x v="0"/>
    <s v="Accessories&amp;Peripherals"/>
    <s v="USBCables"/>
    <n v="379"/>
    <n v="1099"/>
    <n v="66"/>
    <n v="4.3"/>
    <n v="2806"/>
    <n v="4.1766368412393717"/>
    <s v="High (1,000+)"/>
    <x v="0"/>
    <n v="69.3"/>
    <s v="Top 25%"/>
    <b v="0"/>
    <b v="0"/>
    <b v="0"/>
    <n v="1.27"/>
    <n v="4"/>
    <x v="1"/>
    <s v="https://www.amazon.in/Wayona-Charging-Charger-Compatible-Samsung/dp/B08WKG2MWT/ref=sr_1_207?qid=1672909134&amp;s=electronics&amp;sr=1-207"/>
  </r>
  <r>
    <s v="B0B466C3G4"/>
    <s v="Karbonn 80 cm (32 inches) Millenium Bezel-Less Series HD Ready Smart LED TV KJW32SKHD (Phantom Black)"/>
    <s v="Electronics"/>
    <x v="1"/>
    <s v="HomeTheater,TV&amp;Video"/>
    <s v="SmartTelevisions"/>
    <n v="8990"/>
    <n v="18990"/>
    <n v="53"/>
    <n v="3.9"/>
    <n v="350"/>
    <n v="4.0689213596792264"/>
    <s v="Medium (100-999)"/>
    <x v="3"/>
    <n v="34.4"/>
    <s v="Bottom 25%"/>
    <b v="0"/>
    <b v="0"/>
    <b v="0"/>
    <n v="0.47"/>
    <n v="1"/>
    <x v="0"/>
    <s v="https://www.amazon.in/Karbonn-Millennium-KJW32SKHD-Phantom-Bezel-Less/dp/B0B466C3G4/ref=sr_1_208?qid=1672909134&amp;s=electronics&amp;sr=1-208"/>
  </r>
  <r>
    <s v="B005LJQMZC"/>
    <s v="BlueRigger Digital Optical Audio Toslink Cable (6 Feet / 1.8 Meter) With 8 Channel (7.1) Audio Support (for Home Theatre, Xbox, Playstation etc.)"/>
    <s v="Electronics"/>
    <x v="1"/>
    <s v="HomeTheater,TV&amp;Video"/>
    <s v="OpticalCables"/>
    <n v="486"/>
    <n v="1999"/>
    <n v="76"/>
    <n v="4.2"/>
    <n v="30023"/>
    <n v="4.1871524497693038"/>
    <s v="High (1,000+)"/>
    <x v="0"/>
    <n v="81.8"/>
    <s v="Top 25%"/>
    <b v="0"/>
    <b v="0"/>
    <b v="0"/>
    <m/>
    <n v="2"/>
    <x v="1"/>
    <s v="https://www.amazon.in/BlueRigger-Digital-Optical-Toslink-Meters/dp/B005LJQMZC/ref=sr_1_209?qid=1672909134&amp;s=electronics&amp;sr=1-209"/>
  </r>
  <r>
    <s v="B07MDRGHWQ"/>
    <s v="VW 60 cm (24 inches) Premium Series HD Ready LED TV VW24A (Black)"/>
    <s v="Electronics"/>
    <x v="1"/>
    <s v="HomeTheater,TV&amp;Video"/>
    <s v="StandardTelevisions"/>
    <n v="5699"/>
    <n v="11000"/>
    <n v="48"/>
    <n v="4.2"/>
    <n v="4003"/>
    <n v="4.1441039329960478"/>
    <s v="High (1,000+)"/>
    <x v="3"/>
    <n v="50.3"/>
    <s v="Below median"/>
    <b v="0"/>
    <b v="0"/>
    <b v="0"/>
    <m/>
    <n v="2"/>
    <x v="1"/>
    <s v="https://www.amazon.in/Visio-World-inches-VW24A-Ready/dp/B07MDRGHWQ/ref=sr_1_210?qid=1672909134&amp;s=electronics&amp;sr=1-210"/>
  </r>
  <r>
    <s v="B07DC4RZPY"/>
    <s v="Amazon Basics USB A to Lightning MFi Certified Charging Cable (White, 1.2 meter)"/>
    <s v="Computers&amp;Accessories"/>
    <x v="0"/>
    <s v="Accessories&amp;Peripherals"/>
    <s v="USBCables"/>
    <n v="709"/>
    <n v="1999"/>
    <n v="65"/>
    <n v="4.0999999999999996"/>
    <n v="178817"/>
    <n v="4.0996833658306704"/>
    <s v="High (1,000+)"/>
    <x v="2"/>
    <n v="57.4"/>
    <s v="Above median"/>
    <b v="0"/>
    <b v="1"/>
    <b v="0"/>
    <n v="2.37"/>
    <n v="1"/>
    <x v="0"/>
    <s v="https://www.amazon.in/AmazonBasics-Certified-Lightning-Charge-Meters/dp/B07DC4RZPY/ref=sr_1_211?qid=1672909134&amp;s=electronics&amp;sr=1-211"/>
  </r>
  <r>
    <s v="B0B15GSPQW"/>
    <s v="Samsung 138 cm (55 inches) Crystal 4K Neo Series Ultra HD Smart LED TV UA55AUE65AKXXL (Black)"/>
    <s v="Electronics"/>
    <x v="1"/>
    <s v="HomeTheater,TV&amp;Video"/>
    <s v="SmartTelevisions"/>
    <n v="47990"/>
    <n v="70900"/>
    <n v="32"/>
    <n v="4.3"/>
    <n v="7109"/>
    <n v="4.2254646637244919"/>
    <s v="High (1,000+)"/>
    <x v="1"/>
    <n v="49.2"/>
    <s v="Below median"/>
    <b v="0"/>
    <b v="0"/>
    <b v="0"/>
    <n v="2.5299999999999998"/>
    <n v="4"/>
    <x v="1"/>
    <s v="https://www.amazon.in/Samsung-inches-Crystal-Ultra-UA55AUE65AKXXL/dp/B0B15GSPQW/ref=sr_1_212?qid=1672909134&amp;s=electronics&amp;sr=1-212"/>
  </r>
  <r>
    <s v="B08GJNM9N7"/>
    <s v="LOHAYA Television Remote Compatible for VU LED LCD HD Tv Remote Control Model No :- EN2B27V"/>
    <s v="Electronics"/>
    <x v="1"/>
    <s v="HomeTheater,TV&amp;Video"/>
    <s v="RemoteControls"/>
    <n v="299"/>
    <n v="1199"/>
    <n v="75"/>
    <n v="3.7"/>
    <n v="490"/>
    <n v="4.0403148951630374"/>
    <s v="Medium (100-999)"/>
    <x v="0"/>
    <n v="56.7"/>
    <s v="Above median"/>
    <b v="0"/>
    <b v="0"/>
    <b v="1"/>
    <n v="0.87"/>
    <n v="1"/>
    <x v="0"/>
    <s v="https://www.amazon.in/LOHAYA-Television-Remote-Compatible-Control/dp/B08GJNM9N7/ref=sr_1_213?qid=1672909134&amp;s=electronics&amp;sr=1-213"/>
  </r>
  <r>
    <s v="B09C6FML9B"/>
    <s v="Duracell Micro USB 3A Braided Sync &amp; Fast Charging Cable, 3.9 Feet (1.2M). Supports QC 2.0/3.0 Charging, High Speed Data Transmission - Black"/>
    <s v="Computers&amp;Accessories"/>
    <x v="0"/>
    <s v="Accessories&amp;Peripherals"/>
    <s v="USBCables"/>
    <n v="320"/>
    <n v="599"/>
    <n v="47"/>
    <n v="4.0999999999999996"/>
    <n v="491"/>
    <n v="4.0864086262327062"/>
    <s v="Medium (100-999)"/>
    <x v="0"/>
    <n v="45"/>
    <s v="Below median"/>
    <b v="0"/>
    <b v="0"/>
    <b v="0"/>
    <n v="1.07"/>
    <n v="1"/>
    <x v="0"/>
    <s v="https://www.amazon.in/DURACELL-Micro-braided-Charge-Cable/dp/B09C6FML9B/ref=sr_1_214?qid=1672909134&amp;s=electronics&amp;sr=1-214"/>
  </r>
  <r>
    <s v="B0B65MJ45G"/>
    <s v="Zebronics CU3100V Fast charging Type C cable with QC 18W support, 3A max capacity, 1 meter braided cable, Data transfer and Superior durability (Braided Black + White)"/>
    <s v="Computers&amp;Accessories"/>
    <x v="0"/>
    <s v="Accessories&amp;Peripherals"/>
    <s v="USBCables"/>
    <n v="139"/>
    <n v="549"/>
    <n v="75"/>
    <n v="3.9"/>
    <n v="61"/>
    <n v="4.0816893138958594"/>
    <s v="Low (&lt;100)"/>
    <x v="0"/>
    <n v="61.2"/>
    <s v="Top 25%"/>
    <b v="0"/>
    <b v="0"/>
    <b v="0"/>
    <n v="0.46"/>
    <n v="2"/>
    <x v="0"/>
    <s v="https://www.amazon.in/Zebronics-CU3100V-charging-capacity-durability/dp/B0B65MJ45G/ref=sr_1_215?qid=1672909134&amp;s=electronics&amp;sr=1-215"/>
  </r>
  <r>
    <s v="B08P9RYPLR"/>
    <s v="FLiX (Beetel) USB to iPhone Lightning Textured Pattern Data Sync &amp; 2A Fast Charging Cable, Made in India, 480Mbps Data Sync, Tough Cable, 1 Meter Long USB Cable for Apple Devices (Black)(XCD-L102)"/>
    <s v="Computers&amp;Accessories"/>
    <x v="0"/>
    <s v="Accessories&amp;Peripherals"/>
    <s v="USBCables"/>
    <n v="129"/>
    <n v="249"/>
    <n v="48"/>
    <n v="4"/>
    <n v="9378"/>
    <n v="4.0242334075324999"/>
    <s v="High (1,000+)"/>
    <x v="0"/>
    <n v="41.3"/>
    <s v="Below median"/>
    <b v="0"/>
    <b v="0"/>
    <b v="0"/>
    <n v="0.43"/>
    <n v="8"/>
    <x v="1"/>
    <s v="https://www.amazon.in/FLiX-Beetel-Durable-Lightning-Charge/dp/B08P9RYPLR/ref=sr_1_216?qid=1672909134&amp;s=electronics&amp;sr=1-216"/>
  </r>
  <r>
    <s v="B0B6F8HHR6"/>
    <s v="MI 108 cm (43 inches) 5A Series Full HD Smart Android LED TV L43M7-EAIN (Black)"/>
    <s v="Electronics"/>
    <x v="1"/>
    <s v="HomeTheater,TV&amp;Video"/>
    <s v="SmartTelevisions"/>
    <n v="24999"/>
    <n v="35999"/>
    <n v="31"/>
    <n v="4.2"/>
    <n v="32840"/>
    <n v="4.1881412223668004"/>
    <s v="High (1,000+)"/>
    <x v="1"/>
    <n v="46"/>
    <s v="Below median"/>
    <b v="0"/>
    <b v="0"/>
    <b v="0"/>
    <n v="1.32"/>
    <n v="5"/>
    <x v="1"/>
    <s v="https://www.amazon.in/MI-inches-Smart-Android-L43M7-EAIN/dp/B0B6F8HHR6/ref=sr_1_217?qid=1672909135&amp;s=electronics&amp;sr=1-217"/>
  </r>
  <r>
    <s v="B084MZXJN6"/>
    <s v="Belkin Apple Certified Lightning to USB Charge and Sync Cable for iPhone, iPad, Air Pods, 39.6 inch (100cm) – Black"/>
    <s v="Computers&amp;Accessories"/>
    <x v="0"/>
    <s v="Accessories&amp;Peripherals"/>
    <s v="USBCables"/>
    <n v="999"/>
    <n v="1699"/>
    <n v="41"/>
    <n v="4.4000000000000004"/>
    <n v="7318"/>
    <n v="4.2929144976924158"/>
    <s v="High (1,000+)"/>
    <x v="2"/>
    <n v="60.6"/>
    <s v="Top 25%"/>
    <b v="0"/>
    <b v="0"/>
    <b v="0"/>
    <n v="3.34"/>
    <n v="2"/>
    <x v="0"/>
    <s v="https://www.amazon.in/Belkin-Lightning-AirPods-MFi-Certified-Charging/dp/B084MZXJN6/ref=sr_1_218?qid=1672909135&amp;s=electronics&amp;sr=1-218"/>
  </r>
  <r>
    <s v="B08XMG618K"/>
    <s v="Time Office Scanner Replacement Cable for Startek FM220U (Type C) Ivory"/>
    <s v="Computers&amp;Accessories"/>
    <x v="0"/>
    <s v="Accessories&amp;Peripherals"/>
    <s v="USBCables"/>
    <n v="225"/>
    <n v="499"/>
    <n v="55"/>
    <n v="4.0999999999999996"/>
    <n v="789"/>
    <n v="4.0872984931738578"/>
    <s v="Medium (100-999)"/>
    <x v="0"/>
    <n v="52.3"/>
    <s v="Above median"/>
    <b v="0"/>
    <b v="0"/>
    <b v="0"/>
    <n v="0.75"/>
    <n v="1"/>
    <x v="0"/>
    <s v="https://www.amazon.in/Time-Office-Replacement-Startek-FM220U/dp/B08XMG618K/ref=sr_1_220?qid=1672909135&amp;s=electronics&amp;sr=1-220"/>
  </r>
  <r>
    <s v="B0BCKWZ884"/>
    <s v="Caldipree Silicone Case Cover Compatible for 2022 Samsung Smart TV Remote QLED TV BN68-13897A TM2280E (2022-BLACK)"/>
    <s v="Electronics"/>
    <x v="1"/>
    <s v="HomeTheater,TV&amp;Video"/>
    <s v="RemoteControls"/>
    <n v="547"/>
    <n v="2999"/>
    <n v="82"/>
    <n v="4.3"/>
    <n v="407"/>
    <n v="4.1056575348796773"/>
    <s v="Medium (100-999)"/>
    <x v="2"/>
    <n v="74.599999999999994"/>
    <s v="Top 25%"/>
    <b v="0"/>
    <b v="0"/>
    <b v="0"/>
    <n v="1.59"/>
    <n v="1"/>
    <x v="0"/>
    <s v="https://www.amazon.in/Caldipree-Silicone-Compatible-BN68-13897A-2022-BLACK/dp/B0BCKWZ884/ref=sr_1_221?qid=1672909135&amp;s=electronics&amp;sr=1-221"/>
  </r>
  <r>
    <s v="B00GGGOYEK"/>
    <s v="Storite USB 2.0 A to Mini 5 pin B Cable for External HDDS/Camera/Card Readers 35cm"/>
    <s v="Computers&amp;Accessories"/>
    <x v="0"/>
    <s v="Accessories&amp;Peripherals"/>
    <s v="USBCables"/>
    <n v="259"/>
    <n v="699"/>
    <n v="63"/>
    <n v="3.8"/>
    <n v="2399"/>
    <n v="3.9738114244389862"/>
    <s v="High (1,000+)"/>
    <x v="0"/>
    <n v="41.3"/>
    <s v="Below median"/>
    <b v="0"/>
    <b v="0"/>
    <b v="1"/>
    <n v="0.87"/>
    <n v="1"/>
    <x v="0"/>
    <s v="https://www.amazon.in/Storite%C2%AE-USB-2-0-Mini-0-88feet/dp/B00GGGOYEK/ref=sr_1_222?qid=1672909135&amp;s=electronics&amp;sr=1-222"/>
  </r>
  <r>
    <s v="B07ZR4S1G4"/>
    <s v="Universal Remote Control for All Sony TV for All LCD LED and Bravia TVs Remote"/>
    <s v="Electronics"/>
    <x v="1"/>
    <s v="HomeTheater,TV&amp;Video"/>
    <s v="RemoteControls"/>
    <n v="239"/>
    <n v="699"/>
    <n v="66"/>
    <n v="4.4000000000000004"/>
    <n v="2640"/>
    <n v="4.2146722517267969"/>
    <s v="High (1,000+)"/>
    <x v="0"/>
    <n v="83.7"/>
    <s v="Top 25%"/>
    <b v="1"/>
    <b v="0"/>
    <b v="0"/>
    <n v="0.69"/>
    <n v="1"/>
    <x v="0"/>
    <s v="https://www.amazon.in/Universal-Remote-Control-Sony-Bravia/dp/B07ZR4S1G4/ref=sr_1_223_mod_primary_new?qid=1672909135&amp;s=electronics&amp;sbo=RZvfv%2F%2FHxDF%2BO5021pAnSA%3D%3D&amp;sr=1-223"/>
  </r>
  <r>
    <s v="B09C635BMM"/>
    <s v="Cotbolt Silicone Case Cover Compatible for Samsung BN59-01312A QLED 8K 4K Smart TV Remote Shockproof Protective Remote Cover (Black)"/>
    <s v="Electronics"/>
    <x v="1"/>
    <s v="HomeTheater,TV&amp;Video"/>
    <s v="RemoteControls"/>
    <n v="349"/>
    <n v="999"/>
    <n v="65"/>
    <n v="4"/>
    <n v="839"/>
    <n v="4.0692033231947882"/>
    <s v="Medium (100-999)"/>
    <x v="0"/>
    <n v="56.9"/>
    <s v="Above median"/>
    <b v="0"/>
    <b v="0"/>
    <b v="0"/>
    <n v="1.01"/>
    <n v="1"/>
    <x v="0"/>
    <s v="https://www.amazon.in/Cotbolt-Compatible-BN59-01312A-Shockproof-Protective/dp/B09C635BMM/ref=sr_1_224?qid=1672909135&amp;s=electronics&amp;sr=1-224"/>
  </r>
  <r>
    <s v="B00GG59HU2"/>
    <s v="BlueRigger High Speed HDMI Cable with Ethernet - Supports 3D, 4K 60Hz and Audio Return - Latest Version (3 Feet / 0.9 Meter)"/>
    <s v="Electronics"/>
    <x v="1"/>
    <s v="HomeTheater,TV&amp;Video"/>
    <s v="HDMICables"/>
    <n v="467"/>
    <n v="599"/>
    <n v="22"/>
    <n v="4.4000000000000004"/>
    <n v="44054"/>
    <n v="4.3751851158424557"/>
    <s v="High (1,000+)"/>
    <x v="0"/>
    <n v="69.5"/>
    <s v="Top 25%"/>
    <b v="0"/>
    <b v="0"/>
    <b v="0"/>
    <n v="1.22"/>
    <n v="1"/>
    <x v="0"/>
    <s v="https://www.amazon.in/BlueRigger-High-Speed-Cable-Ethernet/dp/B00GG59HU2/ref=sr_1_225?qid=1672909135&amp;s=electronics&amp;sr=1-225"/>
  </r>
  <r>
    <s v="B00RGLI0ZS"/>
    <s v="Amkette 30 Pin to USB Charging &amp; Data Sync Cable for iPhone 3G/3GS/4/4s/iPad 1/2/3, iPod Nano 5th/6th Gen and iPod Touch 3rd/4th Gen -1.5m (Black)"/>
    <s v="Computers&amp;Accessories"/>
    <x v="0"/>
    <s v="Accessories&amp;Peripherals"/>
    <s v="USBCables"/>
    <n v="449"/>
    <n v="599"/>
    <n v="25"/>
    <n v="4"/>
    <n v="3231"/>
    <n v="4.0455335799929673"/>
    <s v="High (1,000+)"/>
    <x v="0"/>
    <n v="25.5"/>
    <s v="Bottom 25%"/>
    <b v="0"/>
    <b v="0"/>
    <b v="0"/>
    <n v="1.5"/>
    <n v="1"/>
    <x v="0"/>
    <s v="https://www.amazon.in/Amkette-Charging-Cable-iPhone-Touch/dp/B00RGLI0ZS/ref=sr_1_226?qid=1672909135&amp;s=electronics&amp;sr=1-226"/>
  </r>
  <r>
    <s v="B09ZPJT8B2"/>
    <s v="TCL 80 cm (32 inches) HD Ready Certified Android Smart LED TV 32S615 (Black)"/>
    <s v="Electronics"/>
    <x v="1"/>
    <s v="HomeTheater,TV&amp;Video"/>
    <s v="SmartTelevisions"/>
    <n v="11990"/>
    <n v="31990"/>
    <n v="63"/>
    <n v="4.2"/>
    <n v="64"/>
    <n v="4.0865645084753206"/>
    <s v="Low (&lt;100)"/>
    <x v="1"/>
    <n v="44"/>
    <s v="Below median"/>
    <b v="0"/>
    <b v="0"/>
    <b v="0"/>
    <n v="0.63"/>
    <n v="1"/>
    <x v="0"/>
    <s v="https://www.amazon.in/TCL-inches-Certified-Android-32S615/dp/B09ZPJT8B2/ref=sr_1_227?qid=1672909135&amp;s=electronics&amp;sr=1-227"/>
  </r>
  <r>
    <s v="B07HZ2QCGR"/>
    <s v="POPIO Type C Dash Charging USB Data Cable for OnePlus Devices"/>
    <s v="Computers&amp;Accessories"/>
    <x v="0"/>
    <s v="Accessories&amp;Peripherals"/>
    <s v="USBCables"/>
    <n v="350"/>
    <n v="599"/>
    <n v="42"/>
    <n v="3.9"/>
    <n v="8314"/>
    <n v="3.957524041873127"/>
    <s v="High (1,000+)"/>
    <x v="0"/>
    <n v="27.2"/>
    <s v="Bottom 25%"/>
    <b v="0"/>
    <b v="0"/>
    <b v="0"/>
    <n v="1.17"/>
    <n v="1"/>
    <x v="0"/>
    <s v="https://www.amazon.in/POPIO-Charging-Cable-OnePlus-Devices/dp/B07HZ2QCGR/ref=sr_1_228?qid=1672909135&amp;s=electronics&amp;sr=1-228"/>
  </r>
  <r>
    <s v="B095244Q22"/>
    <s v="MYVN LTG to USB for Fast Charging &amp; Data Sync USB Cable Compatible for iPhone 5/5s/6/6S/7/7+/8/8+/10/11, iPad Air/Mini, iPod and iOS Devices (1 M)"/>
    <s v="Computers&amp;Accessories"/>
    <x v="0"/>
    <s v="Accessories&amp;Peripherals"/>
    <s v="USBCables"/>
    <n v="252"/>
    <n v="999"/>
    <n v="75"/>
    <n v="3.7"/>
    <n v="2249"/>
    <n v="3.9407367698046771"/>
    <s v="High (1,000+)"/>
    <x v="0"/>
    <n v="44"/>
    <s v="Below median"/>
    <b v="0"/>
    <b v="0"/>
    <b v="1"/>
    <n v="0.84"/>
    <n v="1"/>
    <x v="0"/>
    <s v="https://www.amazon.in/MYVN-Fast-Charging-Compatible-iPhone-Devices/dp/B095244Q22/ref=sr_1_229?qid=1672909135&amp;s=electronics&amp;sr=1-229"/>
  </r>
  <r>
    <s v="B08CKW1KH9"/>
    <s v="Tata Sky Universal Remote Compatible for SD/HD"/>
    <s v="Electronics"/>
    <x v="1"/>
    <s v="HomeTheater,TV&amp;Video"/>
    <s v="RemoteControls"/>
    <n v="204"/>
    <n v="599"/>
    <n v="66"/>
    <n v="3.6"/>
    <n v="339"/>
    <n v="4.0445785911692838"/>
    <s v="Medium (100-999)"/>
    <x v="0"/>
    <n v="55.8"/>
    <s v="Above median"/>
    <b v="0"/>
    <b v="0"/>
    <b v="1"/>
    <n v="0.59"/>
    <n v="1"/>
    <x v="0"/>
    <s v="https://www.amazon.in/Tata-Sky-Universal-Remote-Compatible/dp/B08CKW1KH9/ref=sr_1_230?qid=1672909135&amp;s=electronics&amp;sr=1-230"/>
  </r>
  <r>
    <s v="B0BLV1GNLN"/>
    <s v="WZATCO Pixel | Portable LED Projector | Native 720p with Full HD 1080P Support | 2000 Lumens (200 ANSI) | 176&quot; Large Screen | Projector for Home and Outdoor | Compatible with TV Stick, PC, PS4"/>
    <s v="Electronics"/>
    <x v="1"/>
    <s v="HomeTheater,TV&amp;Video"/>
    <s v="Projectors"/>
    <n v="6490"/>
    <n v="9990"/>
    <n v="35"/>
    <n v="4"/>
    <n v="27"/>
    <n v="4.0840319545271981"/>
    <s v="Low (&lt;100)"/>
    <x v="3"/>
    <n v="29.8"/>
    <s v="Bottom 25%"/>
    <b v="0"/>
    <b v="0"/>
    <b v="0"/>
    <m/>
    <n v="1"/>
    <x v="0"/>
    <s v="https://www.amazon.in/WZATCO-Pixel-Portable-Projector-Compatible/dp/B0BLV1GNLN/ref=sr_1_231?qid=1672909135&amp;s=electronics&amp;sr=1-231"/>
  </r>
  <r>
    <s v="B08RHPDNVV"/>
    <s v="7SEVEN® Compatible Tata Sky Remote Control Replacement of Original dth SD HD tata Play Set top Box Remote - IR Learning Universal Remote for Any Brand TV - Pairing Must"/>
    <s v="Electronics"/>
    <x v="1"/>
    <s v="HomeTheater,TV&amp;Video"/>
    <s v="RemoteControls"/>
    <n v="235"/>
    <n v="599"/>
    <n v="61"/>
    <n v="3.5"/>
    <n v="197"/>
    <n v="4.0555471882007366"/>
    <s v="Medium (100-999)"/>
    <x v="0"/>
    <n v="54.1"/>
    <s v="Above median"/>
    <b v="0"/>
    <b v="0"/>
    <b v="1"/>
    <n v="0.68"/>
    <n v="1"/>
    <x v="0"/>
    <s v="https://www.amazon.in/Tata-Remote-Control-Compatible-tatasky/dp/B08RHPDNVV/ref=sr_1_232?qid=1672909135&amp;s=electronics&amp;sr=1-232"/>
  </r>
  <r>
    <s v="B00NH13Q8W"/>
    <s v="AmazonBasics USB 2.0 Extension Cable for Personal Computer, Printer, 2-Pack - A-Male to A-Female - 3.3 Feet (1 Meter, Black)"/>
    <s v="Computers&amp;Accessories"/>
    <x v="0"/>
    <s v="Accessories&amp;Peripherals"/>
    <s v="USBCables"/>
    <n v="299"/>
    <n v="800"/>
    <n v="63"/>
    <n v="4.5"/>
    <n v="74977"/>
    <n v="4.4801521357346799"/>
    <s v="High (1,000+)"/>
    <x v="0"/>
    <n v="84"/>
    <s v="Top 25%"/>
    <b v="0"/>
    <b v="0"/>
    <b v="0"/>
    <n v="1"/>
    <n v="2"/>
    <x v="0"/>
    <s v="https://www.amazon.in/AmazonBasics-Extension-Cable-2-Pack-Female/dp/B00NH13Q8W/ref=sr_1_233?qid=1672909135&amp;s=electronics&amp;sr=1-233"/>
  </r>
  <r>
    <s v="B0B8SSZ76F"/>
    <s v="Amazon Basics USB C to Lightning TPE MFi Certified Charging Cable (White, 1.2 meter)"/>
    <s v="Computers&amp;Accessories"/>
    <x v="0"/>
    <s v="Accessories&amp;Peripherals"/>
    <s v="USBCables"/>
    <n v="799"/>
    <n v="1999"/>
    <n v="60"/>
    <n v="4.2"/>
    <n v="8583"/>
    <n v="4.1648405566142168"/>
    <s v="High (1,000+)"/>
    <x v="2"/>
    <n v="60.4"/>
    <s v="Above median"/>
    <b v="0"/>
    <b v="0"/>
    <b v="0"/>
    <n v="2.67"/>
    <n v="1"/>
    <x v="0"/>
    <s v="https://www.amazon.in/Amazon-Basics-Lightning-Certified-Charging/dp/B0B8SSZ76F/ref=sr_1_234?qid=1672909135&amp;s=electronics&amp;sr=1-234"/>
  </r>
  <r>
    <s v="B0841KQR1Z"/>
    <s v="Crypo™ Universal Remote Compatible with Tata Sky Universal HD &amp; SD Set top Box (Also Works with All TV)"/>
    <s v="Electronics"/>
    <x v="1"/>
    <s v="HomeTheater,TV&amp;Video"/>
    <s v="RemoteControls"/>
    <n v="299"/>
    <n v="999"/>
    <n v="70"/>
    <n v="3.8"/>
    <n v="928"/>
    <n v="4.0283208808614894"/>
    <s v="Medium (100-999)"/>
    <x v="0"/>
    <n v="54.2"/>
    <s v="Above median"/>
    <b v="0"/>
    <b v="0"/>
    <b v="1"/>
    <n v="0.87"/>
    <n v="1"/>
    <x v="0"/>
    <s v="https://www.amazon.in/CrypoTM-Universal-Remote-Compatible-Sky/dp/B0841KQR1Z/ref=sr_1_235?qid=1672909135&amp;s=electronics&amp;sr=1-235"/>
  </r>
  <r>
    <s v="B0B467CCB9"/>
    <s v="Karbonn 80 cm (32 Inches) Millennium Series HD Ready LED TV KJW32NSHDF (Phantom Black) with Bezel-Less Design"/>
    <s v="Electronics"/>
    <x v="1"/>
    <s v="HomeTheater,TV&amp;Video"/>
    <s v="StandardTelevisions"/>
    <n v="6999"/>
    <n v="16990"/>
    <n v="59"/>
    <n v="3.8"/>
    <n v="110"/>
    <n v="4.0765497977226124"/>
    <s v="Medium (100-999)"/>
    <x v="3"/>
    <n v="39.4"/>
    <s v="Below median"/>
    <b v="0"/>
    <b v="0"/>
    <b v="1"/>
    <m/>
    <n v="1"/>
    <x v="0"/>
    <s v="https://www.amazon.in/Karbonn-Millennium-KJW32NSHDF-Phantom-Bezel-Less/dp/B0B467CCB9/ref=sr_1_236?qid=1672909135&amp;s=electronics&amp;sr=1-236"/>
  </r>
  <r>
    <s v="B095JQVC7N"/>
    <s v="OnePlus 138.7 cm (55 inches) U Series 4K LED Smart Android TV 55U1S (Black)"/>
    <s v="Electronics"/>
    <x v="1"/>
    <s v="HomeTheater,TV&amp;Video"/>
    <s v="SmartTelevisions"/>
    <n v="42999"/>
    <n v="59999"/>
    <n v="28"/>
    <n v="4.0999999999999996"/>
    <n v="6753"/>
    <n v="4.0945023148381736"/>
    <s v="High (1,000+)"/>
    <x v="1"/>
    <n v="31"/>
    <s v="Bottom 25%"/>
    <b v="0"/>
    <b v="1"/>
    <b v="0"/>
    <n v="2.2599999999999998"/>
    <n v="2"/>
    <x v="0"/>
    <s v="https://www.amazon.in/OnePlus-138-7-inches-Android-55U1S/dp/B095JQVC7N/ref=sr_1_237?qid=1672909135&amp;s=electronics&amp;sr=1-237"/>
  </r>
  <r>
    <s v="B08PPHFXG3"/>
    <s v="Posh 1.5 Meter High Speed Gold Plated HDMI Male to Female Extension Cable (Black)"/>
    <s v="Electronics"/>
    <x v="1"/>
    <s v="HomeTheater,TV&amp;Video"/>
    <s v="HDMICables"/>
    <n v="173"/>
    <n v="999"/>
    <n v="83"/>
    <n v="4.3"/>
    <n v="1237"/>
    <n v="4.1379216104972132"/>
    <s v="High (1,000+)"/>
    <x v="0"/>
    <n v="80.8"/>
    <s v="Top 25%"/>
    <b v="0"/>
    <b v="0"/>
    <b v="0"/>
    <n v="0.45"/>
    <n v="1"/>
    <x v="0"/>
    <s v="https://www.amazon.in/Meter-Speed-Plated-Female-Extension/dp/B08PPHFXG3/ref=sr_1_238?qid=1672909135&amp;s=electronics&amp;sr=1-238"/>
  </r>
  <r>
    <s v="B06XR9PR5X"/>
    <s v="Amazon Basics HDMI Coupler,Black"/>
    <s v="Electronics"/>
    <x v="1"/>
    <s v="HomeAudio"/>
    <s v="Adapters"/>
    <n v="209"/>
    <n v="600"/>
    <n v="65"/>
    <n v="4.4000000000000004"/>
    <n v="18872"/>
    <n v="4.3475773306978649"/>
    <s v="High (1,000+)"/>
    <x v="0"/>
    <n v="89.6"/>
    <s v="Top 25%"/>
    <b v="1"/>
    <b v="0"/>
    <b v="0"/>
    <m/>
    <n v="1"/>
    <x v="0"/>
    <s v="https://www.amazon.in/AmazonBasics-AZHDAD01-HDMI-Coupler-Black/dp/B06XR9PR5X/ref=sr_1_239?qid=1672909135&amp;s=electronics&amp;sr=1-239"/>
  </r>
  <r>
    <s v="B09JSW16QD"/>
    <s v="boAt LTG 550v3 Lightning Apple MFi Certified Cable with Spaceship Grade Aluminium Housing,Stress Resistance, Rapid 2.4A Charging &amp; 480mbps Data Sync, 1m Length &amp; 10000+ Bends Lifespan(Mercurial Black)"/>
    <s v="Computers&amp;Accessories"/>
    <x v="0"/>
    <s v="Accessories&amp;Peripherals"/>
    <s v="USBCables"/>
    <n v="848.99"/>
    <n v="1490"/>
    <n v="43"/>
    <n v="3.9"/>
    <n v="356"/>
    <n v="4.0686752681026626"/>
    <s v="Medium (100-999)"/>
    <x v="2"/>
    <n v="32.299999999999997"/>
    <s v="Bottom 25%"/>
    <b v="0"/>
    <b v="1"/>
    <b v="0"/>
    <n v="2.84"/>
    <n v="1"/>
    <x v="0"/>
    <s v="https://www.amazon.in/boAt-LTG-550v3-Lightning-Resistance/dp/B09JSW16QD/ref=sr_1_240?qid=1672909135&amp;s=electronics&amp;sr=1-240"/>
  </r>
  <r>
    <s v="B07JH1CBGW"/>
    <s v="Wayona Nylon Braided Usb Syncing And Charging Cable Sync And Charging Cable For Iphone, Ipad (3 Ft, Black) - Pack Of 2"/>
    <s v="Computers&amp;Accessories"/>
    <x v="0"/>
    <s v="Accessories&amp;Peripherals"/>
    <s v="USBCables"/>
    <n v="649"/>
    <n v="1999"/>
    <n v="68"/>
    <n v="4.2"/>
    <n v="24269"/>
    <n v="4.1845152450522027"/>
    <s v="High (1,000+)"/>
    <x v="2"/>
    <n v="67.599999999999994"/>
    <s v="Top 25%"/>
    <b v="0"/>
    <b v="0"/>
    <b v="0"/>
    <n v="2.17"/>
    <n v="6"/>
    <x v="1"/>
    <s v="https://www.amazon.in/Wayona-Braided-WN3LB2-Syncing-Charging/dp/B07JH1CBGW/ref=sr_1_241?qid=1672909136&amp;s=electronics&amp;sr=1-241"/>
  </r>
  <r>
    <s v="B09127FZCK"/>
    <s v="Astigo Compatible Remote for Airtel Digital Set Top Box (Pairing Required with TV Remote)"/>
    <s v="Electronics"/>
    <x v="1"/>
    <s v="HomeTheater,TV&amp;Video"/>
    <s v="RemoteControls"/>
    <n v="299"/>
    <n v="899"/>
    <n v="67"/>
    <n v="3.8"/>
    <n v="425"/>
    <n v="4.0557466487595972"/>
    <s v="Medium (100-999)"/>
    <x v="0"/>
    <n v="56.6"/>
    <s v="Above median"/>
    <b v="0"/>
    <b v="0"/>
    <b v="1"/>
    <n v="0.87"/>
    <n v="1"/>
    <x v="0"/>
    <s v="https://www.amazon.in/Astigo-Compatible-Remote-Airtel-Set/dp/B09127FZCK/ref=sr_1_242?qid=1672909136&amp;s=electronics&amp;sr=1-242"/>
  </r>
  <r>
    <s v="B083GQGT3Z"/>
    <s v="Caprigo Heavy Duty TV Wall Mount Stand for 12 to 27 inches LED/LCD/Monitor Screen's, Full Motion Rotatable Universal TV &amp; Monitor Wall Mount Bracket with Swivel &amp; Tilt Adjustments (Single Arm - M416)"/>
    <s v="Electronics"/>
    <x v="1"/>
    <s v="HomeTheater,TV&amp;Video"/>
    <s v="TVWall&amp;CeilingMounts"/>
    <n v="399"/>
    <n v="799"/>
    <n v="50"/>
    <n v="4.0999999999999996"/>
    <n v="1161"/>
    <n v="4.0882581683113264"/>
    <s v="High (1,000+)"/>
    <x v="0"/>
    <n v="54.2"/>
    <s v="Above median"/>
    <b v="0"/>
    <b v="0"/>
    <b v="0"/>
    <m/>
    <n v="1"/>
    <x v="0"/>
    <s v="https://www.amazon.in/Caprigo-Universal-Monitor-Rotatable-Black-M416/dp/B083GQGT3Z/ref=sr_1_243?qid=1672909136&amp;s=electronics&amp;sr=1-243"/>
  </r>
  <r>
    <s v="B09Q8WQ5QJ"/>
    <s v="Portronics Konnect L 60W PD Type C to Type C Mobile Charging Cable, 1.2M, Fast Data Sync, Tangle Resistant, TPE+Nylon Braided(Grey)"/>
    <s v="Computers&amp;Accessories"/>
    <x v="0"/>
    <s v="Accessories&amp;Peripherals"/>
    <s v="USBCables"/>
    <n v="249"/>
    <n v="499"/>
    <n v="50"/>
    <n v="4.0999999999999996"/>
    <n v="1508"/>
    <n v="4.0890312288551023"/>
    <s v="High (1,000+)"/>
    <x v="0"/>
    <n v="50.1"/>
    <s v="Below median"/>
    <b v="0"/>
    <b v="0"/>
    <b v="0"/>
    <n v="0.83"/>
    <n v="1"/>
    <x v="0"/>
    <s v="https://www.amazon.in/Portronics-Konnect-Charging-Resistant-Braided/dp/B09Q8WQ5QJ/ref=sr_1_244?qid=1672909136&amp;s=electronics&amp;sr=1-244"/>
  </r>
  <r>
    <s v="B07YZG8PPY"/>
    <s v="TATA SKY HD Connection with 1 month basic package and free installation"/>
    <s v="Electronics"/>
    <x v="1"/>
    <s v="HomeTheater,TV&amp;Video"/>
    <s v="SatelliteReceivers"/>
    <n v="1249"/>
    <n v="2299"/>
    <n v="46"/>
    <n v="4.3"/>
    <n v="7636"/>
    <n v="4.2289107419117267"/>
    <s v="High (1,000+)"/>
    <x v="4"/>
    <n v="65.7"/>
    <s v="Top 25%"/>
    <b v="0"/>
    <b v="0"/>
    <b v="0"/>
    <m/>
    <n v="1"/>
    <x v="0"/>
    <s v="https://www.amazon.in/TATASKY-Connection-Month-Basic-Installation/dp/B07YZG8PPY/ref=sr_1_245?qid=1672909136&amp;s=electronics&amp;sr=1-245"/>
  </r>
  <r>
    <s v="B09H39KTTB"/>
    <s v="Remote Compatible for Samsung LED/LCD Remote Control Works with Samsung LED/LCD TV by Trend Trail"/>
    <s v="Electronics"/>
    <x v="1"/>
    <s v="HomeTheater,TV&amp;Video"/>
    <s v="RemoteControls"/>
    <n v="213"/>
    <n v="499"/>
    <n v="57"/>
    <n v="3.7"/>
    <n v="246"/>
    <n v="4.0610300839917208"/>
    <s v="Medium (100-999)"/>
    <x v="0"/>
    <n v="52.7"/>
    <s v="Above median"/>
    <b v="0"/>
    <b v="0"/>
    <b v="1"/>
    <n v="0.62"/>
    <n v="1"/>
    <x v="0"/>
    <s v="https://www.amazon.in/Remote-Compatible-Samsung-Control-Works/dp/B09H39KTTB/ref=sr_1_246?qid=1672909136&amp;s=electronics&amp;sr=1-246"/>
  </r>
  <r>
    <s v="B08DCVRW98"/>
    <s v="SoniVision SA-D10 SA-D100 SA-D40 Home Theater Systems Remote Compatible with Sony RM-ANU156"/>
    <s v="Electronics"/>
    <x v="1"/>
    <s v="HomeTheater,TV&amp;Video"/>
    <s v="RemoteControls"/>
    <n v="209"/>
    <n v="499"/>
    <n v="58"/>
    <n v="4"/>
    <n v="479"/>
    <n v="4.0750769990995677"/>
    <s v="Medium (100-999)"/>
    <x v="0"/>
    <n v="55.4"/>
    <s v="Above median"/>
    <b v="0"/>
    <b v="0"/>
    <b v="0"/>
    <n v="0.61"/>
    <n v="1"/>
    <x v="0"/>
    <s v="https://www.amazon.in/SoniVision-SA-D100-Theater-Compatible-RM-ANU156/dp/B08DCVRW98/ref=sr_1_247?qid=1672909136&amp;s=electronics&amp;sr=1-247"/>
  </r>
  <r>
    <s v="B0718ZN31Q"/>
    <s v="Rts™ High Speed 3D Full HD 1080p Support (10 Meters) HDMI Male to HDMI Male Cable TV Lead 1.4V for All Hdmi Devices- Black (10M - 30 FEET)"/>
    <s v="Electronics"/>
    <x v="1"/>
    <s v="HomeTheater,TV&amp;Video"/>
    <s v="HDMICables"/>
    <n v="598"/>
    <n v="4999"/>
    <n v="88"/>
    <n v="4.2"/>
    <n v="910"/>
    <n v="4.1071030693805914"/>
    <s v="Medium (100-999)"/>
    <x v="2"/>
    <n v="74.900000000000006"/>
    <s v="Top 25%"/>
    <b v="0"/>
    <b v="0"/>
    <b v="0"/>
    <n v="1.56"/>
    <n v="1"/>
    <x v="0"/>
    <s v="https://www.amazon.in/RTSTM-Support-10-Meters-Devices/dp/B0718ZN31Q/ref=sr_1_249?qid=1672909136&amp;s=electronics&amp;sr=1-249"/>
  </r>
  <r>
    <s v="B0162LYSFS"/>
    <s v="boAt LTG 500 Apple MFI Certified for iPhone, iPad and iPod 2Mtr Data Cable(Metallic Silver)"/>
    <s v="Computers&amp;Accessories"/>
    <x v="0"/>
    <s v="Accessories&amp;Peripherals"/>
    <s v="USBCables"/>
    <n v="799"/>
    <n v="1749"/>
    <n v="54"/>
    <n v="4.0999999999999996"/>
    <n v="5626"/>
    <n v="4.0938423700996767"/>
    <s v="High (1,000+)"/>
    <x v="2"/>
    <n v="46.6"/>
    <s v="Below median"/>
    <b v="0"/>
    <b v="1"/>
    <b v="0"/>
    <n v="2.67"/>
    <n v="1"/>
    <x v="0"/>
    <s v="https://www.amazon.in/LTG-500-2Mtr-Cable-Metallic-Silver/dp/B0162LYSFS/ref=sr_1_250?qid=1672909136&amp;s=electronics&amp;sr=1-250"/>
  </r>
  <r>
    <s v="B07PFJ5VQD"/>
    <s v="Agaro Blaze USBA to micro +Type C 2in1 Braided 1.2M Cable"/>
    <s v="Computers&amp;Accessories"/>
    <x v="0"/>
    <s v="Accessories&amp;Peripherals"/>
    <s v="USBCables"/>
    <n v="159"/>
    <n v="595"/>
    <n v="73"/>
    <n v="4.3"/>
    <n v="14184"/>
    <n v="4.2548485271044951"/>
    <s v="High (1,000+)"/>
    <x v="0"/>
    <n v="84.7"/>
    <s v="Top 25%"/>
    <b v="0"/>
    <b v="0"/>
    <b v="0"/>
    <n v="0.53"/>
    <n v="2"/>
    <x v="1"/>
    <s v="https://www.amazon.in/AGARO-Type-C-Charging-Braided-1-2Meters/dp/B07PFJ5VQD/ref=sr_1_251?qid=1672909136&amp;s=electronics&amp;sr=1-251"/>
  </r>
  <r>
    <s v="B01J8S6X2I"/>
    <s v="AmazonBasics 6 Feet DisplayPort to DisplayPort Cable - (Not HDMI Cable) (Gold)"/>
    <s v="Computers&amp;Accessories"/>
    <x v="0"/>
    <s v="Accessories&amp;Peripherals"/>
    <s v="DVICables"/>
    <n v="499"/>
    <n v="1100"/>
    <n v="55"/>
    <n v="4.4000000000000004"/>
    <n v="25177"/>
    <n v="4.3589985691418587"/>
    <s v="High (1,000+)"/>
    <x v="0"/>
    <n v="73"/>
    <s v="Top 25%"/>
    <b v="0"/>
    <b v="0"/>
    <b v="0"/>
    <m/>
    <n v="1"/>
    <x v="0"/>
    <s v="https://www.amazon.in/AmazonBasics-Feet-DisplayPort-Cable/dp/B01J8S6X2I/ref=sr_1_252?qid=1672909136&amp;s=electronics&amp;sr=1-252"/>
  </r>
  <r>
    <s v="B09MJ77786"/>
    <s v="MI 108 cm (43 inches) 5X Series 4K Ultra HD LED Smart Android TV L43M6-ES (Grey)"/>
    <s v="Electronics"/>
    <x v="1"/>
    <s v="HomeTheater,TV&amp;Video"/>
    <s v="SmartTelevisions"/>
    <n v="31999"/>
    <n v="49999"/>
    <n v="36"/>
    <n v="4.3"/>
    <n v="21252"/>
    <n v="4.2676063519830816"/>
    <s v="High (1,000+)"/>
    <x v="1"/>
    <n v="53.3"/>
    <s v="Above median"/>
    <b v="0"/>
    <b v="0"/>
    <b v="0"/>
    <n v="1.69"/>
    <n v="2"/>
    <x v="0"/>
    <s v="https://www.amazon.in/Inches-Ultra-Smart-Android-L43M6-ES/dp/B09MJ77786/ref=sr_1_253?qid=1672909136&amp;s=electronics&amp;sr=1-253"/>
  </r>
  <r>
    <s v="B09NNGHG22"/>
    <s v="Sansui 140cm (55 inches) 4K Ultra HD Certified Android LED TV with Dolby Audio &amp; Dolby Vision JSW55ASUHD (Mystique Black)"/>
    <s v="Electronics"/>
    <x v="1"/>
    <s v="HomeTheater,TV&amp;Video"/>
    <s v="SmartTelevisions"/>
    <n v="32990"/>
    <n v="56790"/>
    <n v="42"/>
    <n v="4.3"/>
    <n v="567"/>
    <n v="4.1128396100429194"/>
    <s v="Medium (100-999)"/>
    <x v="1"/>
    <n v="42"/>
    <s v="Below median"/>
    <b v="0"/>
    <b v="0"/>
    <b v="0"/>
    <n v="1.74"/>
    <n v="1"/>
    <x v="0"/>
    <s v="https://www.amazon.in/Sansui-Certified-Android-JSW55ASUHD-Mystique/dp/B09NNGHG22/ref=sr_1_254?qid=1672909136&amp;s=electronics&amp;sr=1-254"/>
  </r>
  <r>
    <s v="B07V5YF4ND"/>
    <s v="LOHAYA LCD/LED Remote Compatible for Sony Bravia Smart LCD LED UHD OLED QLED 4K Ultra HD TV Remote Control with YouTube &amp; Netflix Function [ Compatible for Sony Tv Remote Control ]"/>
    <s v="Electronics"/>
    <x v="1"/>
    <s v="HomeTheater,TV&amp;Video"/>
    <s v="RemoteControls"/>
    <n v="299"/>
    <n v="1199"/>
    <n v="75"/>
    <n v="3.5"/>
    <n v="466"/>
    <n v="4.0202055319098529"/>
    <s v="Medium (100-999)"/>
    <x v="0"/>
    <n v="54.3"/>
    <s v="Above median"/>
    <b v="0"/>
    <b v="0"/>
    <b v="1"/>
    <n v="0.87"/>
    <n v="1"/>
    <x v="0"/>
    <s v="https://www.amazon.in/LOHAYA-Remote-Compatible-Smart-Control/dp/B07V5YF4ND/ref=sr_1_255?qid=1672909136&amp;s=electronics&amp;sr=1-255"/>
  </r>
  <r>
    <s v="B0B65P827P"/>
    <s v="Zebronics CU3100V Fast charging Type C cable with QC 18W support, 3A max capacity, 1 meter braided cable, Data transfer and Superior durability (Braided Black )"/>
    <s v="Computers&amp;Accessories"/>
    <x v="0"/>
    <s v="Accessories&amp;Peripherals"/>
    <s v="USBCables"/>
    <n v="128.31"/>
    <n v="549"/>
    <n v="77"/>
    <n v="3.9"/>
    <n v="61"/>
    <n v="4.0816893138958594"/>
    <s v="Low (&lt;100)"/>
    <x v="0"/>
    <n v="62.2"/>
    <s v="Top 25%"/>
    <b v="0"/>
    <b v="0"/>
    <b v="0"/>
    <n v="0.43"/>
    <n v="2"/>
    <x v="1"/>
    <s v="https://www.amazon.in/Zebronics-charging-capacity-durability-Black/dp/B0B65P827P/ref=sr_1_256?qid=1672909136&amp;s=electronics&amp;sr=1-256"/>
  </r>
  <r>
    <s v="B084MZYBTV"/>
    <s v="Belkin USB C to USB-C Fast Charging Type C Cable, 60W PD, 3.3 feet (1 meter) for Laptop, Personal Computer, Tablet, Smartphone - White, USB-IF Certified"/>
    <s v="Computers&amp;Accessories"/>
    <x v="0"/>
    <s v="Accessories&amp;Peripherals"/>
    <s v="USBCables"/>
    <n v="599"/>
    <n v="849"/>
    <n v="29"/>
    <n v="4.5"/>
    <n v="474"/>
    <n v="4.1311080117268526"/>
    <s v="Medium (100-999)"/>
    <x v="2"/>
    <n v="44.6"/>
    <s v="Below median"/>
    <b v="0"/>
    <b v="0"/>
    <b v="0"/>
    <n v="2"/>
    <n v="1"/>
    <x v="0"/>
    <s v="https://www.amazon.in/Belkin-USB-C-Charging-USB-IF-Certified/dp/B084MZYBTV/ref=sr_1_257?qid=1672909136&amp;s=electronics&amp;sr=1-257"/>
  </r>
  <r>
    <s v="B097ZQTDVZ"/>
    <s v="7SEVEN® TCL Remote Control Smart TV RC802V Remote Compatible for TCL TV Remote Original 55EP680 40A325 49S6500 55P8S 55P8 50P8 65P8 40S6500 43S6500FS 49S6800FS 49S6800 49S6510FS(Without Voice Function/Google Assistant and Non-Bluetooth remote)"/>
    <s v="Electronics"/>
    <x v="1"/>
    <s v="HomeTheater,TV&amp;Video"/>
    <s v="RemoteControls"/>
    <n v="399"/>
    <n v="899"/>
    <n v="56"/>
    <n v="3.4"/>
    <n v="431"/>
    <n v="4.014269486510269"/>
    <s v="Medium (100-999)"/>
    <x v="0"/>
    <n v="44.4"/>
    <s v="Below median"/>
    <b v="0"/>
    <b v="0"/>
    <b v="1"/>
    <n v="1.1599999999999999"/>
    <n v="1"/>
    <x v="0"/>
    <s v="https://www.amazon.in/RC802V-Compatible-43S6500FS-49S6800FS-Non-Bluetooth/dp/B097ZQTDVZ/ref=sr_1_258?qid=1672909136&amp;s=electronics&amp;sr=1-258"/>
  </r>
  <r>
    <s v="B0B5F3YZY4"/>
    <s v="Wayona 3in1 Nylon Braided 66W USB Fast Charging Cable with Type C, Lightening and Micro USB Port, Compatible with iPhone, iPad, Samsung Galaxy, OnePlus, Mi, Oppo, Vivo, iQOO, Xiaomi (1M, Black)"/>
    <s v="Computers&amp;Accessories"/>
    <x v="0"/>
    <s v="Accessories&amp;Peripherals"/>
    <s v="USBCables"/>
    <n v="449"/>
    <n v="1099"/>
    <n v="59"/>
    <n v="4"/>
    <n v="242"/>
    <n v="4.0795203125685644"/>
    <s v="Medium (100-999)"/>
    <x v="0"/>
    <n v="45.1"/>
    <s v="Below median"/>
    <b v="0"/>
    <b v="0"/>
    <b v="0"/>
    <n v="1.5"/>
    <n v="1"/>
    <x v="0"/>
    <s v="https://www.amazon.in/Wayona-Braided-Charging-Lightening-Compatible/dp/B0B5F3YZY4/ref=sr_1_259?qid=1672909136&amp;s=electronics&amp;sr=1-259"/>
  </r>
  <r>
    <s v="B09G5TSGXV"/>
    <s v="Hi-Mobiler iPhone Charger Lightning Cable,2 Pack Apple MFi Certified USB iPhone Fast Chargering Cord,Data Sync Transfer for 13/12/11 Pro Max Xs X XR 8 7 6 5 5s iPad iPod More Model Cell Phone Cables"/>
    <s v="Computers&amp;Accessories"/>
    <x v="0"/>
    <s v="Accessories&amp;Peripherals"/>
    <s v="USBCables"/>
    <n v="254"/>
    <n v="799"/>
    <n v="68"/>
    <n v="4"/>
    <n v="2905"/>
    <n v="4.0477598937654022"/>
    <s v="High (1,000+)"/>
    <x v="0"/>
    <n v="50.5"/>
    <s v="Below median"/>
    <b v="0"/>
    <b v="0"/>
    <b v="0"/>
    <n v="0.85"/>
    <n v="1"/>
    <x v="0"/>
    <s v="https://www.amazon.in/Charging-Certified-Lightning-Transfer-Iphone12/dp/B09G5TSGXV/ref=sr_1_260?qid=1672909136&amp;s=electronics&amp;sr=1-260"/>
  </r>
  <r>
    <s v="B006LW0WDQ"/>
    <s v="Amazon Basics 16-Gauge Speaker Wire - 50 Feet"/>
    <s v="Electronics"/>
    <x v="1"/>
    <s v="HomeTheater,TV&amp;Video"/>
    <s v="SpeakerCables"/>
    <n v="399"/>
    <n v="795"/>
    <n v="50"/>
    <n v="4.4000000000000004"/>
    <n v="12091"/>
    <n v="4.3251546404062724"/>
    <s v="High (1,000+)"/>
    <x v="0"/>
    <n v="79.900000000000006"/>
    <s v="Top 25%"/>
    <b v="0"/>
    <b v="0"/>
    <b v="0"/>
    <m/>
    <n v="1"/>
    <x v="0"/>
    <s v="https://www.amazon.in/AmazonBasics-16-Gauge-Speaker-Wire-Feet/dp/B006LW0WDQ/ref=sr_1_263?qid=1672909136&amp;s=electronics&amp;sr=1-263"/>
  </r>
  <r>
    <s v="B09YLX91QR"/>
    <s v="Ambrane 60W / 3A Fast Charging Output Cable with Type-C to USB for Mobile, Neckband, True Wireless Earphone Charging, 480mbps Data Sync Speed, 1m Length (ACT - AZ10, White)"/>
    <s v="Computers&amp;Accessories"/>
    <x v="0"/>
    <s v="Accessories&amp;Peripherals"/>
    <s v="USBCables"/>
    <n v="179"/>
    <n v="399"/>
    <n v="55"/>
    <n v="4"/>
    <n v="1423"/>
    <n v="4.0614095249601423"/>
    <s v="High (1,000+)"/>
    <x v="0"/>
    <n v="47.9"/>
    <s v="Below median"/>
    <b v="0"/>
    <b v="0"/>
    <b v="0"/>
    <n v="0.6"/>
    <n v="3"/>
    <x v="1"/>
    <s v="https://www.amazon.in/Ambrane-Charging-Neckband-Wireless-ACT/dp/B09YLX91QR/ref=sr_1_272?qid=1672909138&amp;s=electronics&amp;sr=1-272"/>
  </r>
  <r>
    <s v="B081FJWN52"/>
    <s v="Wayona Usb Type C To Usb Nylon Braided Quick Charger Fast Charging Short Cable For Smartphone (Samsung Galaxy S21/S20/S10/S9/S9+/Note 9/S8/Note 8, Lg G7 G5 G6, Moto G6 G7) (0.25M,Grey)"/>
    <s v="Computers&amp;Accessories"/>
    <x v="0"/>
    <s v="Accessories&amp;Peripherals"/>
    <s v="USBCables"/>
    <n v="339"/>
    <n v="999"/>
    <n v="66"/>
    <n v="4.3"/>
    <n v="6255"/>
    <n v="4.2191104658528404"/>
    <s v="High (1,000+)"/>
    <x v="0"/>
    <n v="75.7"/>
    <s v="Top 25%"/>
    <b v="0"/>
    <b v="0"/>
    <b v="0"/>
    <n v="1.1299999999999999"/>
    <n v="2"/>
    <x v="1"/>
    <s v="https://www.amazon.in/Wayona-Braided-Charger-Charging-Samsung/dp/B081FJWN52/ref=sr_1_273?qid=1672909138&amp;s=electronics&amp;sr=1-273"/>
  </r>
  <r>
    <s v="B0758F7KK7"/>
    <s v="Caprigo Heavy Duty TV Wall Mount Bracket for 14 to 32 Inch LED/HD/Smart TV’s, Universal Fixed TV Wall Mount Stand (M452)"/>
    <s v="Electronics"/>
    <x v="1"/>
    <s v="HomeTheater,TV&amp;Video"/>
    <s v="TVWall&amp;CeilingMounts"/>
    <n v="399"/>
    <n v="999"/>
    <n v="60"/>
    <n v="4"/>
    <n v="1236"/>
    <n v="4.0637069304152877"/>
    <s v="High (1,000+)"/>
    <x v="0"/>
    <n v="53.2"/>
    <s v="Above median"/>
    <b v="0"/>
    <b v="0"/>
    <b v="0"/>
    <m/>
    <n v="1"/>
    <x v="0"/>
    <s v="https://www.amazon.in/Maxicom-B-28-Universal-Bracket-inches/dp/B0758F7KK7/ref=sr_1_274?qid=1672909138&amp;s=electronics&amp;sr=1-274"/>
  </r>
  <r>
    <s v="B09L835C3V"/>
    <s v="Smashtronics® - Case for Firetv Remote, Fire Stick Remote Cover Case, Silicone Cover for TV Firestick 4K/TV 2nd Gen(3rd Gen) Remote Control - Light Weight/Anti Slip/Shockproof (Black)"/>
    <s v="Electronics"/>
    <x v="1"/>
    <s v="HomeTheater,TV&amp;Video"/>
    <s v="RemoteControls"/>
    <n v="199"/>
    <n v="399"/>
    <n v="50"/>
    <n v="4.2"/>
    <n v="1335"/>
    <n v="4.1148482769359127"/>
    <s v="High (1,000+)"/>
    <x v="0"/>
    <n v="65.400000000000006"/>
    <s v="Top 25%"/>
    <b v="0"/>
    <b v="0"/>
    <b v="0"/>
    <n v="0.57999999999999996"/>
    <n v="2"/>
    <x v="0"/>
    <s v="https://www.amazon.in/Smashtronics%C2%AE-Silicone-Firestick-Control-Shockproof/dp/B09L835C3V/ref=sr_1_276?qid=1672909138&amp;s=electronics&amp;sr=1-276"/>
  </r>
  <r>
    <s v="B098TV3L96"/>
    <s v="Electvision Remote Control for led Smart tv Compatible with VU Smart Led (Without Voice)"/>
    <s v="Electronics"/>
    <x v="1"/>
    <s v="HomeTheater,TV&amp;Video"/>
    <s v="RemoteControls"/>
    <n v="349"/>
    <n v="1999"/>
    <n v="83"/>
    <n v="3.8"/>
    <n v="197"/>
    <n v="4.0704733152369794"/>
    <s v="Medium (100-999)"/>
    <x v="0"/>
    <n v="62.5"/>
    <s v="Top 25%"/>
    <b v="0"/>
    <b v="0"/>
    <b v="1"/>
    <n v="1.01"/>
    <n v="1"/>
    <x v="0"/>
    <s v="https://www.amazon.in/Electvision-Remote-Control-Compatible-Without/dp/B098TV3L96/ref=sr_1_279?qid=1672909138&amp;s=electronics&amp;sr=1-279"/>
  </r>
  <r>
    <s v="B08NCKT9FG"/>
    <s v="Boat A 350 Type C Cable 1.5m(Jet Black)"/>
    <s v="Computers&amp;Accessories"/>
    <x v="0"/>
    <s v="Accessories&amp;Peripherals"/>
    <s v="USBCables"/>
    <n v="299"/>
    <n v="798"/>
    <n v="63"/>
    <n v="4.4000000000000004"/>
    <n v="28791"/>
    <n v="4.3635504351814962"/>
    <s v="High (1,000+)"/>
    <x v="0"/>
    <n v="82"/>
    <s v="Top 25%"/>
    <b v="0"/>
    <b v="0"/>
    <b v="0"/>
    <n v="1"/>
    <n v="2"/>
    <x v="1"/>
    <s v="https://www.amazon.in/Boat-Type-Cable-1-5m-Black/dp/B08NCKT9FG/ref=sr_1_284?qid=1672909138&amp;s=electronics&amp;sr=1-284"/>
  </r>
  <r>
    <s v="B0B4T6MR8N"/>
    <s v="pTron Solero M241 2.4A Micro USB Data &amp; Charging Cable, Made in India, 480Mbps Data Sync, Durable 1-Meter Long USB Cable for Micro USB Devices (White)"/>
    <s v="Computers&amp;Accessories"/>
    <x v="0"/>
    <s v="Accessories&amp;Peripherals"/>
    <s v="USBCables"/>
    <n v="89"/>
    <n v="800"/>
    <n v="89"/>
    <n v="3.9"/>
    <n v="1075"/>
    <n v="4.0436049801924163"/>
    <s v="High (1,000+)"/>
    <x v="0"/>
    <n v="59.7"/>
    <s v="Above median"/>
    <b v="0"/>
    <b v="0"/>
    <b v="0"/>
    <n v="0.3"/>
    <n v="4"/>
    <x v="1"/>
    <s v="https://www.amazon.in/pTron-Charging-480Mbps-Durable-1-Meter/dp/B0B4T6MR8N/ref=sr_1_287?qid=1672909138&amp;s=electronics&amp;sr=1-287"/>
  </r>
  <r>
    <s v="B01GGKZ4NU"/>
    <s v="AmazonBasics USB Type-C to USB Type-C 2.0 Cable for Charging Adapter, Smartphone - 9 Feet (2.7 Meters) - White"/>
    <s v="Computers&amp;Accessories"/>
    <x v="0"/>
    <s v="Accessories&amp;Peripherals"/>
    <s v="USBCables"/>
    <n v="549"/>
    <n v="995"/>
    <n v="45"/>
    <n v="4.2"/>
    <n v="29746"/>
    <n v="4.1870462447343453"/>
    <s v="High (1,000+)"/>
    <x v="2"/>
    <n v="57.4"/>
    <s v="Above median"/>
    <b v="0"/>
    <b v="0"/>
    <b v="0"/>
    <n v="1.84"/>
    <n v="2"/>
    <x v="1"/>
    <s v="https://www.amazon.in/AmazonBasics-USB-Type-C-2-0-Cable/dp/B01GGKZ4NU/ref=sr_1_288?qid=1672909138&amp;s=electronics&amp;sr=1-288"/>
  </r>
  <r>
    <s v="B09BW2GP18"/>
    <s v="Croma 3A Fast charge 1m Type-C to All Type-C Phones sync and charge cable, Made in India, 480Mbps Data transfer rate, Tested Durability with 8000+ bends (12 months warranty) - CRCMA0106sTC10, Black"/>
    <s v="Computers&amp;Accessories"/>
    <x v="0"/>
    <s v="Accessories&amp;Peripherals"/>
    <s v="USBCables"/>
    <n v="129"/>
    <n v="1000"/>
    <n v="87"/>
    <n v="3.9"/>
    <n v="295"/>
    <n v="4.0712111131684079"/>
    <s v="Medium (100-999)"/>
    <x v="0"/>
    <n v="62.2"/>
    <s v="Top 25%"/>
    <b v="0"/>
    <b v="0"/>
    <b v="0"/>
    <n v="0.43"/>
    <n v="1"/>
    <x v="0"/>
    <s v="https://www.amazon.in/Croma-transfer-Durability-warranty-CRCMA0106sTC10/dp/B09BW2GP18/ref=sr_1_289?qid=1672909138&amp;s=electronics&amp;sr=1-289"/>
  </r>
  <r>
    <s v="B09WN3SRC7"/>
    <s v="Sony Bravia 164 cm (65 inches) 4K Ultra HD Smart LED Google TV KD-65X74K (Black)"/>
    <s v="Electronics"/>
    <x v="1"/>
    <s v="HomeTheater,TV&amp;Video"/>
    <s v="SmartTelevisions"/>
    <n v="77990"/>
    <n v="139900"/>
    <n v="44"/>
    <n v="4.7"/>
    <n v="5935"/>
    <n v="4.4612466194050846"/>
    <s v="High (1,000+)"/>
    <x v="1"/>
    <n v="62.4"/>
    <s v="Top 25%"/>
    <b v="0"/>
    <b v="0"/>
    <b v="0"/>
    <n v="4.1100000000000003"/>
    <n v="1"/>
    <x v="0"/>
    <s v="https://www.amazon.in/Sony-Bravia-inches-Google-KD-65X74K/dp/B09WN3SRC7/ref=sr_1_291?qid=1672909138&amp;s=electronics&amp;sr=1-291"/>
  </r>
  <r>
    <s v="B09B125CFJ"/>
    <s v="7SEVEN® Compatible for Mi tv Remote Control Original Suitable with Smart Android 4K LED Non Voice Command Xiaomi Redmi Remote of 4A Model 32 43 55 65 inches"/>
    <s v="Electronics"/>
    <x v="1"/>
    <s v="HomeTheater,TV&amp;Video"/>
    <s v="RemoteControls"/>
    <n v="349"/>
    <n v="799"/>
    <n v="56"/>
    <n v="3.6"/>
    <n v="323"/>
    <n v="4.0463196895559461"/>
    <s v="Medium (100-999)"/>
    <x v="0"/>
    <n v="49.5"/>
    <s v="Below median"/>
    <b v="0"/>
    <b v="0"/>
    <b v="1"/>
    <n v="1.01"/>
    <n v="1"/>
    <x v="0"/>
    <s v="https://www.amazon.in/7SEVEN-Compatible-Non-Voice-Infrared-Universal/dp/B09B125CFJ/ref=sr_1_290?qid=1672909139&amp;s=electronics&amp;sr=1-290"/>
  </r>
  <r>
    <s v="B09RQRZW2X"/>
    <s v="7SEVEN® Compatible Vu Smart Tv Remote Control Suitable for Original 4K Android LED Ultra HD UHD Vu Tv Remote with Non Voice Feature without google assistant"/>
    <s v="Electronics"/>
    <x v="1"/>
    <s v="HomeTheater,TV&amp;Video"/>
    <s v="RemoteControls"/>
    <n v="499"/>
    <n v="899"/>
    <n v="44"/>
    <n v="3.7"/>
    <n v="185"/>
    <n v="4.0666090162585977"/>
    <s v="Medium (100-999)"/>
    <x v="0"/>
    <n v="44.7"/>
    <s v="Below median"/>
    <b v="0"/>
    <b v="0"/>
    <b v="1"/>
    <n v="1.45"/>
    <n v="1"/>
    <x v="0"/>
    <s v="https://www.amazon.in/7SEVENTM-Compatible-Android-Original-Replacement/dp/B09RQRZW2X/ref=sr_1_291?qid=1672909139&amp;s=electronics&amp;sr=1-291"/>
  </r>
  <r>
    <s v="B07924P3C5"/>
    <s v="Storite High Speed Micro USB 3.0 Cable A to Micro B for External &amp; Desktop Hard Drives 45cm"/>
    <s v="Computers&amp;Accessories"/>
    <x v="0"/>
    <s v="Accessories&amp;Peripherals"/>
    <s v="USBCables"/>
    <n v="299"/>
    <n v="799"/>
    <n v="63"/>
    <n v="4.2"/>
    <n v="2117"/>
    <n v="4.1261738398980894"/>
    <s v="High (1,000+)"/>
    <x v="0"/>
    <n v="65.3"/>
    <s v="Top 25%"/>
    <b v="0"/>
    <b v="0"/>
    <b v="0"/>
    <n v="1"/>
    <n v="1"/>
    <x v="0"/>
    <s v="https://www.amazon.in/Storite-Feet-Micro-USB-Cable/dp/B07924P3C5/ref=sr_1_292?qid=1672909139&amp;s=electronics&amp;sr=1-292"/>
  </r>
  <r>
    <s v="B08N1WL9XW"/>
    <s v="FLiX (Beetel) 3in1 (Type C|Micro|Iphone Lightening) Textured Pattern 3A Fast Charging Cable with QC &amp; PD Support for Type C,Micro USB &amp; Lightning Iphone Cable,Made in India,1.5 Meter Long Cable(T101)"/>
    <s v="Computers&amp;Accessories"/>
    <x v="0"/>
    <s v="Accessories&amp;Peripherals"/>
    <s v="USBCables"/>
    <n v="182"/>
    <n v="599"/>
    <n v="70"/>
    <n v="4"/>
    <n v="9378"/>
    <n v="4.0242334075324999"/>
    <s v="High (1,000+)"/>
    <x v="0"/>
    <n v="50.2"/>
    <s v="Below median"/>
    <b v="0"/>
    <b v="0"/>
    <b v="0"/>
    <n v="0.61"/>
    <n v="8"/>
    <x v="1"/>
    <s v="https://www.amazon.in/FLiX-Textured-charging-Lightning-Smartphones/dp/B08N1WL9XW/ref=sr_1_293?qid=1672909139&amp;s=electronics&amp;sr=1-293"/>
  </r>
  <r>
    <s v="B07VVXJ2P5"/>
    <s v="SVM Products Unbreakable Set Top Box Stand with Dual Remote Holder (Black)"/>
    <s v="Electronics"/>
    <x v="1"/>
    <s v="HomeTheater,TV&amp;Video"/>
    <s v="TVWall&amp;CeilingMounts"/>
    <n v="96"/>
    <n v="399"/>
    <n v="76"/>
    <n v="3.6"/>
    <n v="1796"/>
    <n v="3.928045172561089"/>
    <s v="High (1,000+)"/>
    <x v="0"/>
    <n v="51"/>
    <s v="Above median"/>
    <b v="0"/>
    <b v="0"/>
    <b v="1"/>
    <m/>
    <n v="1"/>
    <x v="0"/>
    <s v="https://www.amazon.in/SVM-Products-Premium-Quality-Unbreakable/dp/B07VVXJ2P5/ref=sr_1_300?qid=1672909139&amp;s=electronics&amp;sr=1-300"/>
  </r>
  <r>
    <s v="B0BC8BQ432"/>
    <s v="VU 164 cm (65 inches) The GloLED Series 4K Smart LED Google TV 65GloLED (Grey)"/>
    <s v="Electronics"/>
    <x v="1"/>
    <s v="HomeTheater,TV&amp;Video"/>
    <s v="SmartTelevisions"/>
    <n v="54990"/>
    <n v="85000"/>
    <n v="35"/>
    <n v="4.3"/>
    <n v="3587"/>
    <n v="4.1897461176516524"/>
    <s v="High (1,000+)"/>
    <x v="1"/>
    <n v="47.4"/>
    <s v="Below median"/>
    <b v="0"/>
    <b v="0"/>
    <b v="0"/>
    <n v="2.9"/>
    <n v="2"/>
    <x v="1"/>
    <s v="https://www.amazon.in/VU-inches-GloLED-Google-65GloLED/dp/B0BC8BQ432/ref=sr_1_302?qid=1672909139&amp;s=electronics&amp;sr=1-302"/>
  </r>
  <r>
    <s v="B06XFTHCNY"/>
    <s v="CableCreation RCA to 3.5mm Male Audio Cable, 3.5mm to 2RCA Cable Male RCA Cable,Y Splitter Stereo Jack Cable for Home Theater,Subwoofer, Receiver, Speakers and More (3Feet/0.9Meter,Black)"/>
    <s v="Electronics"/>
    <x v="1"/>
    <s v="HomeTheater,TV&amp;Video"/>
    <s v="RCACables"/>
    <n v="439"/>
    <n v="758"/>
    <n v="42"/>
    <n v="4.2"/>
    <n v="4296"/>
    <n v="4.1461362650221272"/>
    <s v="High (1,000+)"/>
    <x v="0"/>
    <n v="61.9"/>
    <s v="Top 25%"/>
    <b v="0"/>
    <b v="0"/>
    <b v="0"/>
    <m/>
    <n v="1"/>
    <x v="0"/>
    <s v="https://www.amazon.in/Cablecreation-Audio-Cable-3-5mm-2-Male/dp/B06XFTHCNY/ref=sr_1_305?qid=1672909139&amp;s=electronics&amp;sr=1-305"/>
  </r>
  <r>
    <s v="B08CT62BM1"/>
    <s v="Wayona USB Type C Fast Charging Cable Charger Cord 3A QC 3.0 Data Cable Compatible with Samsung Galaxy S10e S10 S9 S8 S20 Plus, Note 10 9 8, M51 A40 A50 A70, Moto G7 G8 (1M, Grey)"/>
    <s v="Computers&amp;Accessories"/>
    <x v="0"/>
    <s v="Accessories&amp;Peripherals"/>
    <s v="USBCables"/>
    <n v="299"/>
    <n v="999"/>
    <n v="70"/>
    <n v="4.3"/>
    <n v="2651"/>
    <n v="4.1736554286553078"/>
    <s v="High (1,000+)"/>
    <x v="0"/>
    <n v="72.3"/>
    <s v="Top 25%"/>
    <b v="0"/>
    <b v="0"/>
    <b v="0"/>
    <n v="1"/>
    <n v="2"/>
    <x v="1"/>
    <s v="https://www.amazon.in/Wayona-Charging-Charger-Samsung-Galaxy/dp/B08CT62BM1/ref=sr_1_326?qid=1672909140&amp;s=electronics&amp;sr=1-326"/>
  </r>
  <r>
    <s v="B07CRL2GY6"/>
    <s v="boAt Rugged V3 Braided Micro USB Cable (Pearl White)"/>
    <s v="Computers&amp;Accessories"/>
    <x v="0"/>
    <s v="Accessories&amp;Peripherals"/>
    <s v="USBCables"/>
    <n v="299"/>
    <n v="799"/>
    <n v="63"/>
    <n v="4.2"/>
    <n v="94363"/>
    <n v="4.1955764718822417"/>
    <s v="High (1,000+)"/>
    <x v="0"/>
    <n v="73.599999999999994"/>
    <s v="Top 25%"/>
    <b v="0"/>
    <b v="0"/>
    <b v="0"/>
    <n v="1"/>
    <n v="4"/>
    <x v="1"/>
    <s v="https://www.amazon.in/Rugged-V3-Braided-Micro-Cable/dp/B07CRL2GY6/ref=sr_1_329?qid=1672909140&amp;s=electronics&amp;sr=1-329"/>
  </r>
  <r>
    <s v="B07DWFX9YS"/>
    <s v="Amazon Basics USB A to Lightning PVC Molded Nylon MFi Certified Charging Cable (Black, 1.2 meter)"/>
    <s v="Computers&amp;Accessories"/>
    <x v="0"/>
    <s v="Accessories&amp;Peripherals"/>
    <s v="USBCables"/>
    <n v="789"/>
    <n v="1999"/>
    <n v="61"/>
    <n v="4.2"/>
    <n v="34540"/>
    <n v="4.1886675567307829"/>
    <s v="High (1,000+)"/>
    <x v="2"/>
    <n v="64.8"/>
    <s v="Top 25%"/>
    <b v="0"/>
    <b v="0"/>
    <b v="0"/>
    <n v="2.64"/>
    <n v="1"/>
    <x v="0"/>
    <s v="https://www.amazon.in/AmazonBasics-Certified-Lightning-Charge-Collection/dp/B07DWFX9YS/ref=sr_1_333?qid=1672909140&amp;s=electronics&amp;sr=1-333"/>
  </r>
  <r>
    <s v="B01D5H90L4"/>
    <s v="AmazonBasics - High-Speed Male to Female HDMI Extension Cable - 6 Feet"/>
    <s v="Electronics"/>
    <x v="1"/>
    <s v="HomeTheater,TV&amp;Video"/>
    <s v="HDMICables"/>
    <n v="299"/>
    <n v="700"/>
    <n v="57"/>
    <n v="4.4000000000000004"/>
    <n v="8714"/>
    <n v="4.3048963324394514"/>
    <s v="High (1,000+)"/>
    <x v="0"/>
    <n v="83.6"/>
    <s v="Top 25%"/>
    <b v="1"/>
    <b v="0"/>
    <b v="0"/>
    <n v="0.78"/>
    <n v="1"/>
    <x v="0"/>
    <s v="https://www.amazon.in/AmazonBasics-High-Speed-Female-Extension-Cable/dp/B01D5H90L4/ref=sr_1_335?qid=1672909140&amp;s=electronics&amp;sr=1-335"/>
  </r>
  <r>
    <s v="B07F1P8KNV"/>
    <s v="Wayona Nylon Braided Usb Type C 3Ft 1M 3A Fast Charger Cable For Samsung Galaxy S9 S8 (Wc3Cb1, Black)"/>
    <s v="Computers&amp;Accessories"/>
    <x v="0"/>
    <s v="Accessories&amp;Peripherals"/>
    <s v="USBCables"/>
    <n v="325"/>
    <n v="1099"/>
    <n v="70"/>
    <n v="4.2"/>
    <n v="10576"/>
    <n v="4.1697275929616637"/>
    <s v="High (1,000+)"/>
    <x v="0"/>
    <n v="71.2"/>
    <s v="Top 25%"/>
    <b v="0"/>
    <b v="0"/>
    <b v="0"/>
    <n v="1.0900000000000001"/>
    <n v="2"/>
    <x v="0"/>
    <s v="https://www.amazon.in/Wayona-Charger-Samsung-Galaxy-Wc3Cb1/dp/B07F1P8KNV/ref=sr_1_338?qid=1672909141&amp;s=electronics&amp;sr=1-338"/>
  </r>
  <r>
    <s v="B084N1BM9L"/>
    <s v="Belkin Apple Certified Lightning to USB Charge and Sync Tough Braided Cable for iPhone, iPad, Air Pods, 3.3 feet (1 meters) – Black"/>
    <s v="Computers&amp;Accessories"/>
    <x v="0"/>
    <s v="Accessories&amp;Peripherals"/>
    <s v="USBCables"/>
    <n v="1299"/>
    <n v="1999"/>
    <n v="35"/>
    <n v="4.4000000000000004"/>
    <n v="7318"/>
    <n v="4.2929144976924158"/>
    <s v="High (1,000+)"/>
    <x v="4"/>
    <n v="57.4"/>
    <s v="Above median"/>
    <b v="0"/>
    <b v="0"/>
    <b v="0"/>
    <n v="4.34"/>
    <n v="2"/>
    <x v="1"/>
    <s v="https://www.amazon.in/Belkin-Certified-Lightning-Braided-Meters-Black/dp/B084N1BM9L/ref=sr_1_340?qid=1672909141&amp;s=electronics&amp;sr=1-340"/>
  </r>
  <r>
    <s v="B09F6D21BY"/>
    <s v="7SEVEN Compatible LG TV Remote Suitable for LG Non Magic Smart tv Remote Control (Mouse &amp; Voice Non-Support) MR20GA Prime Video and Netflix Hotkeys"/>
    <s v="Electronics"/>
    <x v="1"/>
    <s v="HomeTheater,TV&amp;Video"/>
    <s v="RemoteControls"/>
    <n v="790"/>
    <n v="1999"/>
    <n v="60"/>
    <n v="3"/>
    <n v="103"/>
    <n v="4.0557338227087856"/>
    <s v="Medium (100-999)"/>
    <x v="2"/>
    <n v="48.5"/>
    <s v="Below median"/>
    <b v="0"/>
    <b v="1"/>
    <b v="1"/>
    <n v="2.2999999999999998"/>
    <n v="1"/>
    <x v="0"/>
    <s v="https://www.amazon.in/Compatible-Suitable-Control-Non-Support-Netflix/dp/B09F6D21BY/ref=sr_1_344?qid=1672909141&amp;s=electronics&amp;sr=1-344"/>
  </r>
  <r>
    <s v="B09LQQYNZQ"/>
    <s v="Realme Smart TV Stick 4K"/>
    <s v="Electronics"/>
    <x v="1"/>
    <s v="HomeAudio"/>
    <s v="StreamingClients"/>
    <n v="4699"/>
    <n v="4699"/>
    <n v="0"/>
    <n v="4.5"/>
    <n v="224"/>
    <n v="4.1079741857972696"/>
    <s v="Medium (100-999)"/>
    <x v="3"/>
    <n v="32.9"/>
    <s v="Bottom 25%"/>
    <b v="0"/>
    <b v="0"/>
    <b v="0"/>
    <m/>
    <n v="1"/>
    <x v="0"/>
    <s v="https://www.amazon.in/Realme-Smart-TV-Stick-4K/dp/B09LQQYNZQ/ref=sr_1_352?qid=1672909141&amp;s=electronics&amp;sr=1-352"/>
  </r>
  <r>
    <s v="B0BC9BW512"/>
    <s v="Acer 100 cm (40 inches) P Series Full HD Android Smart LED TV AR40AR2841FDFL (Black)"/>
    <s v="Electronics"/>
    <x v="1"/>
    <s v="HomeTheater,TV&amp;Video"/>
    <s v="SmartTelevisions"/>
    <n v="18999"/>
    <n v="24990"/>
    <n v="24"/>
    <n v="4.3"/>
    <n v="4702"/>
    <n v="4.2042694892410433"/>
    <s v="High (1,000+)"/>
    <x v="1"/>
    <n v="45.7"/>
    <s v="Below median"/>
    <b v="0"/>
    <b v="0"/>
    <b v="0"/>
    <n v="1"/>
    <n v="5"/>
    <x v="1"/>
    <s v="https://www.amazon.in/Acer-inches-Android-Smart-AR40AR2841FDFL/dp/B0BC9BW512/ref=sr_1_367?qid=1672909143&amp;s=electronics&amp;sr=1-367"/>
  </r>
  <r>
    <s v="B0B61HYR92"/>
    <s v="Lapster usb 2.0 mantra cable, mantra mfs 100 data cable (black)"/>
    <s v="Computers&amp;Accessories"/>
    <x v="0"/>
    <s v="Accessories&amp;Peripherals"/>
    <s v="USBCables"/>
    <n v="199"/>
    <n v="999"/>
    <n v="80"/>
    <n v="4.2"/>
    <n v="85"/>
    <n v="4.0871836495596661"/>
    <s v="Low (&lt;100)"/>
    <x v="0"/>
    <n v="63.2"/>
    <s v="Top 25%"/>
    <b v="0"/>
    <b v="0"/>
    <b v="0"/>
    <n v="0.67"/>
    <n v="1"/>
    <x v="0"/>
    <s v="https://www.amazon.in/Lapster-mantra-cable-data-black/dp/B0B61HYR92/ref=sr_1_371?qid=1672909143&amp;s=electronics&amp;sr=1-371"/>
  </r>
  <r>
    <s v="B075ZTJ9XR"/>
    <s v="AmazonBasics High-Speed Braided HDMI Cable - 3 Feet - Supports Ethernet, 3D, 4K and Audio Return (Black)"/>
    <s v="Electronics"/>
    <x v="1"/>
    <s v="HomeTheater,TV&amp;Video"/>
    <s v="HDMICables"/>
    <n v="269"/>
    <n v="650"/>
    <n v="59"/>
    <n v="4.4000000000000004"/>
    <n v="35877"/>
    <n v="4.3700661989096936"/>
    <s v="High (1,000+)"/>
    <x v="0"/>
    <n v="86.8"/>
    <s v="Top 25%"/>
    <b v="1"/>
    <b v="0"/>
    <b v="0"/>
    <n v="0.7"/>
    <n v="1"/>
    <x v="0"/>
    <s v="https://www.amazon.in/AmazonBasics-Braided-HDMI-Cable-3-Feet/dp/B075ZTJ9XR/ref=sr_1_380?qid=1672909143&amp;s=electronics&amp;sr=1-380"/>
  </r>
  <r>
    <s v="B0978V2CP6"/>
    <s v="Cubetek 3 in 1 LCD Display V5.0 Bluetooth Transmitter Receiver, Bypass Audio Adapter with Aux, Optical, Dual Link Support for TV, Home Stereo, PC, Headphones, Speakers, Model: CB-BT27"/>
    <s v="Electronics"/>
    <x v="1"/>
    <s v="HomeTheater,TV&amp;Video"/>
    <s v="AVReceivers&amp;Amplifiers"/>
    <n v="1990"/>
    <n v="3100"/>
    <n v="36"/>
    <n v="4"/>
    <n v="897"/>
    <n v="4.068341901852305"/>
    <s v="Medium (100-999)"/>
    <x v="4"/>
    <n v="31"/>
    <s v="Bottom 25%"/>
    <b v="0"/>
    <b v="0"/>
    <b v="0"/>
    <m/>
    <n v="1"/>
    <x v="0"/>
    <s v="https://www.amazon.in/Bluetooth-Transmitter-Receiver-Headphones-Speakers/dp/B0978V2CP6/ref=sr_1_385?qid=1672909144&amp;s=electronics&amp;sr=1-385"/>
  </r>
  <r>
    <s v="B09LRZYBH1"/>
    <s v="KRISONS Thunder Speaker, Multimedia Home Theatre, Floor Standing Speaker, LED Display with Bluetooth, FM, USB, Micro SD Card, AUX Connectivity"/>
    <s v="Electronics"/>
    <x v="1"/>
    <s v="HomeAudio"/>
    <s v="TowerSpeakers"/>
    <n v="2299"/>
    <n v="3999"/>
    <n v="43"/>
    <n v="3.8"/>
    <n v="282"/>
    <n v="4.0647889953469676"/>
    <s v="Medium (100-999)"/>
    <x v="4"/>
    <n v="32.1"/>
    <s v="Bottom 25%"/>
    <b v="0"/>
    <b v="0"/>
    <b v="1"/>
    <m/>
    <n v="1"/>
    <x v="0"/>
    <s v="https://www.amazon.in/KRISONS-Multimedia-Standing-Bluetooth-Connectivity/dp/B09LRZYBH1/ref=sr_1_388?qid=1672909144&amp;s=electronics&amp;sr=1-388"/>
  </r>
  <r>
    <s v="B0B997FBZT"/>
    <s v="Acer 139 cm (55 inches) H Series 4K Ultra HD Android Smart LED TV AR55AR2851UDPRO (Black)"/>
    <s v="Electronics"/>
    <x v="1"/>
    <s v="HomeTheater,TV&amp;Video"/>
    <s v="SmartTelevisions"/>
    <n v="35999"/>
    <n v="49990"/>
    <n v="28"/>
    <n v="4.3"/>
    <n v="1611"/>
    <n v="4.1492023991217666"/>
    <s v="High (1,000+)"/>
    <x v="1"/>
    <n v="39.9"/>
    <s v="Below median"/>
    <b v="0"/>
    <b v="0"/>
    <b v="0"/>
    <n v="1.9"/>
    <n v="2"/>
    <x v="1"/>
    <s v="https://www.amazon.in/Acer-inches-Ultra-Android-AR55AR2851UDPRO/dp/B0B997FBZT/ref=sr_1_394?qid=1672909144&amp;s=electronics&amp;sr=1-394"/>
  </r>
  <r>
    <s v="B098LCVYPW"/>
    <s v="Dealfreez Case Compatible for Fire TV Stick 4K All Alexa Voice Remote Shockproof Silicone Anti-Lost Cover with Loop (C-Black)"/>
    <s v="Electronics"/>
    <x v="1"/>
    <s v="HomeTheater,TV&amp;Video"/>
    <s v="RemoteControls"/>
    <n v="349"/>
    <n v="999"/>
    <n v="65"/>
    <n v="4.2"/>
    <n v="513"/>
    <n v="4.0984771586202351"/>
    <s v="Medium (100-999)"/>
    <x v="0"/>
    <n v="69"/>
    <s v="Top 25%"/>
    <b v="0"/>
    <b v="0"/>
    <b v="0"/>
    <n v="1.01"/>
    <n v="1"/>
    <x v="0"/>
    <s v="https://www.amazon.in/Dealfreez-Compatible-Shockproof-Silicone-Anti-Lost/dp/B098LCVYPW/ref=sr_1_395?qid=1672909144&amp;s=electronics&amp;sr=1-395"/>
  </r>
  <r>
    <s v="B09HV71RL1"/>
    <s v="Wayona Type C to Lightning MFI Certified 20W Fast charging Nylon Braided USB C Cable for iPhone 14 Pro, 14 Pro Max, 14, 14 Plus, 13, 13 Pro, 13 Pro Max, 13 Mini, 12, 12 Pro, 11, 11 Pro Max, iPhone 12 Mini (2M, Black)"/>
    <s v="Computers&amp;Accessories"/>
    <x v="0"/>
    <s v="Accessories&amp;Peripherals"/>
    <s v="USBCables"/>
    <n v="719"/>
    <n v="1499"/>
    <n v="52"/>
    <n v="4.0999999999999996"/>
    <n v="1045"/>
    <n v="4.0879748500636124"/>
    <s v="High (1,000+)"/>
    <x v="2"/>
    <n v="42.7"/>
    <s v="Below median"/>
    <b v="0"/>
    <b v="1"/>
    <b v="0"/>
    <n v="2.4"/>
    <n v="2"/>
    <x v="1"/>
    <s v="https://www.amazon.in/Wayona-Lightning-Certified-charging-Braided/dp/B09HV71RL1/ref=sr_1_400?qid=1672909144&amp;s=electronics&amp;sr=1-400"/>
  </r>
  <r>
    <s v="B08PZ6HZLT"/>
    <s v="VW 80 cm (32 inches) HD Ready Android Smart LED TV VW32PRO (Black)"/>
    <s v="Electronics"/>
    <x v="1"/>
    <s v="HomeTheater,TV&amp;Video"/>
    <s v="SmartTelevisions"/>
    <n v="8999"/>
    <n v="18999"/>
    <n v="53"/>
    <n v="4"/>
    <n v="6347"/>
    <n v="4.0314989951709599"/>
    <s v="High (1,000+)"/>
    <x v="3"/>
    <n v="29.9"/>
    <s v="Bottom 25%"/>
    <b v="0"/>
    <b v="0"/>
    <b v="0"/>
    <n v="0.47"/>
    <n v="1"/>
    <x v="0"/>
    <s v="https://www.amazon.in/inches-Ready-Smart-VW32PRO-Black/dp/B08PZ6HZLT/ref=sr_1_404?qid=1672909144&amp;s=electronics&amp;sr=1-404"/>
  </r>
  <r>
    <s v="B075TJHWVC"/>
    <s v="Airtel Digital TV HD Set Top Box with 1 Month Basic Pack with Recording + Free Standard Installation"/>
    <s v="Electronics"/>
    <x v="1"/>
    <s v="HomeTheater,TV&amp;Video"/>
    <s v="SatelliteReceivers"/>
    <n v="917"/>
    <n v="2299"/>
    <n v="60"/>
    <n v="4.2"/>
    <n v="3300"/>
    <n v="4.1385400483795847"/>
    <s v="High (1,000+)"/>
    <x v="2"/>
    <n v="66.2"/>
    <s v="Top 25%"/>
    <b v="0"/>
    <b v="0"/>
    <b v="0"/>
    <m/>
    <n v="1"/>
    <x v="0"/>
    <s v="https://www.amazon.in/Airtel-Digital-TV-Month-Recording/dp/B075TJHWVC/ref=sr_1_407_mod_primary_new?qid=1672909144&amp;s=electronics&amp;sbo=RZvfv%2F%2FHxDF%2BO5021pAnSA%3D%3D&amp;sr=1-407"/>
  </r>
  <r>
    <s v="B09LV13JFB"/>
    <s v="LOHAYA Voice Assistant Remote Compatible for Airtel Xstream Set-Top Box Remote Control with Netflix Function (Black) (Non - Voice)"/>
    <s v="Electronics"/>
    <x v="1"/>
    <s v="HomeTheater,TV&amp;Video"/>
    <s v="RemoteControls"/>
    <n v="399"/>
    <n v="999"/>
    <n v="60"/>
    <n v="3.3"/>
    <n v="23"/>
    <n v="4.0798676771049571"/>
    <s v="Low (&lt;100)"/>
    <x v="0"/>
    <n v="55.7"/>
    <s v="Above median"/>
    <b v="0"/>
    <b v="0"/>
    <b v="1"/>
    <n v="1.1599999999999999"/>
    <n v="1"/>
    <x v="0"/>
    <s v="https://www.amazon.in/LOHAYA-Assistant-Compatible-Xstream-Function/dp/B09LV13JFB/ref=sr_1_408?qid=1672909144&amp;s=electronics&amp;sr=1-408"/>
  </r>
  <r>
    <s v="B092BL5DCX"/>
    <s v="Samsung 138 cm (55 inches) Crystal 4K Series Ultra HD Smart LED TV UA55AUE60AKLXL (Black)"/>
    <s v="Electronics"/>
    <x v="1"/>
    <s v="HomeTheater,TV&amp;Video"/>
    <s v="SmartTelevisions"/>
    <n v="45999"/>
    <n v="69900"/>
    <n v="34"/>
    <n v="4.3"/>
    <n v="7109"/>
    <n v="4.2254646637244919"/>
    <s v="High (1,000+)"/>
    <x v="1"/>
    <n v="50"/>
    <s v="Below median"/>
    <b v="0"/>
    <b v="0"/>
    <b v="0"/>
    <n v="2.42"/>
    <n v="4"/>
    <x v="1"/>
    <s v="https://www.amazon.in/Samsung-inches-Crystal-Ultra-UA55AUE60AKLXL/dp/B092BL5DCX/ref=sr_1_411?qid=1672909145&amp;s=electronics&amp;sr=1-411"/>
  </r>
  <r>
    <s v="B09VH568H7"/>
    <s v="Amazon Brand - Solimo 3A Fast Charging Tough Type C USB Data Cable  – 1 Meter"/>
    <s v="Computers&amp;Accessories"/>
    <x v="0"/>
    <s v="Accessories&amp;Peripherals"/>
    <s v="USBCables"/>
    <n v="119"/>
    <n v="299"/>
    <n v="60"/>
    <n v="3.8"/>
    <n v="51"/>
    <n v="4.080828396926921"/>
    <s v="Low (&lt;100)"/>
    <x v="0"/>
    <n v="55.7"/>
    <s v="Above median"/>
    <b v="0"/>
    <b v="0"/>
    <b v="1"/>
    <n v="0.4"/>
    <n v="1"/>
    <x v="0"/>
    <s v="https://www.amazon.in/Amazon-Brand-Solimo-Charging-Cable/dp/B09VH568H7/ref=sr_1_415?qid=1672909145&amp;s=electronics&amp;sr=1-415"/>
  </r>
  <r>
    <s v="B09HQSV46W"/>
    <s v="Mi 100 cm (40 inches) Horizon Edition Full HD Android LED TV 4A | L40M6-EI (Black)"/>
    <s v="Electronics"/>
    <x v="1"/>
    <s v="HomeTheater,TV&amp;Video"/>
    <s v="SmartTelevisions"/>
    <n v="21999"/>
    <n v="29999"/>
    <n v="27"/>
    <n v="4.2"/>
    <n v="32840"/>
    <n v="4.1881412223668004"/>
    <s v="High (1,000+)"/>
    <x v="1"/>
    <n v="44.5"/>
    <s v="Below median"/>
    <b v="0"/>
    <b v="0"/>
    <b v="0"/>
    <n v="1.1599999999999999"/>
    <n v="5"/>
    <x v="1"/>
    <s v="https://www.amazon.in/inches-Horizon-Android-L40M6-EI-Black/dp/B09HQSV46W/ref=sr_1_420?qid=1672909145&amp;s=electronics&amp;sr=1-420"/>
  </r>
  <r>
    <s v="B08TZD7FQN"/>
    <s v="Astigo Compatible Remote Control for Mi Smart LED 4A (43&quot;/32&quot;)"/>
    <s v="Electronics"/>
    <x v="1"/>
    <s v="HomeTheater,TV&amp;Video"/>
    <s v="RemoteControls"/>
    <n v="299"/>
    <n v="599"/>
    <n v="50"/>
    <n v="3.7"/>
    <n v="708"/>
    <n v="4.0237197386602874"/>
    <s v="Medium (100-999)"/>
    <x v="0"/>
    <n v="43.7"/>
    <s v="Below median"/>
    <b v="0"/>
    <b v="0"/>
    <b v="1"/>
    <n v="0.87"/>
    <n v="1"/>
    <x v="0"/>
    <s v="https://www.amazon.in/Astigo-Compatible-Remote-Control-Smart/dp/B08TZD7FQN/ref=sr_1_423?qid=1672909145&amp;s=electronics&amp;sr=1-423"/>
  </r>
  <r>
    <s v="B0B21XL94T"/>
    <s v="Toshiba 108 cm (43 inches) V Series Full HD Smart Android LED TV 43V35KP (Silver)"/>
    <s v="Electronics"/>
    <x v="1"/>
    <s v="HomeTheater,TV&amp;Video"/>
    <s v="SmartTelevisions"/>
    <n v="21990"/>
    <n v="34990"/>
    <n v="37"/>
    <n v="4.3"/>
    <n v="1657"/>
    <n v="4.15048234923532"/>
    <s v="High (1,000+)"/>
    <x v="1"/>
    <n v="43.5"/>
    <s v="Below median"/>
    <b v="0"/>
    <b v="0"/>
    <b v="0"/>
    <n v="1.1599999999999999"/>
    <n v="1"/>
    <x v="0"/>
    <s v="https://www.amazon.in/Toshiba-inches-Android-43V35KP-Silver/dp/B0B21XL94T/ref=sr_1_425?qid=1672909145&amp;s=electronics&amp;sr=1-425"/>
  </r>
  <r>
    <s v="B09PTT8DZF"/>
    <s v="Lenovo USB A to Type-C Tangle-free  Aramid fiber braided 1.2m cable with 4A Fast charging &amp; 480 MBPS data transmission, certified 10000+ bend lifespan, Metallic Grey"/>
    <s v="Computers&amp;Accessories"/>
    <x v="0"/>
    <s v="Accessories&amp;Peripherals"/>
    <s v="USBCables"/>
    <n v="417.44"/>
    <n v="670"/>
    <n v="38"/>
    <n v="3.9"/>
    <n v="523"/>
    <n v="4.0621022265035149"/>
    <s v="Medium (100-999)"/>
    <x v="0"/>
    <n v="32.700000000000003"/>
    <s v="Bottom 25%"/>
    <b v="0"/>
    <b v="0"/>
    <b v="0"/>
    <n v="1.4"/>
    <n v="1"/>
    <x v="0"/>
    <s v="https://www.amazon.in/Lenovo-Tangle-free-Aramid-braided-1-2m-transmission-certified/dp/B09PTT8DZF/ref=sr_1_438?qid=1672909146&amp;s=electronics&amp;sr=1-438"/>
  </r>
  <r>
    <s v="B0B94JPY2N"/>
    <s v="Amazon Brand - Solimo 65W Fast Charging Braided Type C to C Data Cable | Suitable For All Supported Mobile Phones (1 Meter, Black)"/>
    <s v="Computers&amp;Accessories"/>
    <x v="0"/>
    <s v="Accessories&amp;Peripherals"/>
    <s v="USBCables"/>
    <n v="199"/>
    <n v="999"/>
    <n v="80"/>
    <n v="3"/>
    <m/>
    <m/>
    <s v="Unknown"/>
    <x v="0"/>
    <m/>
    <m/>
    <b v="0"/>
    <b v="0"/>
    <b v="1"/>
    <n v="0.67"/>
    <n v="1"/>
    <x v="0"/>
    <s v="https://www.amazon.in/Amazon-Brand-Charging-Suitable-Supported/dp/B0B94JPY2N/ref=sr_1_444?qid=1672909146&amp;s=electronics&amp;sr=1-444"/>
  </r>
  <r>
    <s v="B0B3XXSB1K"/>
    <s v="LG 139 cm (55 inches) 4K Ultra HD Smart LED TV 55UQ7500PSF (Ceramic Black)"/>
    <s v="Electronics"/>
    <x v="1"/>
    <s v="HomeTheater,TV&amp;Video"/>
    <s v="SmartTelevisions"/>
    <n v="47990"/>
    <n v="79990"/>
    <n v="40"/>
    <n v="4.3"/>
    <n v="1376"/>
    <n v="4.1423059436957894"/>
    <s v="High (1,000+)"/>
    <x v="1"/>
    <n v="43.5"/>
    <s v="Below median"/>
    <b v="0"/>
    <b v="1"/>
    <b v="0"/>
    <n v="2.5299999999999998"/>
    <n v="2"/>
    <x v="1"/>
    <s v="https://www.amazon.in/LG-inches-Ultra-55UQ7500PSF-Ceramic/dp/B0B3XXSB1K/ref=sr_1_445?qid=1672909146&amp;s=electronics&amp;sr=1-445"/>
  </r>
  <r>
    <s v="B08RZ12GKR"/>
    <s v="Tata Sky Digital TV HD Setup Box Remote"/>
    <s v="Electronics"/>
    <x v="1"/>
    <s v="HomeTheater,TV&amp;Video"/>
    <s v="RemoteControls"/>
    <n v="215"/>
    <n v="499"/>
    <n v="57"/>
    <n v="3.5"/>
    <n v="121"/>
    <n v="4.066419233083769"/>
    <s v="Medium (100-999)"/>
    <x v="0"/>
    <n v="53.4"/>
    <s v="Above median"/>
    <b v="0"/>
    <b v="0"/>
    <b v="1"/>
    <n v="0.62"/>
    <n v="1"/>
    <x v="0"/>
    <s v="https://www.amazon.in/Tata-Sky-Digital-Setup-Remote/dp/B08RZ12GKR/ref=sr_1_447?qid=1672909146&amp;s=electronics&amp;sr=1-447"/>
  </r>
  <r>
    <s v="B0B4T8RSJ1"/>
    <s v="pTron Solero T241 2.4A Type-C Data &amp; Charging USB Cable, Made in India, 480Mbps Data Sync, Durable 1-Meter Long USB Cable for Smartphone, Type-C USB Devices (White)"/>
    <s v="Computers&amp;Accessories"/>
    <x v="0"/>
    <s v="Accessories&amp;Peripherals"/>
    <s v="USBCables"/>
    <n v="99"/>
    <n v="800"/>
    <n v="88"/>
    <n v="3.9"/>
    <n v="1075"/>
    <n v="4.0436049801924163"/>
    <s v="High (1,000+)"/>
    <x v="0"/>
    <n v="59.4"/>
    <s v="Above median"/>
    <b v="0"/>
    <b v="0"/>
    <b v="0"/>
    <n v="0.33"/>
    <n v="4"/>
    <x v="1"/>
    <s v="https://www.amazon.in/pTron-Charging-480Mbps-Durable-Smartphone/dp/B0B4T8RSJ1/ref=sr_1_448?qid=1672909146&amp;s=electronics&amp;sr=1-448"/>
  </r>
  <r>
    <s v="B0B7B9V9QP"/>
    <s v="VU 108 cm (43 inches) Premium Series Full HD Smart LED TV 43GA (Black)"/>
    <s v="Electronics"/>
    <x v="1"/>
    <s v="HomeTheater,TV&amp;Video"/>
    <s v="SmartTelevisions"/>
    <n v="18999"/>
    <n v="35000"/>
    <n v="46"/>
    <n v="4"/>
    <n v="1001"/>
    <n v="4.0668498145650913"/>
    <s v="High (1,000+)"/>
    <x v="1"/>
    <n v="29.6"/>
    <s v="Bottom 25%"/>
    <b v="0"/>
    <b v="0"/>
    <b v="0"/>
    <n v="1"/>
    <n v="1"/>
    <x v="0"/>
    <s v="https://www.amazon.in/VU-inches-Premium-Smart-43GA/dp/B0B7B9V9QP/ref=sr_1_449?qid=1672909146&amp;s=electronics&amp;sr=1-449"/>
  </r>
  <r>
    <s v="B08XXVXP3J"/>
    <s v="Storite Super Speed USB 3.0 Male to Male Cable for Hard Drive Enclosures, Laptop Cooling Pad, DVD Players(60cm,Black)"/>
    <s v="Computers&amp;Accessories"/>
    <x v="0"/>
    <s v="Accessories&amp;Peripherals"/>
    <s v="USBCables"/>
    <n v="249"/>
    <n v="999"/>
    <n v="75"/>
    <n v="4.3"/>
    <n v="112"/>
    <n v="4.0908605217914094"/>
    <s v="Medium (100-999)"/>
    <x v="0"/>
    <n v="62.2"/>
    <s v="Top 25%"/>
    <b v="0"/>
    <b v="0"/>
    <b v="0"/>
    <n v="0.83"/>
    <n v="1"/>
    <x v="0"/>
    <s v="https://www.amazon.in/Storite-USB-3-0-Transfer-Enclosures/dp/B08XXVXP3J/ref=sr_1_450?qid=1672909146&amp;s=electronics&amp;sr=1-450"/>
  </r>
  <r>
    <s v="B06XGWRKYT"/>
    <s v="Kodak 80 cm (32 Inches) HD Ready LED TV Kodak 32HDX900S (Black)"/>
    <s v="Electronics"/>
    <x v="1"/>
    <s v="HomeTheater,TV&amp;Video"/>
    <s v="StandardTelevisions"/>
    <n v="7999"/>
    <n v="15999"/>
    <n v="50"/>
    <n v="3.8"/>
    <n v="3022"/>
    <n v="3.9578508499787479"/>
    <s v="High (1,000+)"/>
    <x v="3"/>
    <n v="23.5"/>
    <s v="Bottom 25%"/>
    <b v="0"/>
    <b v="0"/>
    <b v="1"/>
    <m/>
    <n v="1"/>
    <x v="0"/>
    <s v="https://www.amazon.in/Kodak-inches-32HDX900S-Ready-Black/dp/B06XGWRKYT/ref=sr_1_451?qid=1672909146&amp;s=electronics&amp;sr=1-451"/>
  </r>
  <r>
    <s v="B07CWDX49D"/>
    <s v="AmazonBasics Double Braided Nylon USB Type-C to Type-C 2.0 Cable, Charging Adapter, Smartphone 6 feet, Dark Grey"/>
    <s v="Computers&amp;Accessories"/>
    <x v="0"/>
    <s v="Accessories&amp;Peripherals"/>
    <s v="USBCables"/>
    <n v="649"/>
    <n v="1600"/>
    <n v="59"/>
    <n v="4.3"/>
    <n v="5451"/>
    <n v="4.2120517818072187"/>
    <s v="High (1,000+)"/>
    <x v="2"/>
    <n v="66.400000000000006"/>
    <s v="Top 25%"/>
    <b v="0"/>
    <b v="0"/>
    <b v="0"/>
    <n v="2.17"/>
    <n v="2"/>
    <x v="1"/>
    <s v="https://www.amazon.in/AmazonBasics-Double-Braided-Nylon-Type-C/dp/B07CWDX49D/ref=sr_1_452?qid=1672909146&amp;s=electronics&amp;sr=1-452"/>
  </r>
  <r>
    <s v="B09TY4MSH3"/>
    <s v="Firestick Remote"/>
    <s v="Electronics"/>
    <x v="1"/>
    <s v="HomeTheater,TV&amp;Video"/>
    <s v="RemoteControls"/>
    <n v="1289"/>
    <n v="2499"/>
    <n v="48"/>
    <n v="3.3"/>
    <n v="73"/>
    <n v="4.069701236261456"/>
    <s v="Low (&lt;100)"/>
    <x v="4"/>
    <n v="40"/>
    <s v="Below median"/>
    <b v="0"/>
    <b v="0"/>
    <b v="1"/>
    <n v="3.75"/>
    <n v="1"/>
    <x v="0"/>
    <s v="https://www.amazon.in/V-smash-Firestick-Remote/dp/B09TY4MSH3/ref=sr_1_453?qid=1672909146&amp;s=electronics&amp;sr=1-453"/>
  </r>
  <r>
    <s v="B07RY2X9MP"/>
    <s v="AmazonBasics 10.2 Gbps High-Speed 4K HDMI Cable with Braided Cord (10-Foot, Dark Grey)"/>
    <s v="Electronics"/>
    <x v="1"/>
    <s v="HomeTheater,TV&amp;Video"/>
    <s v="HDMICables"/>
    <n v="609"/>
    <n v="1500"/>
    <n v="59"/>
    <n v="4.5"/>
    <n v="1029"/>
    <n v="4.173836813457334"/>
    <s v="High (1,000+)"/>
    <x v="2"/>
    <n v="71.400000000000006"/>
    <s v="Top 25%"/>
    <b v="0"/>
    <b v="0"/>
    <b v="0"/>
    <n v="1.59"/>
    <n v="1"/>
    <x v="0"/>
    <s v="https://www.amazon.in/AmazonBasics-High-Speed-Braided-10-Foot-1-Pack/dp/B07RY2X9MP/ref=sr_1_454?qid=1672909146&amp;s=electronics&amp;sr=1-454"/>
  </r>
  <r>
    <s v="B0B2C5MJN6"/>
    <s v="Hisense 126 cm (50 inches) Bezelless Series 4K Ultra HD Smart LED Google TV 50A6H (Black)"/>
    <s v="Electronics"/>
    <x v="1"/>
    <s v="HomeTheater,TV&amp;Video"/>
    <s v="SmartTelevisions"/>
    <n v="32990"/>
    <n v="54990"/>
    <n v="40"/>
    <n v="4.0999999999999996"/>
    <n v="1555"/>
    <n v="4.0891281789714746"/>
    <s v="High (1,000+)"/>
    <x v="1"/>
    <n v="32.5"/>
    <s v="Bottom 25%"/>
    <b v="0"/>
    <b v="0"/>
    <b v="0"/>
    <n v="1.74"/>
    <n v="1"/>
    <x v="0"/>
    <s v="https://www.amazon.in/Hisense-inches-Bezelless-Google-50A6H/dp/B0B2C5MJN6/ref=sr_1_456?qid=1672909146&amp;s=electronics&amp;sr=1-456"/>
  </r>
  <r>
    <s v="B0BBMGLQDW"/>
    <s v="Tuarso 8K HDMI 2.1 Cable 48Gbps , 1.5 Meter High-Speed Braided HDMI Cable ( 8K@60HZ、4K@120HZ、2K@240HZ ) HDMI 2.1 Cable Compatible with Monitors , Television , Laptops , Projectors , Game Consoles and more with HDMI Ports Device"/>
    <s v="Electronics"/>
    <x v="1"/>
    <s v="HomeTheater,TV&amp;Video"/>
    <s v="HDMICables"/>
    <n v="599"/>
    <n v="1999"/>
    <n v="70"/>
    <n v="4.2"/>
    <n v="47"/>
    <n v="4.0860582994305856"/>
    <s v="Low (&lt;100)"/>
    <x v="2"/>
    <n v="61"/>
    <s v="Top 25%"/>
    <b v="0"/>
    <b v="0"/>
    <b v="0"/>
    <n v="1.56"/>
    <n v="1"/>
    <x v="0"/>
    <s v="https://www.amazon.in/Tuarso-High-Speed-Compatible-Television-Projectors/dp/B0BBMGLQDW/ref=sr_1_457?qid=1672909147&amp;s=electronics&amp;sr=1-457"/>
  </r>
  <r>
    <s v="B01LONQBDG"/>
    <s v="AmazonBasics USB Type-C to Micro-B 2.0 Cable - 6 Inches (15.2 Centimeters) - White"/>
    <s v="Computers&amp;Accessories"/>
    <x v="0"/>
    <s v="Accessories&amp;Peripherals"/>
    <s v="USBCables"/>
    <n v="349"/>
    <n v="899"/>
    <n v="61"/>
    <n v="4.0999999999999996"/>
    <n v="14896"/>
    <n v="4.0969016315181186"/>
    <s v="High (1,000+)"/>
    <x v="0"/>
    <n v="57.5"/>
    <s v="Above median"/>
    <b v="0"/>
    <b v="0"/>
    <b v="0"/>
    <n v="1.17"/>
    <n v="1"/>
    <x v="0"/>
    <s v="https://www.amazon.in/AmazonBasics-USB-Type-C-Micro-B-Cable/dp/B01LONQBDG/ref=sr_1_458?qid=1672909147&amp;s=electronics&amp;sr=1-458"/>
  </r>
  <r>
    <s v="B08XXF5V6G"/>
    <s v="Kodak 139 cm (55 inches) 4K Ultra HD Smart LED TV 55CA0909 (Black)"/>
    <s v="Electronics"/>
    <x v="1"/>
    <s v="HomeTheater,TV&amp;Video"/>
    <s v="SmartTelevisions"/>
    <n v="29999"/>
    <n v="50999"/>
    <n v="41"/>
    <n v="4.4000000000000004"/>
    <n v="1712"/>
    <n v="4.1832567525218396"/>
    <s v="High (1,000+)"/>
    <x v="1"/>
    <n v="48.6"/>
    <s v="Below median"/>
    <b v="0"/>
    <b v="0"/>
    <b v="0"/>
    <n v="1.58"/>
    <n v="1"/>
    <x v="0"/>
    <s v="https://www.amazon.in/Kodak-inches-55CA0909-Digital-Surround/dp/B08XXF5V6G/ref=sr_1_462?qid=1672909147&amp;s=electronics&amp;sr=1-462"/>
  </r>
  <r>
    <s v="B09HK9JH4F"/>
    <s v="Smashtronics® - Case for Firetv Remote, Fire Stick Remote Cover Case, Silicone Cover for TV Firestick 4K/TV 2nd Gen(3rd Gen) Remote Control - Light Weight/Anti Slip/Shockproof (Black)"/>
    <s v="Electronics"/>
    <x v="1"/>
    <s v="HomeTheater,TV&amp;Video"/>
    <s v="RemoteControls"/>
    <n v="199"/>
    <n v="399"/>
    <n v="50"/>
    <n v="4.2"/>
    <n v="1335"/>
    <n v="4.1148482769359127"/>
    <s v="High (1,000+)"/>
    <x v="0"/>
    <n v="65.400000000000006"/>
    <s v="Top 25%"/>
    <b v="0"/>
    <b v="0"/>
    <b v="0"/>
    <n v="0.57999999999999996"/>
    <n v="2"/>
    <x v="1"/>
    <s v="https://www.amazon.in/Smashtronics%C2%AE-Silicone-Firestick-Control-Shockproof/dp/B09HK9JH4F/ref=sr_1_463?qid=1672909147&amp;s=electronics&amp;sr=1-463"/>
  </r>
  <r>
    <s v="B09MMD1FDN"/>
    <s v="7SEVEN® Suitable Sony Tv Remote Original Bravia for Smart Android Television Compatible for Any Model of LCD LED OLED UHD 4K Universal Sony Remote Control"/>
    <s v="Electronics"/>
    <x v="1"/>
    <s v="HomeTheater,TV&amp;Video"/>
    <s v="RemoteControls"/>
    <n v="349"/>
    <n v="699"/>
    <n v="50"/>
    <n v="3.9"/>
    <n v="214"/>
    <n v="4.0746986273559198"/>
    <s v="Medium (100-999)"/>
    <x v="0"/>
    <n v="49.9"/>
    <s v="Below median"/>
    <b v="0"/>
    <b v="0"/>
    <b v="0"/>
    <n v="1.01"/>
    <n v="1"/>
    <x v="0"/>
    <s v="https://www.amazon.in/7SEVENTM-Universal-Replacement-Original-Television/dp/B09MMD1FDN/ref=sr_1_464?qid=1672909147&amp;s=electronics&amp;sr=1-464"/>
  </r>
  <r>
    <s v="B09HN7LD5L"/>
    <s v="PROLEGEND® PL-T002 Universal TV Stand Table Top for Most 22 to 65 inch LCD Flat Screen TV, VESA up to 800 by 400mm"/>
    <s v="Electronics"/>
    <x v="1"/>
    <s v="HomeTheater,TV&amp;Video"/>
    <s v="TVWall&amp;CeilingMounts"/>
    <n v="1850"/>
    <n v="4500"/>
    <n v="59"/>
    <n v="4"/>
    <n v="184"/>
    <n v="4.0806889881365294"/>
    <s v="Medium (100-999)"/>
    <x v="4"/>
    <n v="44.7"/>
    <s v="Below median"/>
    <b v="0"/>
    <b v="0"/>
    <b v="0"/>
    <m/>
    <n v="1"/>
    <x v="0"/>
    <s v="https://www.amazon.in/PROLEGEND%C2%AE-PL-T002-Universal-Stand-Screen/dp/B09HN7LD5L/ref=sr_1_465?qid=1672909147&amp;s=electronics&amp;sr=1-465"/>
  </r>
  <r>
    <s v="B0BNDD9TN6"/>
    <s v="WANBO X1 Pro (Upgraded) | Native 1080P Full HD | Android 9 | Projector for Home | LED Cinema | 350ANSI | 3900 lumens | WiFi Bluetooth | HDMI ARC | Dolby DTS | 4D Keystone Correction (Global Version)"/>
    <s v="Electronics"/>
    <x v="1"/>
    <s v="HomeTheater,TV&amp;Video"/>
    <s v="Projectors"/>
    <n v="13990"/>
    <n v="28900"/>
    <n v="52"/>
    <n v="4.5"/>
    <n v="7"/>
    <n v="4.0854063116277528"/>
    <s v="Low (&lt;100)"/>
    <x v="1"/>
    <n v="36.799999999999997"/>
    <s v="Bottom 25%"/>
    <b v="0"/>
    <b v="0"/>
    <b v="0"/>
    <m/>
    <n v="1"/>
    <x v="0"/>
    <s v="https://www.amazon.in/WANBO-X1-Pro-Projector-Correction/dp/B0BNDD9TN6/ref=sr_1_466?qid=1672909147&amp;s=electronics&amp;sr=1-466"/>
  </r>
  <r>
    <s v="B0941392C8"/>
    <s v="Lava Charging Adapter Elements D3 2A Fast Charging Speed Usb Type C Data Cable, White"/>
    <s v="Computers&amp;Accessories"/>
    <x v="0"/>
    <s v="Accessories&amp;Peripherals"/>
    <s v="USBCables"/>
    <n v="129"/>
    <n v="449"/>
    <n v="71"/>
    <n v="3.7"/>
    <n v="41"/>
    <n v="4.0804887844566364"/>
    <s v="Low (&lt;100)"/>
    <x v="0"/>
    <n v="60.1"/>
    <s v="Above median"/>
    <b v="0"/>
    <b v="0"/>
    <b v="1"/>
    <n v="0.43"/>
    <n v="1"/>
    <x v="0"/>
    <s v="https://www.amazon.in/Lava-Elements-Charging-Speed-Type-C/dp/B0941392C8/ref=sr_1_467?qid=1672909147&amp;s=electronics&amp;sr=1-467"/>
  </r>
  <r>
    <s v="B01M5967SY"/>
    <s v="TIZUM High Speed HDMI Cable Aura -Gold Plated-High Speed Data 10.2Gbps, 3D, 4K, HD 1080P (10 Ft/ 3 M)"/>
    <s v="Electronics"/>
    <x v="1"/>
    <s v="HomeTheater,TV&amp;Video"/>
    <s v="HDMICables"/>
    <n v="379"/>
    <n v="999"/>
    <n v="62"/>
    <n v="4.2"/>
    <n v="12153"/>
    <n v="4.1727271585360697"/>
    <s v="High (1,000+)"/>
    <x v="0"/>
    <n v="75"/>
    <s v="Top 25%"/>
    <b v="0"/>
    <b v="0"/>
    <b v="0"/>
    <n v="0.99"/>
    <n v="2"/>
    <x v="1"/>
    <s v="https://www.amazon.in/Tizum-10-2Gbps-Speed-Plated-Cable/dp/B01M5967SY/ref=sr_1_468?qid=1672909147&amp;s=electronics&amp;sr=1-468"/>
  </r>
  <r>
    <s v="B016MDK4F4"/>
    <s v="Technotech High Speed HDMI Cable 5 Meter V1.4 - Supports Full HD 1080p (Color May Vary)"/>
    <s v="Electronics"/>
    <x v="1"/>
    <s v="HomeTheater,TV&amp;Video"/>
    <s v="HDMICables"/>
    <n v="185"/>
    <n v="499"/>
    <n v="63"/>
    <n v="4.2"/>
    <n v="25"/>
    <n v="4.0853964598497203"/>
    <s v="Low (&lt;100)"/>
    <x v="0"/>
    <n v="61.1"/>
    <s v="Top 25%"/>
    <b v="0"/>
    <b v="0"/>
    <b v="0"/>
    <n v="0.48"/>
    <n v="1"/>
    <x v="0"/>
    <s v="https://www.amazon.in/Technotech-High-Speed-Cable-Meter/dp/B016MDK4F4/ref=sr_1_469?qid=1672909147&amp;s=electronics&amp;sr=1-469"/>
  </r>
  <r>
    <s v="B08G43CCLC"/>
    <s v="NK STAR 950 Mbps USB WiFi Adapter Wireless Network Receiver Dongle for Desktop Laptop, (Support- Windows XP/7/8/10 &amp; MAC OS) NOt Support to DVR and HDTV"/>
    <s v="Computers&amp;Accessories"/>
    <x v="0"/>
    <s v="NetworkingDevices"/>
    <s v="WirelessUSBAdapters"/>
    <n v="218"/>
    <n v="999"/>
    <n v="78"/>
    <n v="4.2"/>
    <n v="163"/>
    <n v="4.0894253194958132"/>
    <s v="Medium (100-999)"/>
    <x v="0"/>
    <n v="68.2"/>
    <s v="Top 25%"/>
    <b v="0"/>
    <b v="0"/>
    <b v="0"/>
    <n v="0.43"/>
    <n v="1"/>
    <x v="0"/>
    <s v="https://www.amazon.in/NK-STAR-USB-Wireless-Receiver/dp/B08G43CCLC/ref=sr_1_470?qid=1672909147&amp;s=electronics&amp;sr=1-470"/>
  </r>
  <r>
    <s v="B0B61GCHC1"/>
    <s v="LS LAPSTER Quality Assured USB 2.0 morpho cable, morpho device cable for Mso 1300 E3/E2/E Biometric Finger Print Scanner morpho USB cable (Black)"/>
    <s v="Computers&amp;Accessories"/>
    <x v="0"/>
    <s v="Accessories&amp;Peripherals"/>
    <s v="USBCables"/>
    <n v="199"/>
    <n v="999"/>
    <n v="80"/>
    <n v="4.3"/>
    <n v="87"/>
    <n v="4.089502296838762"/>
    <s v="Low (&lt;100)"/>
    <x v="0"/>
    <n v="64.599999999999994"/>
    <s v="Top 25%"/>
    <b v="0"/>
    <b v="0"/>
    <b v="0"/>
    <n v="0.67"/>
    <n v="1"/>
    <x v="0"/>
    <s v="https://www.amazon.in/LS-LAPSTER-Quality-Assured-Biometric/dp/B0B61GCHC1/ref=sr_1_471?qid=1672909147&amp;s=electronics&amp;sr=1-471"/>
  </r>
  <r>
    <s v="B07RX14W1Q"/>
    <s v="Amazon Basics 10.2 Gbps High-Speed 4K HDMI Cable with Braided Cord, 1.8 Meter, Dark Grey"/>
    <s v="Electronics"/>
    <x v="1"/>
    <s v="HomeTheater,TV&amp;Video"/>
    <s v="HDMICables"/>
    <n v="499"/>
    <n v="900"/>
    <n v="45"/>
    <n v="4.4000000000000004"/>
    <n v="2165"/>
    <n v="4.1998210192628953"/>
    <s v="High (1,000+)"/>
    <x v="0"/>
    <n v="69.900000000000006"/>
    <s v="Top 25%"/>
    <b v="0"/>
    <b v="0"/>
    <b v="0"/>
    <n v="1.3"/>
    <n v="1"/>
    <x v="0"/>
    <s v="https://www.amazon.in/AmazonBasics-High-Speed-Braided-6-Foot-1-Pack/dp/B07RX14W1Q/ref=sr_1_472?qid=1672909147&amp;s=electronics&amp;sr=1-472"/>
  </r>
  <r>
    <s v="B09PLD9TCD"/>
    <s v="Kodak 126 cm (50 inches) Bezel-Less Design Series 4K Ultra HD Smart Android LED TV 50UHDX7XPROBL (Black)"/>
    <s v="Electronics"/>
    <x v="1"/>
    <s v="HomeTheater,TV&amp;Video"/>
    <s v="SmartTelevisions"/>
    <n v="26999"/>
    <n v="42999"/>
    <n v="37"/>
    <n v="4.2"/>
    <n v="1510"/>
    <n v="4.117674555084081"/>
    <s v="High (1,000+)"/>
    <x v="1"/>
    <n v="40.299999999999997"/>
    <s v="Below median"/>
    <b v="0"/>
    <b v="0"/>
    <b v="0"/>
    <n v="1.42"/>
    <n v="2"/>
    <x v="0"/>
    <s v="https://www.amazon.in/Kodak-inches-Android-50UHDX7XPROBL-Bezel-Less/dp/B09PLD9TCD/ref=sr_1_473?qid=1672909147&amp;s=electronics&amp;sr=1-473"/>
  </r>
  <r>
    <s v="B0B8ZKWGKD"/>
    <s v="ZORBES® Wall Adapter Holder for Alexa Echo Dot 4th Generation,A Space-Saving Solution with Cord Management for Your Smart Home Speakers -White (Holder Only)"/>
    <s v="Electronics"/>
    <x v="1"/>
    <s v="HomeTheater,TV&amp;Video"/>
    <s v="TVWall&amp;CeilingMounts"/>
    <n v="893"/>
    <n v="1052"/>
    <n v="15"/>
    <n v="4.3"/>
    <n v="106"/>
    <n v="4.0905361488124123"/>
    <s v="Medium (100-999)"/>
    <x v="2"/>
    <n v="38"/>
    <s v="Bottom 25%"/>
    <b v="0"/>
    <b v="0"/>
    <b v="0"/>
    <m/>
    <n v="1"/>
    <x v="0"/>
    <s v="https://www.amazon.in/Generation-Space-Saving-Solution-Management-Speakers/dp/B0B8ZKWGKD/ref=sr_1_474?qid=1672909147&amp;s=electronics&amp;sr=1-474"/>
  </r>
  <r>
    <s v="B09NNJ9WYM"/>
    <s v="Sansui 80cm (32 inches) HD Ready Smart LED TV JSY32SKHD (BLACK) With Bezel-less Design"/>
    <s v="Electronics"/>
    <x v="1"/>
    <s v="HomeTheater,TV&amp;Video"/>
    <s v="SmartTelevisions"/>
    <n v="10990"/>
    <n v="19990"/>
    <n v="45"/>
    <n v="3.7"/>
    <n v="129"/>
    <n v="4.0718846438856007"/>
    <s v="Medium (100-999)"/>
    <x v="1"/>
    <n v="30.4"/>
    <s v="Bottom 25%"/>
    <b v="0"/>
    <b v="0"/>
    <b v="1"/>
    <n v="0.57999999999999996"/>
    <n v="1"/>
    <x v="0"/>
    <s v="https://www.amazon.in/Sansui-inches-JSY32SKHD-Bezel-less-Design/dp/B09NNJ9WYM/ref=sr_1_475?qid=1672909147&amp;s=electronics&amp;sr=1-475"/>
  </r>
  <r>
    <s v="B08H5L8V1L"/>
    <s v="Synqe USB Type C Fast Charging Cable 2M Charger Cord Data Cable Compatible with Samsung Galaxy M51,Galaxy M31S, S10e S10 S9 S20 Plus, Note10 9 8,M40 A50 A70, Redmi Note 9, Moto G7, Poco F1 (2M, Grey)"/>
    <s v="Computers&amp;Accessories"/>
    <x v="0"/>
    <s v="Accessories&amp;Peripherals"/>
    <s v="USBCables"/>
    <n v="379"/>
    <n v="1099"/>
    <n v="66"/>
    <n v="4.3"/>
    <n v="3049"/>
    <n v="4.1810378171740163"/>
    <s v="High (1,000+)"/>
    <x v="0"/>
    <n v="69.7"/>
    <s v="Top 25%"/>
    <b v="0"/>
    <b v="0"/>
    <b v="0"/>
    <n v="1.27"/>
    <n v="1"/>
    <x v="0"/>
    <s v="https://www.amazon.in/Synqe-Charging-Charger-Samsung-Galaxy/dp/B08H5L8V1L/ref=sr_1_476?qid=1672909147&amp;s=electronics&amp;sr=1-476"/>
  </r>
  <r>
    <s v="B0B8CXTTG3"/>
    <s v="MI 80 cm (32 inches) HD Ready Smart Android LED TV 5A Pro | L32M7-EAIN (Black)"/>
    <s v="Electronics"/>
    <x v="1"/>
    <s v="HomeTheater,TV&amp;Video"/>
    <s v="SmartTelevisions"/>
    <n v="16999"/>
    <n v="25999"/>
    <n v="35"/>
    <n v="4.2"/>
    <n v="32840"/>
    <n v="4.1881412223668004"/>
    <s v="High (1,000+)"/>
    <x v="1"/>
    <n v="47.7"/>
    <s v="Below median"/>
    <b v="0"/>
    <b v="0"/>
    <b v="0"/>
    <n v="0.9"/>
    <n v="5"/>
    <x v="1"/>
    <s v="https://www.amazon.in/MI-inches-Ready-Android-L32M7-EAIN/dp/B0B8CXTTG3/ref=sr_1_477?qid=1672909147&amp;s=electronics&amp;sr=1-477"/>
  </r>
  <r>
    <s v="B09HCH3JZG"/>
    <s v="Bestor ® 8K Hdmi 2.1 Cable 48Gbps 9.80Ft/Ultra High Speed Hdmi Braided Cord For Roku Tv/Ps5/Hdtv/Blu-Ray Projector, Laptop, Television, Personal Computer, Xbox, Ps4, Ps5, Ps4 Pro (1 M, Grey)"/>
    <s v="Electronics"/>
    <x v="1"/>
    <s v="HomeTheater,TV&amp;Video"/>
    <s v="HDMICables"/>
    <n v="699"/>
    <n v="1899"/>
    <n v="63"/>
    <n v="4.4000000000000004"/>
    <n v="390"/>
    <n v="4.1142538450766564"/>
    <s v="Medium (100-999)"/>
    <x v="2"/>
    <n v="67.7"/>
    <s v="Top 25%"/>
    <b v="0"/>
    <b v="0"/>
    <b v="0"/>
    <n v="1.83"/>
    <n v="1"/>
    <x v="0"/>
    <s v="https://www.amazon.in/BESTOR%C2%AE-48Gbps-9-80FT-Braided-Cord-4K/dp/B09HCH3JZG/ref=sr_1_478?qid=1672909147&amp;s=electronics&amp;sr=1-478"/>
  </r>
  <r>
    <s v="B097JVLW3L"/>
    <s v="Irusu Play VR Plus Virtual Reality Headset with Headphones for Gaming (Black)"/>
    <s v="Electronics"/>
    <x v="1"/>
    <s v="HomeTheater,TV&amp;Video"/>
    <s v="3DGlasses"/>
    <n v="2699"/>
    <n v="3500"/>
    <n v="23"/>
    <n v="3.5"/>
    <n v="621"/>
    <n v="4.0018111307587123"/>
    <s v="Medium (100-999)"/>
    <x v="3"/>
    <n v="16.399999999999999"/>
    <s v="Bottom 25%"/>
    <b v="0"/>
    <b v="0"/>
    <b v="1"/>
    <m/>
    <n v="1"/>
    <x v="0"/>
    <s v="https://www.amazon.in/Virtual-Reality-Headset-Headphones-Gaming/dp/B097JVLW3L/ref=sr_1_479?qid=1672909147&amp;s=electronics&amp;sr=1-479"/>
  </r>
  <r>
    <s v="B09SB6SJB4"/>
    <s v="Amazon Brand - Solimo Fast Charging Braided Type C Data Cable Seam, Suitable For All Supported Mobile Phones (1 Meter, Black)"/>
    <s v="Computers&amp;Accessories"/>
    <x v="0"/>
    <s v="Accessories&amp;Peripherals"/>
    <s v="USBCables"/>
    <n v="129"/>
    <n v="599"/>
    <n v="78"/>
    <n v="4.0999999999999996"/>
    <n v="265"/>
    <n v="4.0856459569660606"/>
    <s v="Medium (100-999)"/>
    <x v="0"/>
    <n v="63.9"/>
    <s v="Top 25%"/>
    <b v="0"/>
    <b v="0"/>
    <b v="0"/>
    <n v="0.43"/>
    <n v="1"/>
    <x v="0"/>
    <s v="https://www.amazon.in/Amazon-Brand-Charging-Suitable-Supported/dp/B09SB6SJB4/ref=sr_1_480?qid=1672909147&amp;s=electronics&amp;sr=1-480"/>
  </r>
  <r>
    <s v="B08NW8GHCJ"/>
    <s v="Synqe USB C to USB C 60W Nylon Braided Fast Charging Type C to Type C Cable Compatible with Samsung Galaxy Note 20/Ultra, S20 S22 S21 S20 FE A73 A53 A33 (2M, Black)"/>
    <s v="Computers&amp;Accessories"/>
    <x v="0"/>
    <s v="Accessories&amp;Peripherals"/>
    <s v="USBCables"/>
    <n v="389"/>
    <n v="999"/>
    <n v="61"/>
    <n v="4.3"/>
    <n v="838"/>
    <n v="4.1238645998654091"/>
    <s v="Medium (100-999)"/>
    <x v="0"/>
    <n v="61.5"/>
    <s v="Top 25%"/>
    <b v="0"/>
    <b v="0"/>
    <b v="0"/>
    <n v="1.3"/>
    <n v="2"/>
    <x v="0"/>
    <s v="https://www.amazon.in/Charging-Braided-Compatible-Samsung-Galaxy/dp/B08NW8GHCJ/ref=sr_1_481?qid=1672909149&amp;s=electronics&amp;sr=1-481"/>
  </r>
  <r>
    <s v="B09YHLPQYT"/>
    <s v="Shopoflux Silicone Remote Cover for Mi Smart TV and Mi TV Stick/MI Box S / 3S / MI 4X / 4A Smart LED TV (Black)"/>
    <s v="Electronics"/>
    <x v="1"/>
    <s v="HomeTheater,TV&amp;Video"/>
    <s v="RemoteControls"/>
    <n v="246"/>
    <n v="600"/>
    <n v="59"/>
    <n v="4.2"/>
    <n v="143"/>
    <n v="4.0888590684114234"/>
    <s v="Medium (100-999)"/>
    <x v="0"/>
    <n v="60.2"/>
    <s v="Above median"/>
    <b v="0"/>
    <b v="0"/>
    <b v="0"/>
    <n v="0.72"/>
    <n v="1"/>
    <x v="0"/>
    <s v="https://www.amazon.in/Shopoflux-Silicone-Remote-Cover-Xiaomi/dp/B09YHLPQYT/ref=sr_1_482?qid=1672909149&amp;s=electronics&amp;sr=1-482"/>
  </r>
  <r>
    <s v="B08G1RW2Q3"/>
    <s v="EYNK Extra Long Micro USB Fast Charging USB Cable | Micro USB Data Cable | Quick Fast Charging Cable | Charger Sync Cable | High Speed Transfer Android Smartphones V8 Cable (2.4 Amp, 3m,) (White)"/>
    <s v="Computers&amp;Accessories"/>
    <x v="0"/>
    <s v="Accessories&amp;Peripherals"/>
    <s v="USBCables"/>
    <n v="299"/>
    <n v="799"/>
    <n v="63"/>
    <n v="4"/>
    <n v="151"/>
    <n v="4.0813693858900768"/>
    <s v="Medium (100-999)"/>
    <x v="0"/>
    <n v="51.9"/>
    <s v="Above median"/>
    <b v="0"/>
    <b v="0"/>
    <b v="0"/>
    <n v="1"/>
    <n v="1"/>
    <x v="0"/>
    <s v="https://www.amazon.in/EYNK-Charging-Charger-Transfer-Smartphones/dp/B08G1RW2Q3/ref=sr_1_483?qid=1672909149&amp;s=electronics&amp;sr=1-483"/>
  </r>
  <r>
    <s v="B08YXJJW8H"/>
    <s v="LUNAGARIYA®, Protective Case Compatible with JIO Settop Box Remote Control,PU Leather Cover Holder (Before Placing Order,Please Compare The Dimensions of The Product with Your Remote)"/>
    <s v="Electronics"/>
    <x v="1"/>
    <s v="HomeTheater,TV&amp;Video"/>
    <s v="RemoteControls"/>
    <n v="247"/>
    <n v="399"/>
    <n v="38"/>
    <n v="3.9"/>
    <n v="200"/>
    <n v="4.0753158590992591"/>
    <s v="Medium (100-999)"/>
    <x v="0"/>
    <n v="45.1"/>
    <s v="Below median"/>
    <b v="0"/>
    <b v="0"/>
    <b v="0"/>
    <n v="0.72"/>
    <n v="1"/>
    <x v="0"/>
    <s v="https://www.amazon.in/LUNAGARIYA%C2%AE-Protective-Compatible-Control-Dimensions/dp/B08YXJJW8H/ref=sr_1_484?qid=1672909149&amp;s=electronics&amp;sr=1-484"/>
  </r>
  <r>
    <s v="B09P8M18QM"/>
    <s v="7SEVEN® Compatible with Fire Tv Stick Remote with Voice Command Feature Suitable for Second Generation Amazon Fire Tv Stick Remote Only - Pairing Must"/>
    <s v="Electronics"/>
    <x v="1"/>
    <s v="HomeTheater,TV&amp;Video"/>
    <s v="RemoteControls"/>
    <n v="1369"/>
    <n v="2999"/>
    <n v="54"/>
    <n v="3.3"/>
    <n v="227"/>
    <n v="4.0399897460034628"/>
    <s v="Medium (100-999)"/>
    <x v="4"/>
    <n v="38.6"/>
    <s v="Bottom 25%"/>
    <b v="0"/>
    <b v="1"/>
    <b v="1"/>
    <n v="3.98"/>
    <n v="1"/>
    <x v="0"/>
    <s v="https://www.amazon.in/7SEVENTM-Bluetooth-Command-Compatible-Control/dp/B09P8M18QM/ref=sr_1_485?qid=1672909149&amp;s=electronics&amp;sr=1-485"/>
  </r>
  <r>
    <s v="B08BG4M4N7"/>
    <s v="PRUSHTI COVER AND BAGS, Protective Case for Airtel Xstream settop Box Remote Remote Control Pouch Cover Holder PU Leather Cover Holder(only Cover for Selling Purpose)"/>
    <s v="Electronics"/>
    <x v="1"/>
    <s v="HomeTheater,TV&amp;Video"/>
    <s v="RemoteControls"/>
    <n v="199"/>
    <n v="499"/>
    <n v="60"/>
    <n v="3.8"/>
    <n v="538"/>
    <n v="4.0490266461297093"/>
    <s v="Medium (100-999)"/>
    <x v="0"/>
    <n v="53.5"/>
    <s v="Above median"/>
    <b v="0"/>
    <b v="0"/>
    <b v="1"/>
    <n v="0.57999999999999996"/>
    <n v="1"/>
    <x v="0"/>
    <s v="https://www.amazon.in/PRUSHTI-COVER-BAGS-Protective-Xstream/dp/B08BG4M4N7/ref=sr_1_486?qid=1672909149&amp;s=electronics&amp;sr=1-486"/>
  </r>
  <r>
    <s v="B07VJ9ZTXS"/>
    <s v="Aine HDMI Male to VGA Female Video Converter Adapter Cable (Black)"/>
    <s v="Electronics"/>
    <x v="1"/>
    <s v="HomeTheater,TV&amp;Video"/>
    <s v="HDMICables"/>
    <n v="299"/>
    <n v="599"/>
    <n v="50"/>
    <n v="4"/>
    <n v="171"/>
    <n v="4.0809556607806829"/>
    <s v="Medium (100-999)"/>
    <x v="0"/>
    <n v="51.8"/>
    <s v="Above median"/>
    <b v="0"/>
    <b v="0"/>
    <b v="0"/>
    <n v="0.78"/>
    <n v="1"/>
    <x v="0"/>
    <s v="https://www.amazon.in/Female-Converter-Adapter-Projectors-Devices/dp/B07VJ9ZTXS/ref=sr_1_487?qid=1672909149&amp;s=electronics&amp;sr=1-487"/>
  </r>
  <r>
    <s v="B084872DQY"/>
    <s v="Mi 80 cm (32 inches) HD Ready Android Smart LED TV 4A PRO | L32M5-AL (Black)"/>
    <s v="Electronics"/>
    <x v="1"/>
    <s v="HomeTheater,TV&amp;Video"/>
    <s v="SmartTelevisions"/>
    <n v="14999"/>
    <n v="14999"/>
    <n v="0"/>
    <n v="4.3"/>
    <n v="27508"/>
    <n v="4.2740870498290979"/>
    <s v="High (1,000+)"/>
    <x v="1"/>
    <n v="45.5"/>
    <s v="Below median"/>
    <b v="0"/>
    <b v="0"/>
    <b v="0"/>
    <n v="0.79"/>
    <n v="1"/>
    <x v="0"/>
    <s v="https://www.amazon.in/Mi-inches-Ready-Android-Black/dp/B084872DQY/ref=sr_1_488?qid=1672909149&amp;s=electronics&amp;sr=1-488"/>
  </r>
  <r>
    <s v="B00GGGOYEU"/>
    <s v="Storite USB 2.0 A to Mini 5 pin B Cable for External HDDS/Camera/Card Readers (150cm - 1.5M)"/>
    <s v="Computers&amp;Accessories"/>
    <x v="0"/>
    <s v="Accessories&amp;Peripherals"/>
    <s v="USBCables"/>
    <n v="299"/>
    <n v="699"/>
    <n v="57"/>
    <n v="3.9"/>
    <n v="1454"/>
    <n v="4.0331714927021594"/>
    <s v="High (1,000+)"/>
    <x v="0"/>
    <n v="41.7"/>
    <s v="Below median"/>
    <b v="0"/>
    <b v="0"/>
    <b v="0"/>
    <n v="1"/>
    <n v="1"/>
    <x v="0"/>
    <s v="https://www.amazon.in/Storite-USB-2-0-Mini-External/dp/B00GGGOYEU/ref=sr_1_489?qid=1672909149&amp;s=electronics&amp;sr=1-489"/>
  </r>
  <r>
    <s v="B08FD2VSD9"/>
    <s v="TCL 108 cm (43 inches) 4K Ultra HD Certified Android Smart LED TV 43P615 (Black)"/>
    <s v="Electronics"/>
    <x v="1"/>
    <s v="HomeTheater,TV&amp;Video"/>
    <s v="SmartTelevisions"/>
    <n v="24990"/>
    <n v="51990"/>
    <n v="52"/>
    <n v="4.2"/>
    <n v="2951"/>
    <n v="4.1353450646727961"/>
    <s v="High (1,000+)"/>
    <x v="1"/>
    <n v="49.3"/>
    <s v="Below median"/>
    <b v="0"/>
    <b v="0"/>
    <b v="0"/>
    <n v="1.32"/>
    <n v="1"/>
    <x v="0"/>
    <s v="https://www.amazon.in/TCL-inches-Certified-Android-43P615/dp/B08FD2VSD9/ref=sr_1_490?qid=1672909149&amp;s=electronics&amp;sr=1-490"/>
  </r>
  <r>
    <s v="B0BQRJ3C47"/>
    <s v="REDTECH USB-C to Lightning Cable 3.3FT, [Apple MFi Certified] Lightning to Type C Fast Charging Cord Compatible with iPhone 14/13/13 pro/Max/12/11/X/XS/XR/8, Supports Power Delivery - White"/>
    <s v="Computers&amp;Accessories"/>
    <x v="0"/>
    <s v="Accessories&amp;Peripherals"/>
    <s v="USBCables"/>
    <n v="249"/>
    <n v="999"/>
    <n v="75"/>
    <n v="5"/>
    <m/>
    <m/>
    <s v="Unknown"/>
    <x v="0"/>
    <m/>
    <m/>
    <b v="0"/>
    <b v="0"/>
    <b v="0"/>
    <n v="0.83"/>
    <n v="1"/>
    <x v="0"/>
    <s v="https://www.amazon.in/REDTECH-Lightning-Certified-Charging-Compatible/dp/B0BQRJ3C47/ref=sr_1_491?qid=1672909149&amp;s=electronics&amp;sr=1-491"/>
  </r>
  <r>
    <s v="B095JPKPH3"/>
    <s v="OnePlus 163.8 cm (65 inches) U Series 4K LED Smart Android TV 65U1S (Black)"/>
    <s v="Electronics"/>
    <x v="1"/>
    <s v="HomeTheater,TV&amp;Video"/>
    <s v="SmartTelevisions"/>
    <n v="61999"/>
    <n v="69999"/>
    <n v="11"/>
    <n v="4.0999999999999996"/>
    <n v="6753"/>
    <n v="4.0945023148381736"/>
    <s v="High (1,000+)"/>
    <x v="1"/>
    <n v="26.3"/>
    <s v="Bottom 25%"/>
    <b v="0"/>
    <b v="1"/>
    <b v="0"/>
    <n v="3.26"/>
    <n v="2"/>
    <x v="1"/>
    <s v="https://www.amazon.in/OnePlus-163-8-inches-Android-65U1S/dp/B095JPKPH3/ref=sr_1_492?qid=1672909149&amp;s=electronics&amp;sr=1-492"/>
  </r>
  <r>
    <s v="B087JWLZ2K"/>
    <s v="AmazonBasics 108 cm (43 inches) 4K Ultra HD Smart LED Fire TV AB43U20PS (Black)"/>
    <s v="Electronics"/>
    <x v="1"/>
    <s v="HomeTheater,TV&amp;Video"/>
    <s v="SmartTelevisions"/>
    <n v="24499"/>
    <n v="50000"/>
    <n v="51"/>
    <n v="3.9"/>
    <n v="3518"/>
    <n v="3.9954177723619009"/>
    <s v="High (1,000+)"/>
    <x v="1"/>
    <n v="23.7"/>
    <s v="Bottom 25%"/>
    <b v="0"/>
    <b v="0"/>
    <b v="0"/>
    <n v="1.29"/>
    <n v="1"/>
    <x v="0"/>
    <s v="https://www.amazon.in/AmazonBasics-108cm-inch-Ultra-Smart/dp/B087JWLZ2K/ref=sr_1_493?qid=1672909149&amp;s=electronics&amp;sr=1-493"/>
  </r>
  <r>
    <s v="B09DSXK8JX"/>
    <s v="Kodak 80 cm (32 inches) HD Ready Certified Android Smart LED TV 32HDX7XPROBL (Black)"/>
    <s v="Electronics"/>
    <x v="1"/>
    <s v="HomeTheater,TV&amp;Video"/>
    <s v="SmartTelevisions"/>
    <n v="10499"/>
    <n v="19499"/>
    <n v="46"/>
    <n v="4.2"/>
    <n v="1510"/>
    <n v="4.117674555084081"/>
    <s v="High (1,000+)"/>
    <x v="1"/>
    <n v="45.5"/>
    <s v="Below median"/>
    <b v="0"/>
    <b v="0"/>
    <b v="0"/>
    <n v="0.55000000000000004"/>
    <n v="2"/>
    <x v="1"/>
    <s v="https://www.amazon.in/Kodak-inches-Certified-Android-32HDX7XPROBL/dp/B09DSXK8JX/ref=sr_1_494?qid=1672909149&amp;s=electronics&amp;sr=1-494"/>
  </r>
  <r>
    <s v="B08V9C4B1J"/>
    <s v="Synqe Type C to Type C Short Fast Charging 60W Cable Compatible with Samsung Galaxy Z Fold3 5G, Z Flip3 5G, S22 5G, S22 Ultra, S21, S20, S20FE, A52, A73, A53 (0.25M, Black)"/>
    <s v="Computers&amp;Accessories"/>
    <x v="0"/>
    <s v="Accessories&amp;Peripherals"/>
    <s v="USBCables"/>
    <n v="349"/>
    <n v="999"/>
    <n v="65"/>
    <n v="4.3"/>
    <n v="838"/>
    <n v="4.1238645998654091"/>
    <s v="Medium (100-999)"/>
    <x v="0"/>
    <n v="64.5"/>
    <s v="Top 25%"/>
    <b v="0"/>
    <b v="0"/>
    <b v="0"/>
    <n v="1.17"/>
    <n v="2"/>
    <x v="1"/>
    <s v="https://www.amazon.in/Synqe-Braided-Charging-Compatible-Samsung/dp/B08V9C4B1J/ref=sr_1_495?qid=1672909149&amp;s=electronics&amp;sr=1-495"/>
  </r>
  <r>
    <s v="B08PKBMJKS"/>
    <s v="Airtel DigitalTV HD Setup Box Remote"/>
    <s v="Electronics"/>
    <x v="1"/>
    <s v="HomeTheater,TV&amp;Video"/>
    <s v="RemoteControls"/>
    <n v="197"/>
    <n v="499"/>
    <n v="61"/>
    <n v="3.8"/>
    <n v="136"/>
    <n v="4.0747054230295792"/>
    <s v="Medium (100-999)"/>
    <x v="0"/>
    <n v="57.3"/>
    <s v="Above median"/>
    <b v="0"/>
    <b v="0"/>
    <b v="1"/>
    <n v="0.56999999999999995"/>
    <n v="1"/>
    <x v="0"/>
    <s v="https://www.amazon.in/Airtel-DigitalTV-Setup-Box-Remote/dp/B08PKBMJKS/ref=sr_1_496?qid=1672909149&amp;s=electronics&amp;sr=1-496"/>
  </r>
  <r>
    <s v="B0B8VQ7KDS"/>
    <s v="Airtel Digital TV HD Set Top Box with FTA Pack | Unlimited Entertainment + Recording Feature + Free Standard Installation (6 Months Pack)"/>
    <s v="Electronics"/>
    <x v="1"/>
    <s v="HomeTheater,TV&amp;Video"/>
    <s v="SatelliteReceivers"/>
    <n v="1299"/>
    <n v="2499"/>
    <n v="48"/>
    <n v="4.3"/>
    <n v="301"/>
    <n v="4.1005879393825069"/>
    <s v="Medium (100-999)"/>
    <x v="4"/>
    <n v="53.5"/>
    <s v="Above median"/>
    <b v="0"/>
    <b v="0"/>
    <b v="0"/>
    <m/>
    <n v="1"/>
    <x v="0"/>
    <s v="https://www.amazon.in/Airtel-Pack-Entertainment-Installation-Months/dp/B0B8VQ7KDS/ref=sr_1_497?qid=1672909149&amp;s=electronics&amp;sr=1-497"/>
  </r>
  <r>
    <s v="B086JTMRYL"/>
    <s v="ESR USB C to Lightning Cable, 10 ft (3 m), MFi-Certified, Braided Nylon Power Delivery Fast Charging for iPhone 14/14 Plus/14 Pro/14 Pro Max, iPhone 13/12/11/X/8 Series, Use with Type-C Chargers, Black"/>
    <s v="Computers&amp;Accessories"/>
    <x v="0"/>
    <s v="Accessories&amp;Peripherals"/>
    <s v="USBCables"/>
    <n v="1519"/>
    <n v="1899"/>
    <n v="20"/>
    <n v="4.4000000000000004"/>
    <n v="19763"/>
    <n v="4.3495627762079794"/>
    <s v="High (1,000+)"/>
    <x v="4"/>
    <n v="54"/>
    <s v="Above median"/>
    <b v="0"/>
    <b v="0"/>
    <b v="0"/>
    <n v="5.08"/>
    <n v="1"/>
    <x v="0"/>
    <s v="https://www.amazon.in/ESR-Lightning-MFi-Certified-Delivery-Charging/dp/B086JTMRYL/ref=sr_1_498?qid=1672909149&amp;s=electronics&amp;sr=1-498"/>
  </r>
  <r>
    <s v="B09RWQ7YR6"/>
    <s v="MI 138.8 cm (55 inches) 5X Series 4K Ultra HD LED Smart Android TV L55M6-ES (Grey)"/>
    <s v="Electronics"/>
    <x v="1"/>
    <s v="HomeTheater,TV&amp;Video"/>
    <s v="SmartTelevisions"/>
    <n v="46999"/>
    <n v="69999"/>
    <n v="33"/>
    <n v="4.3"/>
    <n v="21252"/>
    <n v="4.2676063519830816"/>
    <s v="High (1,000+)"/>
    <x v="1"/>
    <n v="52.1"/>
    <s v="Above median"/>
    <b v="0"/>
    <b v="0"/>
    <b v="0"/>
    <n v="2.4700000000000002"/>
    <n v="2"/>
    <x v="1"/>
    <s v="https://www.amazon.in/138-8-inches-Ultra-Android-L55M6-ES/dp/B09RWQ7YR6/ref=sr_1_499?qid=1672909149&amp;s=electronics&amp;sr=1-499"/>
  </r>
  <r>
    <s v="B00OFM6PEO"/>
    <s v="Storite USB Extension Cable USB 3.0 Male to Female Extension Cable High Speed 5GBps Extension Cable Data Transfer for Keyboard, Mouse, Flash Drive, Hard Drive, Printer and More- 1.5M - Blue"/>
    <s v="Computers&amp;Accessories"/>
    <x v="0"/>
    <s v="Accessories&amp;Peripherals"/>
    <s v="USBCables"/>
    <n v="299"/>
    <n v="799"/>
    <n v="63"/>
    <n v="4.3"/>
    <n v="1902"/>
    <n v="4.1569492614848293"/>
    <s v="High (1,000+)"/>
    <x v="0"/>
    <n v="68.2"/>
    <s v="Top 25%"/>
    <b v="0"/>
    <b v="0"/>
    <b v="0"/>
    <n v="1"/>
    <n v="1"/>
    <x v="0"/>
    <s v="https://www.amazon.in/Storite%C2%AE-150cm-Female-Extension-Printers/dp/B00OFM6PEO/ref=sr_1_500?qid=1672909149&amp;s=electronics&amp;sr=1-500"/>
  </r>
  <r>
    <s v="B0BF57RN3K"/>
    <s v="Fire-Boltt Ninja Call Pro Plus 1.83&quot; Smart Watch with Bluetooth Calling, AI Voice Assistance, 100 Sports Modes IP67 Rating, 240*280 Pixel High Resolution"/>
    <s v="Electronics"/>
    <x v="1"/>
    <s v="WearableTechnology"/>
    <s v="SmartWatches"/>
    <n v="1799"/>
    <n v="19999"/>
    <n v="91"/>
    <n v="4.2"/>
    <n v="13937"/>
    <n v="4.1754760920749643"/>
    <s v="High (1,000+)"/>
    <x v="4"/>
    <n v="76.7"/>
    <s v="Top 25%"/>
    <b v="0"/>
    <b v="0"/>
    <b v="0"/>
    <n v="0.82"/>
    <n v="5"/>
    <x v="0"/>
    <s v="https://www.amazon.in/Fire-Boltt-Bluetooth-Calling-Assistance-Resolution/dp/B0BF57RN3K/ref=sr_1_1?qid=1672895748&amp;s=electronics&amp;sr=1-1"/>
  </r>
  <r>
    <s v="B08HV83HL3"/>
    <s v="MI Power Bank 3i 20000mAh Lithium Polymer 18W Fast Power Delivery Charging | Input- Type C | Micro USB| Triple Output | Sandstone Black"/>
    <s v="Electronics"/>
    <x v="1"/>
    <s v="Mobiles&amp;Accessories"/>
    <s v="PowerBanks"/>
    <n v="2049"/>
    <n v="2199"/>
    <n v="7"/>
    <n v="4.3"/>
    <n v="178912"/>
    <n v="4.2955641815999543"/>
    <s v="High (1,000+)"/>
    <x v="4"/>
    <n v="56.4"/>
    <s v="Above median"/>
    <b v="0"/>
    <b v="0"/>
    <b v="0"/>
    <m/>
    <n v="3"/>
    <x v="0"/>
    <s v="https://www.amazon.in/20000mAh-Sandstone-Triple-Charging-Delivery/dp/B08HV83HL3/ref=sr_1_6?qid=1672895748&amp;s=electronics&amp;sr=1-6"/>
  </r>
  <r>
    <s v="B0BBN4DZBD"/>
    <s v="Redmi A1 (Light Blue, 2GB RAM, 32GB Storage) | Segment Best AI Dual Cam | 5000mAh Battery | Leather Texture Design | Android 12"/>
    <s v="Electronics"/>
    <x v="1"/>
    <s v="Mobiles&amp;Accessories"/>
    <s v="Smartphones"/>
    <n v="6499"/>
    <n v="8999"/>
    <n v="28"/>
    <n v="4"/>
    <n v="7807"/>
    <n v="4.0275240150119549"/>
    <s v="High (1,000+)"/>
    <x v="3"/>
    <n v="20.3"/>
    <s v="Bottom 25%"/>
    <b v="0"/>
    <b v="0"/>
    <b v="0"/>
    <n v="0.48"/>
    <n v="3"/>
    <x v="0"/>
    <s v="https://www.amazon.in/Redmi-Storage-Segment-5000mAh-Battery/dp/B0BBN4DZBD/ref=sr_1_7?qid=1672895748&amp;s=electronics&amp;sr=1-7"/>
  </r>
  <r>
    <s v="B0B3CPQ5PF"/>
    <s v="OnePlus Nord 2T 5G (Jade Fog, 8GB RAM, 128GB Storage)"/>
    <s v="Electronics"/>
    <x v="1"/>
    <s v="Mobiles&amp;Accessories"/>
    <s v="Smartphones"/>
    <n v="28999"/>
    <n v="28999"/>
    <n v="0"/>
    <n v="4.3"/>
    <n v="17415"/>
    <n v="4.2617371782165421"/>
    <s v="High (1,000+)"/>
    <x v="1"/>
    <n v="44.7"/>
    <s v="Below median"/>
    <b v="0"/>
    <b v="0"/>
    <b v="0"/>
    <n v="2.15"/>
    <n v="3"/>
    <x v="0"/>
    <s v="https://www.amazon.in/OnePlus-Nord-Jade-128GB-Storage/dp/B0B3CPQ5PF/ref=sr_1_8?qid=1672895748&amp;s=electronics&amp;sr=1-8"/>
  </r>
  <r>
    <s v="B0B3CQBRB4"/>
    <s v="OnePlus Nord 2T 5G (Gray Shadow, 8GB RAM, 128GB Storage)"/>
    <s v="Electronics"/>
    <x v="1"/>
    <s v="Mobiles&amp;Accessories"/>
    <s v="Smartphones"/>
    <n v="28999"/>
    <n v="28999"/>
    <n v="0"/>
    <n v="4.3"/>
    <n v="17415"/>
    <n v="4.2617371782165421"/>
    <s v="High (1,000+)"/>
    <x v="1"/>
    <n v="44.7"/>
    <s v="Below median"/>
    <b v="0"/>
    <b v="0"/>
    <b v="0"/>
    <n v="2.15"/>
    <n v="3"/>
    <x v="1"/>
    <s v="https://www.amazon.in/OnePlus-Nord-Shadow-128GB-Storage/dp/B0B3CQBRB4/ref=sr_1_9?qid=1672895748&amp;s=electronics&amp;sr=1-9"/>
  </r>
  <r>
    <s v="B0BBN56J5H"/>
    <s v="Redmi A1 (Black, 2GB RAM, 32GB Storage) | Segment Best AI Dual Cam | 5000mAh Battery | Leather Texture Design | Android 12"/>
    <s v="Electronics"/>
    <x v="1"/>
    <s v="Mobiles&amp;Accessories"/>
    <s v="Smartphones"/>
    <n v="6499"/>
    <n v="8999"/>
    <n v="28"/>
    <n v="4"/>
    <n v="7807"/>
    <n v="4.0275240150119549"/>
    <s v="High (1,000+)"/>
    <x v="3"/>
    <n v="20.3"/>
    <s v="Bottom 25%"/>
    <b v="0"/>
    <b v="0"/>
    <b v="0"/>
    <n v="0.48"/>
    <n v="3"/>
    <x v="1"/>
    <s v="https://www.amazon.in/Redmi-Storage-Segment-5000mAh-Battery/dp/B0BBN56J5H/ref=sr_1_10?qid=1672895748&amp;s=electronics&amp;sr=1-10"/>
  </r>
  <r>
    <s v="B0BBN3WF7V"/>
    <s v="Redmi A1 (Light Green, 2GB RAM 32GB ROM) | Segment Best AI Dual Cam | 5000mAh Battery | Leather Texture Design | Android 12"/>
    <s v="Electronics"/>
    <x v="1"/>
    <s v="Mobiles&amp;Accessories"/>
    <s v="Smartphones"/>
    <n v="6499"/>
    <n v="8999"/>
    <n v="28"/>
    <n v="4"/>
    <n v="7807"/>
    <n v="4.0275240150119549"/>
    <s v="High (1,000+)"/>
    <x v="3"/>
    <n v="20.3"/>
    <s v="Bottom 25%"/>
    <b v="0"/>
    <b v="0"/>
    <b v="0"/>
    <n v="0.48"/>
    <n v="3"/>
    <x v="1"/>
    <s v="https://www.amazon.in/Redmi-Segment-5000mAh-Battery-Leather/dp/B0BBN3WF7V/ref=sr_1_11?qid=1672895748&amp;s=electronics&amp;sr=1-11"/>
  </r>
  <r>
    <s v="B0B5LVS732"/>
    <s v="Noise Pulse Go Buzz Smart Watch Bluetooth Calling with 1.69&quot; Display, 550 NITS, 150+ Cloud Watch Face, SPo2, Heart Rate Tracking, 100 Sports Mode with Auto Detection, Longer Battery (Jet Black)"/>
    <s v="Electronics"/>
    <x v="1"/>
    <s v="WearableTechnology"/>
    <s v="SmartWatches"/>
    <n v="1898"/>
    <n v="4999"/>
    <n v="62"/>
    <n v="4.0999999999999996"/>
    <n v="10689"/>
    <n v="4.0959996603591886"/>
    <s v="High (1,000+)"/>
    <x v="4"/>
    <n v="58.1"/>
    <s v="Above median"/>
    <b v="0"/>
    <b v="0"/>
    <b v="0"/>
    <n v="0.86"/>
    <n v="1"/>
    <x v="0"/>
    <s v="https://www.amazon.in/Noise-Bluetooth-Calling-Tracking-Detection/dp/B0B5LVS732/ref=sr_1_13?qid=1672895748&amp;s=electronics&amp;sr=1-13"/>
  </r>
  <r>
    <s v="B09V2Q4QVQ"/>
    <s v="Nokia 105 Single SIM, Keypad Mobile Phone with Wireless FM Radio | Charcoal"/>
    <s v="Electronics"/>
    <x v="1"/>
    <s v="Mobiles&amp;Accessories"/>
    <s v="BasicMobiles"/>
    <n v="1299"/>
    <n v="1599"/>
    <n v="19"/>
    <n v="4"/>
    <n v="128311"/>
    <n v="4.0024110748309152"/>
    <s v="High (1,000+)"/>
    <x v="4"/>
    <n v="23.9"/>
    <s v="Bottom 25%"/>
    <b v="0"/>
    <b v="0"/>
    <b v="0"/>
    <m/>
    <n v="4"/>
    <x v="0"/>
    <s v="https://www.amazon.in/Nokia-105-Single-Wireless-Charcoal/dp/B09V2Q4QVQ/ref=sr_1_14?qid=1672895748&amp;s=electronics&amp;sr=1-14"/>
  </r>
  <r>
    <s v="B01DEWVZ2C"/>
    <s v="JBL C100SI Wired In Ear Headphones with Mic, JBL Pure Bass Sound, One Button Multi-function Remote, Angled Buds for Comfort fit (Black)"/>
    <s v="Electronics"/>
    <x v="1"/>
    <s v="Headphones,Earbuds&amp;Accessories"/>
    <s v="In-Ear"/>
    <n v="599"/>
    <n v="999"/>
    <n v="40"/>
    <n v="4.0999999999999996"/>
    <n v="192590"/>
    <n v="4.0997055758988594"/>
    <s v="High (1,000+)"/>
    <x v="2"/>
    <n v="52.3"/>
    <s v="Above median"/>
    <b v="0"/>
    <b v="0"/>
    <b v="0"/>
    <n v="0.63"/>
    <n v="2"/>
    <x v="0"/>
    <s v="https://www.amazon.in/JBL-C100SI-Ear-Headphones-Black/dp/B01DEWVZ2C/ref=sr_1_16?qid=1672895748&amp;s=electronics&amp;sr=1-16"/>
  </r>
  <r>
    <s v="B0BMGB3CH9"/>
    <s v="Samsung Galaxy M04 Dark Blue, 4GB RAM, 64GB Storage | Upto 8GB RAM with RAM Plus | MediaTek Helio P35 | 5000 mAh Battery"/>
    <s v="Electronics"/>
    <x v="1"/>
    <s v="Mobiles&amp;Accessories"/>
    <s v="Smartphones"/>
    <n v="9499"/>
    <n v="11999"/>
    <n v="21"/>
    <n v="4.2"/>
    <n v="284"/>
    <n v="4.09273176613884"/>
    <s v="Medium (100-999)"/>
    <x v="3"/>
    <n v="30.2"/>
    <s v="Bottom 25%"/>
    <b v="0"/>
    <b v="0"/>
    <b v="0"/>
    <n v="0.7"/>
    <n v="3"/>
    <x v="0"/>
    <s v="https://www.amazon.in/Samsung-Galaxy-Storage-MediaTek-Battery/dp/B0BMGB3CH9/ref=sr_1_17?qid=1672895748&amp;s=electronics&amp;sr=1-17"/>
  </r>
  <r>
    <s v="B08D77XZX5"/>
    <s v="PTron Tangentbeat in-Ear Bluetooth 5.0 Wireless Headphones with Mic, Enhanced Bass, 10mm Drivers, Clear Calls, Snug-Fit, Fast Charging, Magnetic Buds, Voice Assistant &amp; IPX4 Wireless Neckband (Black)"/>
    <s v="Electronics"/>
    <x v="1"/>
    <s v="Headphones,Earbuds&amp;Accessories"/>
    <s v="In-Ear"/>
    <n v="599"/>
    <n v="2499"/>
    <n v="76"/>
    <n v="3.9"/>
    <n v="58162"/>
    <n v="3.9112183237923732"/>
    <s v="High (1,000+)"/>
    <x v="2"/>
    <n v="43.3"/>
    <s v="Below median"/>
    <b v="0"/>
    <b v="0"/>
    <b v="0"/>
    <n v="0.63"/>
    <n v="1"/>
    <x v="0"/>
    <s v="https://www.amazon.in/Tangentbeat-Bluetooth-Headphones-Waterproof-Cancelation/dp/B08D77XZX5/ref=sr_1_18?qid=1672895748&amp;s=electronics&amp;sr=1-18"/>
  </r>
  <r>
    <s v="B09XB8GFBQ"/>
    <s v="Redmi 10A (Charcoal Black, 4GB RAM, 64GB Storage) | 2 Ghz Octa Core Helio G25 | 5000 mAh Battery | Finger Print Sensor | Upto 5GB RAM with RAM Booster"/>
    <s v="Electronics"/>
    <x v="1"/>
    <s v="Mobiles&amp;Accessories"/>
    <s v="Smartphones"/>
    <n v="8999"/>
    <n v="11999"/>
    <n v="25"/>
    <n v="4"/>
    <n v="12796"/>
    <n v="4.0192311557013509"/>
    <s v="High (1,000+)"/>
    <x v="3"/>
    <n v="17.2"/>
    <s v="Bottom 25%"/>
    <b v="0"/>
    <b v="0"/>
    <b v="0"/>
    <n v="0.67"/>
    <n v="3"/>
    <x v="0"/>
    <s v="https://www.amazon.in/Redmi-Charcoal-Storage-Battery-Booster/dp/B09XB8GFBQ/ref=sr_1_19?qid=1672895748&amp;s=electronics&amp;sr=1-19"/>
  </r>
  <r>
    <s v="B07GPXXNNG"/>
    <s v="boAt Bassheads 100 in Ear Wired Earphones with Mic(Taffy Pink)"/>
    <s v="Electronics"/>
    <x v="1"/>
    <s v="Headphones,Earbuds&amp;Accessories"/>
    <s v="In-Ear"/>
    <n v="349"/>
    <n v="999"/>
    <n v="65"/>
    <n v="4.0999999999999996"/>
    <n v="363713"/>
    <n v="4.0998426809179964"/>
    <s v="High (1,000+)"/>
    <x v="0"/>
    <n v="69"/>
    <s v="Top 25%"/>
    <b v="0"/>
    <b v="0"/>
    <b v="0"/>
    <n v="0.37"/>
    <n v="3"/>
    <x v="0"/>
    <s v="https://www.amazon.in/Boat-BassHeads-100-Inspired-Earphones/dp/B07GPXXNNG/ref=sr_1_21?qid=1672895748&amp;s=electronics&amp;sr=1-21"/>
  </r>
  <r>
    <s v="B0BDYVC5TD"/>
    <s v="SanDisk Ultra® microSDXC™ UHS-I Card, 128GB, 140MB/s R, 10 Y Warranty, for Smartphones"/>
    <s v="Electronics"/>
    <x v="1"/>
    <s v="Accessories"/>
    <s v="MicroSD"/>
    <n v="959"/>
    <n v="1800"/>
    <n v="47"/>
    <n v="4.4000000000000004"/>
    <n v="67259"/>
    <n v="4.3832929337127604"/>
    <s v="High (1,000+)"/>
    <x v="2"/>
    <n v="69.3"/>
    <s v="Top 25%"/>
    <b v="0"/>
    <b v="0"/>
    <b v="0"/>
    <m/>
    <n v="5"/>
    <x v="1"/>
    <s v="https://www.amazon.in/SanDisk-Ultra%C2%AE-microSDXCTM-Warranty-Smartphones/dp/B0BDYVC5TD/ref=sr_1_22?qid=1672895748&amp;s=electronics&amp;sr=1-22"/>
  </r>
  <r>
    <s v="B0BMGB2TPR"/>
    <s v="Samsung Galaxy M04 Light Green, 4GB RAM, 64GB Storage | Upto 8GB RAM with RAM Plus | MediaTek Helio P35 | 5000 mAh Battery"/>
    <s v="Electronics"/>
    <x v="1"/>
    <s v="Mobiles&amp;Accessories"/>
    <s v="Smartphones"/>
    <n v="9499"/>
    <n v="11999"/>
    <n v="21"/>
    <n v="4.2"/>
    <n v="284"/>
    <n v="4.09273176613884"/>
    <s v="Medium (100-999)"/>
    <x v="3"/>
    <n v="30.2"/>
    <s v="Bottom 25%"/>
    <b v="0"/>
    <b v="0"/>
    <b v="0"/>
    <n v="0.7"/>
    <n v="3"/>
    <x v="1"/>
    <s v="https://www.amazon.in/Samsung-Galaxy-Storage-MediaTek-Battery/dp/B0BMGB2TPR/ref=sr_1_23?qid=1672895748&amp;s=electronics&amp;sr=1-23"/>
  </r>
  <r>
    <s v="B08MC57J31"/>
    <s v="MI 10000mAh Lithium Ion, Lithium Polymer Power Bank Pocket Pro with 22.5 Watt Fast Charging, Dual Input Ports(Micro-USB and Type C), Triple Output Ports, (Black)"/>
    <s v="Electronics"/>
    <x v="1"/>
    <s v="Mobiles&amp;Accessories"/>
    <s v="PowerBanks"/>
    <n v="1499"/>
    <n v="2499"/>
    <n v="40"/>
    <n v="4.3"/>
    <n v="15970"/>
    <n v="4.2589352130587006"/>
    <s v="High (1,000+)"/>
    <x v="4"/>
    <n v="66.5"/>
    <s v="Top 25%"/>
    <b v="0"/>
    <b v="0"/>
    <b v="0"/>
    <m/>
    <n v="1"/>
    <x v="0"/>
    <s v="https://www.amazon.in/Pocket-10000mAh-Triple-Charging-Delivery/dp/B08MC57J31/ref=sr_1_24?qid=1672895748&amp;s=electronics&amp;sr=1-24"/>
  </r>
  <r>
    <s v="B08HVL8QN3"/>
    <s v="Mi 10000mAH Li-Polymer, Micro-USB and Type C Input Port, Power Bank 3i with 18W Fast Charging (Midnight Black)"/>
    <s v="Electronics"/>
    <x v="1"/>
    <s v="Mobiles&amp;Accessories"/>
    <s v="PowerBanks"/>
    <n v="1149"/>
    <n v="2199"/>
    <n v="48"/>
    <n v="4.3"/>
    <n v="178912"/>
    <n v="4.2955641815999543"/>
    <s v="High (1,000+)"/>
    <x v="4"/>
    <n v="74.599999999999994"/>
    <s v="Top 25%"/>
    <b v="0"/>
    <b v="0"/>
    <b v="0"/>
    <m/>
    <n v="3"/>
    <x v="1"/>
    <s v="https://www.amazon.in/10000mAH-Li-Polymer-Power-Charging-Midnight/dp/B08HVL8QN3/ref=sr_1_25?qid=1672895755&amp;s=electronics&amp;sr=1-25"/>
  </r>
  <r>
    <s v="B0746JGVDS"/>
    <s v="ELV Car Mount Adjustable Car Phone Holder Universal Long Arm, Windshield for Smartphones - Black"/>
    <s v="Electronics"/>
    <x v="1"/>
    <s v="Mobiles&amp;Accessories"/>
    <s v="Cradles"/>
    <n v="349"/>
    <n v="999"/>
    <n v="65"/>
    <n v="3.9"/>
    <n v="46399"/>
    <n v="3.9138490494040412"/>
    <s v="High (1,000+)"/>
    <x v="0"/>
    <n v="45.9"/>
    <s v="Below median"/>
    <b v="0"/>
    <b v="0"/>
    <b v="0"/>
    <m/>
    <n v="1"/>
    <x v="0"/>
    <s v="https://www.amazon.in/Adjustable-Holder-Universal-Windshield-Smartphones/dp/B0746JGVDS/ref=sr_1_26?qid=1672895755&amp;s=electronics&amp;sr=1-26"/>
  </r>
  <r>
    <s v="B08VFF6JQ8"/>
    <s v="Samsung 25W USB Travel Adapter for Cellular Phones - White"/>
    <s v="Electronics"/>
    <x v="1"/>
    <s v="Mobiles&amp;Accessories"/>
    <s v="WallChargers"/>
    <n v="1219"/>
    <n v="1699"/>
    <n v="28"/>
    <n v="4.4000000000000004"/>
    <n v="8891"/>
    <n v="4.3062266639017519"/>
    <s v="High (1,000+)"/>
    <x v="4"/>
    <n v="66.400000000000006"/>
    <s v="Top 25%"/>
    <b v="0"/>
    <b v="0"/>
    <b v="0"/>
    <n v="2.44"/>
    <n v="1"/>
    <x v="0"/>
    <s v="https://www.amazon.in/Samsung-25W-Travel-Adapter/dp/B08VFF6JQ8/ref=sr_1_27_mod_primary_new?qid=1672895755&amp;s=electronics&amp;sbo=RZvfv%2F%2FHxDF%2BO5021pAnSA%3D%3D&amp;sr=1-27"/>
  </r>
  <r>
    <s v="B09NVPSCQT"/>
    <s v="Noise ColorFit Pulse Grand Smart Watch with 1.69&quot;(4.29cm) HD Display, 60 Sports Modes, 150 Watch Faces, Fast Charge, Spo2, Stress, Sleep, Heart Rate Monitoring &amp; IP68 Waterproof (Jet Black)"/>
    <s v="Electronics"/>
    <x v="1"/>
    <s v="WearableTechnology"/>
    <s v="SmartWatches"/>
    <n v="1599"/>
    <n v="3999"/>
    <n v="60"/>
    <n v="4"/>
    <n v="30254"/>
    <n v="4.0093613126477097"/>
    <s v="High (1,000+)"/>
    <x v="4"/>
    <n v="40.6"/>
    <s v="Below median"/>
    <b v="0"/>
    <b v="0"/>
    <b v="0"/>
    <n v="0.73"/>
    <n v="3"/>
    <x v="0"/>
    <s v="https://www.amazon.in/Noise-ColorFit-Display-Monitoring-Smartwatches/dp/B09NVPSCQT/ref=sr_1_28?qid=1672895755&amp;s=electronics&amp;sr=1-28"/>
  </r>
  <r>
    <s v="B09TWHTBKQ"/>
    <s v="Samsung Galaxy M33 5G (Mystique Green, 8GB, 128GB Storage) | 6000mAh Battery | Upto 16GB RAM with RAM Plus | Travel Adapter to be Purchased Separately"/>
    <s v="Electronics"/>
    <x v="1"/>
    <s v="Mobiles&amp;Accessories"/>
    <s v="Smartphones"/>
    <n v="18499"/>
    <n v="25999"/>
    <n v="29"/>
    <n v="4.0999999999999996"/>
    <n v="22318"/>
    <n v="4.0977833665643226"/>
    <s v="High (1,000+)"/>
    <x v="1"/>
    <n v="35"/>
    <s v="Bottom 25%"/>
    <b v="0"/>
    <b v="0"/>
    <b v="0"/>
    <n v="1.37"/>
    <n v="3"/>
    <x v="0"/>
    <s v="https://www.amazon.in/Samsung-Mystique-Storage-Purchased-Separately/dp/B09TWHTBKQ/ref=sr_1_30?qid=1672895755&amp;s=electronics&amp;sr=1-30"/>
  </r>
  <r>
    <s v="B08L5HMJVW"/>
    <s v="SanDisk Ultra microSD UHS-I Card 32GB, 120MB/s R"/>
    <s v="Electronics"/>
    <x v="1"/>
    <s v="Accessories"/>
    <s v="MicroSD"/>
    <n v="369"/>
    <n v="700"/>
    <n v="47"/>
    <n v="4.4000000000000004"/>
    <n v="67259"/>
    <n v="4.3832929337127604"/>
    <s v="High (1,000+)"/>
    <x v="0"/>
    <n v="76.900000000000006"/>
    <s v="Top 25%"/>
    <b v="0"/>
    <b v="0"/>
    <b v="0"/>
    <m/>
    <n v="5"/>
    <x v="1"/>
    <s v="https://www.amazon.in/SanDisk-Ultra-microSD-UHS-I-120MB/dp/B08L5HMJVW/ref=sr_1_31?qid=1672895755&amp;s=electronics&amp;sr=1-31"/>
  </r>
  <r>
    <s v="B0B4F2XCK3"/>
    <s v="Samsung Galaxy M13 (Aqua Green, 6GB, 128GB Storage) | 6000mAh Battery | Upto 12GB RAM with RAM Plus"/>
    <s v="Electronics"/>
    <x v="1"/>
    <s v="Mobiles&amp;Accessories"/>
    <s v="Smartphones"/>
    <n v="12999"/>
    <n v="17999"/>
    <n v="28"/>
    <n v="4.0999999999999996"/>
    <n v="18998"/>
    <n v="4.0974600334650297"/>
    <s v="High (1,000+)"/>
    <x v="1"/>
    <n v="34.799999999999997"/>
    <s v="Bottom 25%"/>
    <b v="0"/>
    <b v="0"/>
    <b v="0"/>
    <n v="0.96"/>
    <n v="8"/>
    <x v="0"/>
    <s v="https://www.amazon.in/Samsung-Galaxy-Storage-6000mAh-Battery/dp/B0B4F2XCK3/ref=sr_1_32?qid=1672895755&amp;s=electronics&amp;sr=1-32"/>
  </r>
  <r>
    <s v="B0BF54972T"/>
    <s v="Fire-Boltt Ninja Call Pro Plus 1.83&quot; Smart Watch with Bluetooth Calling, AI Voice Assistance, 100 Sports Modes IP67 Rating, 240*280 Pixel High Resolution"/>
    <s v="Electronics"/>
    <x v="1"/>
    <s v="WearableTechnology"/>
    <s v="SmartWatches"/>
    <n v="1799"/>
    <n v="19999"/>
    <n v="91"/>
    <n v="4.2"/>
    <n v="13937"/>
    <n v="4.1754760920749643"/>
    <s v="High (1,000+)"/>
    <x v="4"/>
    <n v="76.7"/>
    <s v="Top 25%"/>
    <b v="0"/>
    <b v="0"/>
    <b v="0"/>
    <n v="0.82"/>
    <n v="5"/>
    <x v="1"/>
    <s v="https://www.amazon.in/Fire-Boltt-Bluetooth-Calling-Assistance-Resolution/dp/B0BF54972T/ref=sr_1_33?qid=1672895755&amp;s=electronics&amp;sr=1-33"/>
  </r>
  <r>
    <s v="B09TWH8YHM"/>
    <s v="Samsung Galaxy M33 5G (Emerald Brown, 6GB, 128GB Storage) | 6000mAh Battery | Upto 12GB RAM with RAM Plus | Travel Adapter to be Purchased Separately"/>
    <s v="Electronics"/>
    <x v="1"/>
    <s v="Mobiles&amp;Accessories"/>
    <s v="Smartphones"/>
    <n v="16999"/>
    <n v="24999"/>
    <n v="32"/>
    <n v="4.0999999999999996"/>
    <n v="22318"/>
    <n v="4.0977833665643226"/>
    <s v="High (1,000+)"/>
    <x v="1"/>
    <n v="36"/>
    <s v="Bottom 25%"/>
    <b v="0"/>
    <b v="0"/>
    <b v="0"/>
    <n v="1.26"/>
    <n v="3"/>
    <x v="1"/>
    <s v="https://www.amazon.in/Samsung-Storage-6000mAh-Purchased-Separately/dp/B09TWH8YHM/ref=sr_1_35?qid=1672895755&amp;s=electronics&amp;sr=1-35"/>
  </r>
  <r>
    <s v="B07WGMMQGP"/>
    <s v="iQOO vivo Z6 5G (Chromatic Blue, 6GB RAM, 128GB Storage) | Snapdragon 695-6nm Processor | 120Hz FHD+ Display | 5000mAh Battery"/>
    <s v="Electronics"/>
    <x v="1"/>
    <s v="Mobiles&amp;Accessories"/>
    <s v="Smartphones"/>
    <n v="16499"/>
    <n v="20999"/>
    <n v="21"/>
    <n v="4"/>
    <n v="21350"/>
    <n v="4.0126805014108839"/>
    <s v="High (1,000+)"/>
    <x v="1"/>
    <n v="13.3"/>
    <s v="Bottom 25%"/>
    <b v="0"/>
    <b v="0"/>
    <b v="0"/>
    <n v="1.22"/>
    <n v="3"/>
    <x v="0"/>
    <s v="https://www.amazon.in/iQOO-Chromatic-Storage-Snapdragon-Processor/dp/B07WGMMQGP/ref=sr_1_36?qid=1672895755&amp;s=electronics&amp;sr=1-36"/>
  </r>
  <r>
    <s v="B0BF563HB4"/>
    <s v="Fire-Boltt Ninja Call Pro Plus 1.83&quot; Smart Watch with Bluetooth Calling, AI Voice Assistance, 100 Sports Modes IP67 Rating, 240*280 Pixel High Resolution"/>
    <s v="Electronics"/>
    <x v="1"/>
    <s v="WearableTechnology"/>
    <s v="SmartWatches"/>
    <n v="1799"/>
    <n v="19999"/>
    <n v="91"/>
    <n v="4.2"/>
    <n v="13937"/>
    <n v="4.1754760920749643"/>
    <s v="High (1,000+)"/>
    <x v="4"/>
    <n v="76.7"/>
    <s v="Top 25%"/>
    <b v="0"/>
    <b v="0"/>
    <b v="0"/>
    <n v="0.82"/>
    <n v="5"/>
    <x v="1"/>
    <s v="https://www.amazon.in/Fire-Boltt-Bluetooth-Calling-Assistance-Resolution/dp/B0BF563HB4/ref=sr_1_37?qid=1672895755&amp;s=electronics&amp;sr=1-37"/>
  </r>
  <r>
    <s v="B07JW9H4J1"/>
    <s v="Wayona Nylon Braided USB to Lightning Fast Charging and Data Sync Cable Compatible for iPhone 13, 12,11, X, 8, 7, 6, 5, iPad Air, Pro, Mini (3 FT Pack of 1, Grey)"/>
    <s v="Computers&amp;Accessories"/>
    <x v="0"/>
    <s v="Accessories&amp;Peripherals"/>
    <s v="USBCables"/>
    <n v="399"/>
    <n v="1099"/>
    <n v="64"/>
    <n v="4.2"/>
    <n v="24270"/>
    <n v="4.1845157974380029"/>
    <s v="High (1,000+)"/>
    <x v="0"/>
    <n v="69.2"/>
    <s v="Top 25%"/>
    <b v="0"/>
    <b v="0"/>
    <b v="0"/>
    <n v="1.33"/>
    <n v="6"/>
    <x v="0"/>
    <s v="https://www.amazon.in/Wayona-Braided-WN3LG1-Syncing-Charging/dp/B07JW9H4J1/ref=sr_1_38?qid=1672895755&amp;s=electronics&amp;sr=1-38"/>
  </r>
  <r>
    <s v="B09GFPVD9Y"/>
    <s v="Redmi 9 Activ (Carbon Black, 4GB RAM, 64GB Storage) | Octa-core Helio G35 | 5000 mAh Battery"/>
    <s v="Electronics"/>
    <x v="1"/>
    <s v="Mobiles&amp;Accessories"/>
    <s v="Smartphones"/>
    <n v="8499"/>
    <n v="10999"/>
    <n v="23"/>
    <n v="4.0999999999999996"/>
    <n v="313836"/>
    <n v="4.0998179748697829"/>
    <s v="High (1,000+)"/>
    <x v="3"/>
    <n v="36.4"/>
    <s v="Bottom 25%"/>
    <b v="0"/>
    <b v="0"/>
    <b v="0"/>
    <n v="0.63"/>
    <n v="4"/>
    <x v="0"/>
    <s v="https://www.amazon.in/Redmi-Activ-Carbon-Black-Storage/dp/B09GFPVD9Y/ref=sr_1_39?qid=1672895755&amp;s=electronics&amp;sr=1-39"/>
  </r>
  <r>
    <s v="B09GFLXVH9"/>
    <s v="Redmi 9A Sport (Coral Green, 2GB RAM, 32GB Storage) | 2GHz Octa-core Helio G25 Processor | 5000 mAh Battery"/>
    <s v="Electronics"/>
    <x v="1"/>
    <s v="Mobiles&amp;Accessories"/>
    <s v="Smartphones"/>
    <n v="6499"/>
    <n v="8499"/>
    <n v="24"/>
    <n v="4.0999999999999996"/>
    <n v="313836"/>
    <n v="4.0998179748697829"/>
    <s v="High (1,000+)"/>
    <x v="3"/>
    <n v="37.299999999999997"/>
    <s v="Bottom 25%"/>
    <b v="0"/>
    <b v="0"/>
    <b v="0"/>
    <n v="0.48"/>
    <n v="4"/>
    <x v="1"/>
    <s v="https://www.amazon.in/Redmi-9A-Sport-Octa-core-Processor/dp/B09GFLXVH9/ref=sr_1_40?qid=1672895755&amp;s=electronics&amp;sr=1-40"/>
  </r>
  <r>
    <s v="B0BF4YBLPX"/>
    <s v="Fire-Boltt Ninja Call Pro Plus 1.83&quot; Smart Watch with Bluetooth Calling, AI Voice Assistance, 100 Sports Modes IP67 Rating, 240*280 Pixel High Resolution"/>
    <s v="Electronics"/>
    <x v="1"/>
    <s v="WearableTechnology"/>
    <s v="SmartWatches"/>
    <n v="1799"/>
    <n v="19999"/>
    <n v="91"/>
    <n v="4.2"/>
    <n v="13937"/>
    <n v="4.1754760920749643"/>
    <s v="High (1,000+)"/>
    <x v="4"/>
    <n v="76.7"/>
    <s v="Top 25%"/>
    <b v="0"/>
    <b v="0"/>
    <b v="0"/>
    <n v="0.82"/>
    <n v="5"/>
    <x v="1"/>
    <s v="https://www.amazon.in/Fire-Boltt-Bluetooth-Calling-Assistance-Resolution/dp/B0BF4YBLPX/ref=sr_1_41?qid=1672895755&amp;s=electronics&amp;sr=1-41"/>
  </r>
  <r>
    <s v="B09XB7DPW1"/>
    <s v="Redmi 10A (Sea Blue, 4GB RAM, 64GB Storage) | 2 Ghz Octa Core Helio G25 | 5000 mAh Battery | Finger Print Sensor | Upto 5GB RAM with RAM Booster"/>
    <s v="Electronics"/>
    <x v="1"/>
    <s v="Mobiles&amp;Accessories"/>
    <s v="Smartphones"/>
    <n v="8999"/>
    <n v="11999"/>
    <n v="25"/>
    <n v="4"/>
    <n v="12796"/>
    <n v="4.0192311557013509"/>
    <s v="High (1,000+)"/>
    <x v="3"/>
    <n v="17.2"/>
    <s v="Bottom 25%"/>
    <b v="0"/>
    <b v="0"/>
    <b v="0"/>
    <n v="0.67"/>
    <n v="3"/>
    <x v="1"/>
    <s v="https://www.amazon.in/Redmi-Storage-Battery-Finger-Booster/dp/B09XB7DPW1/ref=sr_1_42?qid=1672895755&amp;s=electronics&amp;sr=1-42"/>
  </r>
  <r>
    <s v="B07PFJ5W31"/>
    <s v="AGARO Blaze USB 3.0 to USB Type C OTG Adapter"/>
    <s v="Electronics"/>
    <x v="1"/>
    <s v="Mobiles&amp;Accessories"/>
    <s v="OTGAdapters"/>
    <n v="139"/>
    <n v="495"/>
    <n v="72"/>
    <n v="4.3"/>
    <n v="14185"/>
    <n v="4.2548510428572683"/>
    <s v="High (1,000+)"/>
    <x v="0"/>
    <n v="88.6"/>
    <s v="Top 25%"/>
    <b v="1"/>
    <b v="0"/>
    <b v="0"/>
    <m/>
    <n v="2"/>
    <x v="0"/>
    <s v="https://www.amazon.in/AGARO-Type-C-USB-Female-Adapter/dp/B07PFJ5W31/ref=sr_1_43?qid=1672895755&amp;s=electronics&amp;sr=1-43"/>
  </r>
  <r>
    <s v="B07WJV6P1R"/>
    <s v="iQOO Z6 Lite 5G by vivo (Stellar Green, 6GB RAM, 128GB Storage) | World's First Snapdragon 4 Gen 1 | 120Hz Refresh Rate | 5000mAh Battery | Travel Adapter to be Purchased Separately"/>
    <s v="Electronics"/>
    <x v="1"/>
    <s v="Mobiles&amp;Accessories"/>
    <s v="Smartphones"/>
    <n v="15499"/>
    <n v="18999"/>
    <n v="18"/>
    <n v="4.0999999999999996"/>
    <n v="19252"/>
    <n v="4.0974880658576467"/>
    <s v="High (1,000+)"/>
    <x v="1"/>
    <n v="31.3"/>
    <s v="Bottom 25%"/>
    <b v="0"/>
    <b v="0"/>
    <b v="0"/>
    <n v="1.1499999999999999"/>
    <n v="6"/>
    <x v="1"/>
    <s v="https://www.amazon.in/iQOO-Stellar-Snapdragon-Purchased-Separately/dp/B07WJV6P1R/ref=sr_1_47?qid=1672895755&amp;s=electronics&amp;sr=1-47"/>
  </r>
  <r>
    <s v="B096MSW6CT"/>
    <s v="Sounce Fast Phone Charging Cable &amp; Data Sync USB Cable Compatible for iPhone 13, 12,11, X, 8, 7, 6, 5, iPad Air, Pro, Mini &amp; iOS Devices"/>
    <s v="Computers&amp;Accessories"/>
    <x v="0"/>
    <s v="Accessories&amp;Peripherals"/>
    <s v="USBCables"/>
    <n v="199"/>
    <n v="999"/>
    <n v="80"/>
    <n v="3.9"/>
    <n v="7928"/>
    <n v="3.9594233857987948"/>
    <s v="High (1,000+)"/>
    <x v="0"/>
    <n v="48.5"/>
    <s v="Below median"/>
    <b v="0"/>
    <b v="0"/>
    <b v="0"/>
    <n v="0.67"/>
    <n v="1"/>
    <x v="0"/>
    <s v="https://www.amazon.in/Sounce-iPhone-Charging-Compatible-Devices/dp/B096MSW6CT/ref=sr_1_48?qid=1672895755&amp;s=electronics&amp;sr=1-48"/>
  </r>
  <r>
    <s v="B0BF54LXW6"/>
    <s v="Fire-Boltt Ninja Call Pro Plus 1.83&quot; Smart Watch with Bluetooth Calling, AI Voice Assistance, 100 Sports Modes IP67 Rating, 240*280 Pixel High Resolution"/>
    <s v="Electronics"/>
    <x v="1"/>
    <s v="WearableTechnology"/>
    <s v="SmartWatches"/>
    <n v="1799"/>
    <n v="19999"/>
    <n v="91"/>
    <n v="4.2"/>
    <n v="13937"/>
    <n v="4.1754760920749643"/>
    <s v="High (1,000+)"/>
    <x v="4"/>
    <n v="76.7"/>
    <s v="Top 25%"/>
    <b v="0"/>
    <b v="0"/>
    <b v="0"/>
    <n v="0.82"/>
    <n v="5"/>
    <x v="1"/>
    <s v="https://www.amazon.in/Fire-Boltt-Bluetooth-Calling-Assistance-Resolution/dp/B0BF54LXW6/ref=sr_1_49?qid=1672895762&amp;s=electronics&amp;sr=1-49"/>
  </r>
  <r>
    <s v="B09XB7SRQ5"/>
    <s v="Redmi 10A (Slate Grey, 4GB RAM, 64GB Storage) | 2 Ghz Octa Core Helio G25 | 5000 mAh Battery | Finger Print Sensor | Upto 5GB RAM with RAM Booster"/>
    <s v="Electronics"/>
    <x v="1"/>
    <s v="Mobiles&amp;Accessories"/>
    <s v="Smartphones"/>
    <n v="8999"/>
    <n v="11999"/>
    <n v="25"/>
    <n v="4"/>
    <n v="12796"/>
    <n v="4.0192311557013509"/>
    <s v="High (1,000+)"/>
    <x v="3"/>
    <n v="17.2"/>
    <s v="Bottom 25%"/>
    <b v="0"/>
    <b v="0"/>
    <b v="0"/>
    <n v="0.67"/>
    <n v="3"/>
    <x v="1"/>
    <s v="https://www.amazon.in/Redmi-Storage-Battery-Finger-Booster/dp/B09XB7SRQ5/ref=sr_1_50?qid=1672895762&amp;s=electronics&amp;sr=1-50"/>
  </r>
  <r>
    <s v="B09FFK1PQG"/>
    <s v="Duracell 38W Fast Car Charger Adapter with Dual Output. Quick Charge, Type C PD 20W &amp; Qualcomm Certified 3.0 Compatible for iPhone, All Smartphones, Tablets &amp; More (Copper &amp; Black)"/>
    <s v="Electronics"/>
    <x v="1"/>
    <s v="Mobiles&amp;Accessories"/>
    <s v="AutomobileChargers"/>
    <n v="873"/>
    <n v="1699"/>
    <n v="49"/>
    <n v="4.4000000000000004"/>
    <n v="1680"/>
    <n v="4.1819823778926626"/>
    <s v="High (1,000+)"/>
    <x v="2"/>
    <n v="67.900000000000006"/>
    <s v="Top 25%"/>
    <b v="0"/>
    <b v="0"/>
    <b v="0"/>
    <m/>
    <n v="1"/>
    <x v="0"/>
    <s v="https://www.amazon.in/DURACELL-Charger-Qualcomm-Certified-Charge/dp/B09FFK1PQG/ref=sr_1_51?qid=1672895762&amp;s=electronics&amp;sr=1-51"/>
  </r>
  <r>
    <s v="B09RMQYHLH"/>
    <s v="realme narzo 50 (Speed Blue, 4GB RAM+64GB Storage) Helio G96 Processor | 50MP AI Triple Camera | 120Hz Ultra Smooth Display"/>
    <s v="Electronics"/>
    <x v="1"/>
    <s v="Mobiles&amp;Accessories"/>
    <s v="Smartphones"/>
    <n v="12999"/>
    <n v="15999"/>
    <n v="19"/>
    <n v="4.2"/>
    <n v="13246"/>
    <n v="4.1744797655102337"/>
    <s v="High (1,000+)"/>
    <x v="1"/>
    <n v="41.1"/>
    <s v="Below median"/>
    <b v="0"/>
    <b v="0"/>
    <b v="0"/>
    <n v="0.96"/>
    <n v="1"/>
    <x v="0"/>
    <s v="https://www.amazon.in/realme-Storage-Processor-Triple-Display/dp/B09RMQYHLH/ref=sr_1_52?qid=1672895762&amp;s=electronics&amp;sr=1-52"/>
  </r>
  <r>
    <s v="B08ZN4B121"/>
    <s v="WeCool Bluetooth Extendable Selfie Sticks with Wireless Remote and Tripod Stand, 3-in-1 Multifunctional Selfie Stick with Tripod Stand Compatible with iPhone/OnePlus/Samsung/Oppo/Vivo and All Phones"/>
    <s v="Electronics"/>
    <x v="1"/>
    <s v="Mobiles&amp;Accessories"/>
    <s v="Tripods"/>
    <n v="539"/>
    <n v="1599"/>
    <n v="66"/>
    <n v="3.8"/>
    <n v="14648"/>
    <n v="3.85817001665793"/>
    <s v="High (1,000+)"/>
    <x v="2"/>
    <n v="44.2"/>
    <s v="Below median"/>
    <b v="0"/>
    <b v="0"/>
    <b v="1"/>
    <m/>
    <n v="1"/>
    <x v="0"/>
    <s v="https://www.amazon.in/WeCool-Bluetooth-Extendable-Multifunctional-Compatible/dp/B08ZN4B121/ref=sr_1_53?qid=1672895762&amp;s=electronics&amp;sr=1-53"/>
  </r>
  <r>
    <s v="B0B3RSDSZ3"/>
    <s v="Fire-Boltt Phoenix Smart Watch with Bluetooth Calling 1.3&quot;,120+ Sports Modes, 240*240 PX High Res with SpO2, Heart Rate Monitoring &amp; IP67 Rating"/>
    <s v="Electronics"/>
    <x v="1"/>
    <s v="WearableTechnology"/>
    <s v="SmartWatches"/>
    <n v="1999"/>
    <n v="9999"/>
    <n v="80"/>
    <n v="4.3"/>
    <n v="27696"/>
    <n v="4.2742419089174879"/>
    <s v="High (1,000+)"/>
    <x v="4"/>
    <n v="82.6"/>
    <s v="Top 25%"/>
    <b v="0"/>
    <b v="0"/>
    <b v="0"/>
    <n v="0.91"/>
    <n v="3"/>
    <x v="1"/>
    <s v="https://www.amazon.in/Fire-Boltt-Phoenix-Bluetooth-Calling-Monitoring/dp/B0B3RSDSZ3/ref=sr_1_54?qid=1672895762&amp;s=electronics&amp;sr=1-54"/>
  </r>
  <r>
    <s v="B08VB34KJ1"/>
    <s v="OPPO A74 5G (Fantastic Purple,6GB RAM,128GB Storage) with No Cost EMI/Additional Exchange Offers"/>
    <s v="Electronics"/>
    <x v="1"/>
    <s v="Mobiles&amp;Accessories"/>
    <s v="Smartphones"/>
    <n v="15490"/>
    <n v="20990"/>
    <n v="26"/>
    <n v="4.2"/>
    <n v="32916"/>
    <n v="4.1881657944485413"/>
    <s v="High (1,000+)"/>
    <x v="1"/>
    <n v="45.3"/>
    <s v="Below median"/>
    <b v="0"/>
    <b v="0"/>
    <b v="0"/>
    <n v="1.1499999999999999"/>
    <n v="2"/>
    <x v="0"/>
    <s v="https://www.amazon.in/OPPO-Fantastic-Purple-128GB-Storage/dp/B08VB34KJ1/ref=sr_1_55?qid=1672895762&amp;s=electronics&amp;sr=1-55"/>
  </r>
  <r>
    <s v="B09T39K9YL"/>
    <s v="Redmi Note 11 Pro + 5G (Stealth Black, 6GB RAM, 128GB Storage) | 67W Turbo Charge | 120Hz Super AMOLED Display | Additional Exchange Offers | Charger Included"/>
    <s v="Electronics"/>
    <x v="1"/>
    <s v="Mobiles&amp;Accessories"/>
    <s v="Smartphones"/>
    <n v="19999"/>
    <n v="24999"/>
    <n v="20"/>
    <n v="3.9"/>
    <n v="25824"/>
    <n v="3.9234799348243561"/>
    <s v="High (1,000+)"/>
    <x v="1"/>
    <n v="8.3000000000000007"/>
    <s v="Bottom 25%"/>
    <b v="0"/>
    <b v="0"/>
    <b v="0"/>
    <n v="1.48"/>
    <n v="3"/>
    <x v="0"/>
    <s v="https://www.amazon.in/Redmi-Stealth-Additional-Exchange-Included/dp/B09T39K9YL/ref=sr_1_56?qid=1672895762&amp;s=electronics&amp;sr=1-56"/>
  </r>
  <r>
    <s v="B08VF8V79P"/>
    <s v="Samsung Original 25W USB Travel Lightning Adapter for Cellular Phones, Black"/>
    <s v="Electronics"/>
    <x v="1"/>
    <s v="Mobiles&amp;Accessories"/>
    <s v="WallChargers"/>
    <n v="1075"/>
    <n v="1699"/>
    <n v="37"/>
    <n v="4.4000000000000004"/>
    <n v="7462"/>
    <n v="4.2942883060876493"/>
    <s v="High (1,000+)"/>
    <x v="4"/>
    <n v="69.7"/>
    <s v="Top 25%"/>
    <b v="0"/>
    <b v="0"/>
    <b v="0"/>
    <n v="2.15"/>
    <n v="1"/>
    <x v="0"/>
    <s v="https://www.amazon.in/Samsung-EP-TA800NBEGIN-25W-Travel-Adapter/dp/B08VF8V79P/ref=sr_1_57?qid=1672895762&amp;s=electronics&amp;sr=1-57"/>
  </r>
  <r>
    <s v="B08G28Z33M"/>
    <s v="realme Buds Classic Wired in Ear Earphones with Mic (Black)"/>
    <s v="Electronics"/>
    <x v="1"/>
    <s v="Headphones,Earbuds&amp;Accessories"/>
    <s v="In-Ear"/>
    <n v="399"/>
    <n v="699"/>
    <n v="43"/>
    <n v="4"/>
    <n v="37817"/>
    <n v="4.0076585599076662"/>
    <s v="High (1,000+)"/>
    <x v="0"/>
    <n v="35.299999999999997"/>
    <s v="Bottom 25%"/>
    <b v="0"/>
    <b v="0"/>
    <b v="0"/>
    <n v="0.42"/>
    <n v="1"/>
    <x v="0"/>
    <s v="https://www.amazon.in/realme-Classic-Wired-Earphones-Microphone/dp/B08G28Z33M/ref=sr_1_58?qid=1672895762&amp;s=electronics&amp;sr=1-58"/>
  </r>
  <r>
    <s v="B09PNKXSKF"/>
    <s v="Noise ColorFit Pulse Grand Smart Watch with 1.69&quot; HD Display, 60 Sports Modes, 150 Watch Faces, Spo2 Monitoring, Call Notification, Quick Replies to Text &amp; Calls (Rose Pink)"/>
    <s v="Electronics"/>
    <x v="1"/>
    <s v="WearableTechnology"/>
    <s v="SmartWatches"/>
    <n v="1999"/>
    <n v="3990"/>
    <n v="50"/>
    <n v="4"/>
    <n v="30254"/>
    <n v="4.0093613126477097"/>
    <s v="High (1,000+)"/>
    <x v="4"/>
    <n v="33.4"/>
    <s v="Bottom 25%"/>
    <b v="0"/>
    <b v="0"/>
    <b v="0"/>
    <n v="0.91"/>
    <n v="3"/>
    <x v="1"/>
    <s v="https://www.amazon.in/Noise-ColorFit-Display-Monitoring-Smartwatches/dp/B09PNKXSKF/ref=sr_1_59?qid=1672895762&amp;s=electronics&amp;sr=1-59"/>
  </r>
  <r>
    <s v="B0B5DDJNH4"/>
    <s v="boAt Wave Call Smart Watch, Smart Talk with Advanced Dedicated Bluetooth Calling Chip, 1.69” HD Display with 550 NITS &amp; 70% Color Gamut, 150+ Watch Faces, Multi-Sport Modes, HR, SpO2, IP68(Mauve)"/>
    <s v="Electronics"/>
    <x v="1"/>
    <s v="WearableTechnology"/>
    <s v="SmartWatches"/>
    <n v="1999"/>
    <n v="7990"/>
    <n v="75"/>
    <n v="3.8"/>
    <n v="17831"/>
    <n v="3.8495954380568609"/>
    <s v="High (1,000+)"/>
    <x v="4"/>
    <n v="38.700000000000003"/>
    <s v="Below median"/>
    <b v="0"/>
    <b v="0"/>
    <b v="1"/>
    <n v="0.91"/>
    <n v="4"/>
    <x v="1"/>
    <s v="https://www.amazon.in/boAt-Wave-Call-Dedicated-Multi-Sport/dp/B0B5DDJNH4/ref=sr_1_60?qid=1672895762&amp;s=electronics&amp;sr=1-60"/>
  </r>
  <r>
    <s v="B08CF3B7N1"/>
    <s v="Portronics Konnect L 1.2M Fast Charging 3A 8 Pin USB Cable with Charge &amp; Sync Function for iPhone, iPad (Grey)"/>
    <s v="Computers&amp;Accessories"/>
    <x v="0"/>
    <s v="Accessories&amp;Peripherals"/>
    <s v="USBCables"/>
    <n v="154"/>
    <n v="399"/>
    <n v="61"/>
    <n v="4.2"/>
    <n v="16905"/>
    <n v="4.1789978996821491"/>
    <s v="High (1,000+)"/>
    <x v="0"/>
    <n v="74"/>
    <s v="Top 25%"/>
    <b v="0"/>
    <b v="0"/>
    <b v="0"/>
    <n v="0.52"/>
    <n v="1"/>
    <x v="0"/>
    <s v="https://www.amazon.in/Portronics-Konnect-POR-1080-Charging-Function/dp/B08CF3B7N1/ref=sr_1_62?qid=1672895762&amp;s=electronics&amp;sr=1-62"/>
  </r>
  <r>
    <s v="B07WDKLDRX"/>
    <s v="iQOO Neo 6 5G (Dark Nova, 8GB RAM, 128GB Storage) | Snapdragon® 870 5G | 80W FlashCharge"/>
    <s v="Electronics"/>
    <x v="1"/>
    <s v="Mobiles&amp;Accessories"/>
    <s v="Smartphones"/>
    <n v="28999"/>
    <n v="34999"/>
    <n v="17"/>
    <n v="4.4000000000000004"/>
    <n v="20311"/>
    <n v="4.350710909991518"/>
    <s v="High (1,000+)"/>
    <x v="1"/>
    <n v="51.1"/>
    <s v="Above median"/>
    <b v="0"/>
    <b v="0"/>
    <b v="0"/>
    <n v="2.15"/>
    <n v="1"/>
    <x v="0"/>
    <s v="https://www.amazon.in/iQOO-128GB-Storage-Snapdragon%C2%AE-FlashCharge/dp/B07WDKLDRX/ref=sr_1_63?qid=1672895762&amp;s=electronics&amp;sr=1-63"/>
  </r>
  <r>
    <s v="B09MQSCJQ1"/>
    <s v="boAt Xtend Smartwatch with Alexa Built-in, 1.69” HD Display, Multiple Watch Faces, Stress Monitor, Heart &amp; SpO2 Monitoring, 14 Sports Modes, Sleep Monitor, 5 ATM &amp; 7 Days Battery(Charcoal Black)"/>
    <s v="Electronics"/>
    <x v="1"/>
    <s v="WearableTechnology"/>
    <s v="SmartWatches"/>
    <n v="2299"/>
    <n v="7990"/>
    <n v="71"/>
    <n v="4.2"/>
    <n v="69622"/>
    <n v="4.1940851145906954"/>
    <s v="High (1,000+)"/>
    <x v="4"/>
    <n v="73.400000000000006"/>
    <s v="Top 25%"/>
    <b v="0"/>
    <b v="0"/>
    <b v="0"/>
    <n v="1.05"/>
    <n v="1"/>
    <x v="0"/>
    <s v="https://www.amazon.in/boAt-Display-Multiple-Monitoring-Charcoal/dp/B09MQSCJQ1/ref=sr_1_64?qid=1672895762&amp;s=electronics&amp;sr=1-64"/>
  </r>
  <r>
    <s v="B09MT84WV5"/>
    <s v="Samsung EVO Plus 128GB microSDXC UHS-I U3 130MB/s Full HD &amp; 4K UHD Memory Card with Adapter (MB-MC128KA), Blue"/>
    <s v="Electronics"/>
    <x v="1"/>
    <s v="Accessories"/>
    <s v="MicroSD"/>
    <n v="1149"/>
    <n v="3999"/>
    <n v="71"/>
    <n v="4.3"/>
    <n v="140036"/>
    <n v="4.2943649557657473"/>
    <s v="High (1,000+)"/>
    <x v="4"/>
    <n v="77.099999999999994"/>
    <s v="Top 25%"/>
    <b v="0"/>
    <b v="0"/>
    <b v="0"/>
    <m/>
    <n v="2"/>
    <x v="0"/>
    <s v="https://www.amazon.in/Samsung-microSDXC-Memory-Adapter-MB-MC128KA/dp/B09MT84WV5/ref=sr_1_66?qid=1672895762&amp;s=electronics&amp;sr=1-66"/>
  </r>
  <r>
    <s v="B08VS3YLRK"/>
    <s v="Portronics Adapto 20 Type C 20W Fast PD/Type C Adapter Charger with Fast Charging for iPhone 12/12 Pro/12 Mini/12 Pro Max/11/XS/XR/X/8/Plus, iPad Pro/Air/Mini, Galaxy 10/9/8 (Adapter Only) White"/>
    <s v="Electronics"/>
    <x v="1"/>
    <s v="Mobiles&amp;Accessories"/>
    <s v="WallChargers"/>
    <n v="529"/>
    <n v="1499"/>
    <n v="65"/>
    <n v="4.0999999999999996"/>
    <n v="8599"/>
    <n v="4.0953233096048862"/>
    <s v="High (1,000+)"/>
    <x v="2"/>
    <n v="66.400000000000006"/>
    <s v="Top 25%"/>
    <b v="0"/>
    <b v="0"/>
    <b v="0"/>
    <n v="1.06"/>
    <n v="1"/>
    <x v="0"/>
    <s v="https://www.amazon.in/Portronics-Adapto-Adapter-Charger-Charging/dp/B08VS3YLRK/ref=sr_1_67?qid=1672895762&amp;s=electronics&amp;sr=1-67"/>
  </r>
  <r>
    <s v="B0B4F3QNDM"/>
    <s v="Samsung Galaxy M13 5G (Aqua Green, 6GB, 128GB Storage) | 5000mAh Battery | Upto 12GB RAM with RAM Plus"/>
    <s v="Electronics"/>
    <x v="1"/>
    <s v="Mobiles&amp;Accessories"/>
    <s v="Smartphones"/>
    <n v="13999"/>
    <n v="19499"/>
    <n v="28"/>
    <n v="4.0999999999999996"/>
    <n v="18998"/>
    <n v="4.0974600334650297"/>
    <s v="High (1,000+)"/>
    <x v="1"/>
    <n v="34.6"/>
    <s v="Bottom 25%"/>
    <b v="0"/>
    <b v="0"/>
    <b v="0"/>
    <n v="1.04"/>
    <n v="8"/>
    <x v="1"/>
    <s v="https://www.amazon.in/Samsung-Galaxy-Storage-5000mAh-Battery/dp/B0B4F3QNDM/ref=sr_1_68?qid=1672895762&amp;s=electronics&amp;sr=1-68"/>
  </r>
  <r>
    <s v="B07GQD4K6L"/>
    <s v="boAt Bassheads 100 in Ear Wired Earphones with Mic(Furious Red)"/>
    <s v="Electronics"/>
    <x v="1"/>
    <s v="Headphones,Earbuds&amp;Accessories"/>
    <s v="In-Ear"/>
    <n v="379"/>
    <n v="999"/>
    <n v="62"/>
    <n v="4.0999999999999996"/>
    <n v="363713"/>
    <n v="4.0998426809179964"/>
    <s v="High (1,000+)"/>
    <x v="0"/>
    <n v="66.900000000000006"/>
    <s v="Top 25%"/>
    <b v="0"/>
    <b v="0"/>
    <b v="0"/>
    <n v="0.4"/>
    <n v="3"/>
    <x v="1"/>
    <s v="https://www.amazon.in/Boat-BassHeads-100-Inspired-Earphones/dp/B07GQD4K6L/ref=sr_1_69?qid=1672895762&amp;s=electronics&amp;sr=1-69"/>
  </r>
  <r>
    <s v="B07WDKLRM4"/>
    <s v="iQOO Z6 44W by vivo (Lumina Blue, 4GB RAM, 128GB Storage) | 6.44&quot; FHD+ AMOLED Display | 50% Charge in just 27 mins | in-Display Fingerprint Scanning"/>
    <s v="Electronics"/>
    <x v="1"/>
    <s v="Mobiles&amp;Accessories"/>
    <s v="Smartphones"/>
    <n v="13999"/>
    <n v="19999"/>
    <n v="30"/>
    <n v="4.0999999999999996"/>
    <n v="19252"/>
    <n v="4.0974880658576467"/>
    <s v="High (1,000+)"/>
    <x v="1"/>
    <n v="35.700000000000003"/>
    <s v="Bottom 25%"/>
    <b v="0"/>
    <b v="0"/>
    <b v="0"/>
    <n v="1.04"/>
    <n v="6"/>
    <x v="1"/>
    <s v="https://www.amazon.in/iQOO-Lumina-Blue-128GB-Storage/dp/B07WDKLRM4/ref=sr_1_70?qid=1672895762&amp;s=electronics&amp;sr=1-70"/>
  </r>
  <r>
    <s v="B0BP18W8TM"/>
    <s v="Fire-Boltt Gladiator 1.96&quot; Biggest Display Smart Watch with Bluetooth Calling, Voice Assistant &amp;123 Sports Modes, 8 Unique UI Interactions, SpO2, 24/7 Heart Rate Tracking"/>
    <s v="Electronics"/>
    <x v="1"/>
    <s v="WearableTechnology"/>
    <s v="SmartWatches"/>
    <n v="3999"/>
    <n v="9999"/>
    <n v="60"/>
    <n v="4.4000000000000004"/>
    <n v="73"/>
    <n v="4.0906372289612341"/>
    <s v="Low (&lt;100)"/>
    <x v="3"/>
    <n v="48.6"/>
    <s v="Below median"/>
    <b v="0"/>
    <b v="0"/>
    <b v="0"/>
    <n v="1.82"/>
    <n v="1"/>
    <x v="0"/>
    <s v="https://www.amazon.in/Fire-Boltt-Gladiator-Bluetooth-Assistant-Interactions/dp/B0BP18W8TM/ref=sr_1_71?qid=1672895762&amp;s=electronics&amp;sr=1-71"/>
  </r>
  <r>
    <s v="B07GXHC691"/>
    <s v="STRIFF PS2_01 Multi Angle Mobile/Tablet Tabletop Stand. Phone Holder for iPhone, Android, Samsung, OnePlus, Xiaomi. Portable, Foldable Cell Phone Stand. Perfect for Bed, Office, Home &amp; Desktop (Black)"/>
    <s v="Electronics"/>
    <x v="1"/>
    <s v="Mobiles&amp;Accessories"/>
    <s v="Stands"/>
    <n v="99"/>
    <n v="499"/>
    <n v="80"/>
    <n v="4.3"/>
    <n v="42641"/>
    <n v="4.2825377200357906"/>
    <s v="High (1,000+)"/>
    <x v="0"/>
    <n v="93.2"/>
    <s v="Top 25%"/>
    <b v="1"/>
    <b v="0"/>
    <b v="0"/>
    <m/>
    <n v="1"/>
    <x v="0"/>
    <s v="https://www.amazon.in/STRIFF-Mobile-Android-Samsung-OnePlus/dp/B07GXHC691/ref=sr_1_73?qid=1672895770&amp;s=electronics&amp;sr=1-73"/>
  </r>
  <r>
    <s v="B08FN6WGDQ"/>
    <s v="Samsung Galaxy Buds Live Bluetooth Truly Wireless in Ear Earbuds with Mic, Upto 21 Hours Playtime, Mystic Black"/>
    <s v="Electronics"/>
    <x v="1"/>
    <s v="Headphones,Earbuds&amp;Accessories"/>
    <s v="In-Ear"/>
    <n v="4790"/>
    <n v="15990"/>
    <n v="70"/>
    <n v="4"/>
    <n v="4390"/>
    <n v="4.039060299500866"/>
    <s v="High (1,000+)"/>
    <x v="3"/>
    <n v="39.4"/>
    <s v="Below median"/>
    <b v="0"/>
    <b v="0"/>
    <b v="0"/>
    <n v="5.05"/>
    <n v="1"/>
    <x v="0"/>
    <s v="https://www.amazon.in/Samsung-Galaxy-SM-R180NZKAINU-Mystic-Black/dp/B08FN6WGDQ/ref=sr_1_74?qid=1672895770&amp;s=electronics&amp;sr=1-74"/>
  </r>
  <r>
    <s v="B0B3D39RKV"/>
    <s v="OnePlus Nord 2T 5G (Jade Fog, 12GB RAM, 256GB Storage)"/>
    <s v="Electronics"/>
    <x v="1"/>
    <s v="Mobiles&amp;Accessories"/>
    <s v="Smartphones"/>
    <n v="33999"/>
    <n v="33999"/>
    <n v="0"/>
    <n v="4.3"/>
    <n v="17415"/>
    <n v="4.2617371782165421"/>
    <s v="High (1,000+)"/>
    <x v="1"/>
    <n v="44.5"/>
    <s v="Below median"/>
    <b v="0"/>
    <b v="0"/>
    <b v="0"/>
    <n v="2.52"/>
    <n v="3"/>
    <x v="1"/>
    <s v="https://www.amazon.in/OnePlus-Nord-Jade-256GB-Storage/dp/B0B3D39RKV/ref=sr_1_75?qid=1672895770&amp;s=electronics&amp;sr=1-75"/>
  </r>
  <r>
    <s v="B085HY1DGR"/>
    <s v="Sounce Spiral Charger Cable Protector Data Cable Saver Charging Cord Protective Cable Cover Headphone MacBook Laptop Earphone Cell Phone Set of 3 (Cable Protector (12 Units))"/>
    <s v="Computers&amp;Accessories"/>
    <x v="0"/>
    <s v="Accessories&amp;Peripherals"/>
    <s v="CableConnectionProtectors"/>
    <n v="99"/>
    <n v="999"/>
    <n v="90"/>
    <n v="4"/>
    <n v="1396"/>
    <n v="4.061730947306545"/>
    <s v="High (1,000+)"/>
    <x v="0"/>
    <n v="61.8"/>
    <s v="Top 25%"/>
    <b v="0"/>
    <b v="0"/>
    <b v="0"/>
    <m/>
    <n v="1"/>
    <x v="0"/>
    <s v="https://www.amazon.in/Sounce-Charger-Protector-Charging-Protective/dp/B085HY1DGR/ref=sr_1_76?qid=1672895770&amp;s=electronics&amp;sr=1-76"/>
  </r>
  <r>
    <s v="B08D75R3Z1"/>
    <s v="PTron Boom Ultima 4D Dual Driver, in-Ear Gaming Wired Headphones with in-line Mic, Volume Control &amp; Passive Noise Cancelling Boom 3 Earphones - (Dark Blue)"/>
    <s v="Electronics"/>
    <x v="1"/>
    <s v="Headphones,Earbuds&amp;Accessories"/>
    <s v="In-Ear"/>
    <n v="299"/>
    <n v="1900"/>
    <n v="84"/>
    <n v="3.6"/>
    <n v="18202"/>
    <n v="3.6830175552223281"/>
    <s v="High (1,000+)"/>
    <x v="0"/>
    <n v="47"/>
    <s v="Below median"/>
    <b v="0"/>
    <b v="0"/>
    <b v="1"/>
    <n v="0.32"/>
    <n v="1"/>
    <x v="0"/>
    <s v="https://www.amazon.in/Boom-Ultima-Headphones-Cancelling-Earphones/dp/B08D75R3Z1/ref=sr_1_77?qid=1672895770&amp;s=electronics&amp;sr=1-77"/>
  </r>
  <r>
    <s v="B0B4F2TTTS"/>
    <s v="Samsung Galaxy M13 (Aqua Green, 4GB, 64GB Storage) | 6000mAh Battery | Upto 8GB RAM with RAM Plus"/>
    <s v="Electronics"/>
    <x v="1"/>
    <s v="Mobiles&amp;Accessories"/>
    <s v="Smartphones"/>
    <n v="10999"/>
    <n v="14999"/>
    <n v="27"/>
    <n v="4.0999999999999996"/>
    <n v="18998"/>
    <n v="4.0974600334650297"/>
    <s v="High (1,000+)"/>
    <x v="1"/>
    <n v="34.700000000000003"/>
    <s v="Bottom 25%"/>
    <b v="0"/>
    <b v="0"/>
    <b v="0"/>
    <n v="0.81"/>
    <n v="8"/>
    <x v="1"/>
    <s v="https://www.amazon.in/Samsung-Galaxy-Storage-6000mAh-Battery/dp/B0B4F2TTTS/ref=sr_1_78?qid=1672895770&amp;s=electronics&amp;sr=1-78"/>
  </r>
  <r>
    <s v="B09WRMNJ9G"/>
    <s v="OnePlus 10R 5G (Forest Green, 8GB RAM, 128GB Storage, 80W SuperVOOC)"/>
    <s v="Electronics"/>
    <x v="1"/>
    <s v="Mobiles&amp;Accessories"/>
    <s v="Smartphones"/>
    <n v="34999"/>
    <n v="38999"/>
    <n v="10"/>
    <n v="4.2"/>
    <n v="11029"/>
    <n v="4.1706547065328614"/>
    <s v="High (1,000+)"/>
    <x v="1"/>
    <n v="37.200000000000003"/>
    <s v="Bottom 25%"/>
    <b v="0"/>
    <b v="0"/>
    <b v="0"/>
    <n v="2.59"/>
    <n v="1"/>
    <x v="0"/>
    <s v="https://www.amazon.in/OnePlus-Forest-Green-Storage-SuperVOOC/dp/B09WRMNJ9G/ref=sr_1_79?qid=1672895770&amp;s=electronics&amp;sr=1-79"/>
  </r>
  <r>
    <s v="B0B14MR9L1"/>
    <s v="Samsung Galaxy M33 5G (Emerald Brown, 6GB, 128GB Storage) | 6000mAh Battery | Upto 12GB RAM with RAM Plus | Travel Adapter to be Purchased Separately"/>
    <s v="Electronics"/>
    <x v="1"/>
    <s v="Mobiles&amp;Accessories"/>
    <s v="Smartphones"/>
    <n v="16999"/>
    <n v="24999"/>
    <n v="32"/>
    <n v="4.0999999999999996"/>
    <n v="22318"/>
    <n v="4.0977833665643226"/>
    <s v="High (1,000+)"/>
    <x v="1"/>
    <n v="36"/>
    <s v="Bottom 25%"/>
    <b v="0"/>
    <b v="0"/>
    <b v="0"/>
    <n v="1.26"/>
    <n v="3"/>
    <x v="1"/>
    <s v="https://www.amazon.in/Samsung-Emerald-Storage-Purchased-Separately/dp/B0B14MR9L1/ref=sr_1_80?qid=1672895770&amp;s=electronics&amp;sr=1-80"/>
  </r>
  <r>
    <s v="B09ZPL5VYM"/>
    <s v="Ambrane Mobile Holding Stand, 180° Perfect View, Height Adjustment, Wide Compatibility, Multipurpose, Anti-Skid Design (Twistand, Black)"/>
    <s v="Electronics"/>
    <x v="1"/>
    <s v="Mobiles&amp;Accessories"/>
    <s v="Stands"/>
    <n v="199"/>
    <n v="499"/>
    <n v="60"/>
    <n v="4.0999999999999996"/>
    <n v="1786"/>
    <n v="4.0895808041237842"/>
    <s v="High (1,000+)"/>
    <x v="0"/>
    <n v="62.8"/>
    <s v="Top 25%"/>
    <b v="0"/>
    <b v="0"/>
    <b v="0"/>
    <m/>
    <n v="1"/>
    <x v="0"/>
    <s v="https://www.amazon.in/Ambrane-Adjustment-Compatibility-Multipurpose-Anti-Skid/dp/B09ZPL5VYM/ref=sr_1_81?qid=1672895770&amp;s=electronics&amp;sr=1-81"/>
  </r>
  <r>
    <s v="B0993BB11X"/>
    <s v="Ambrane 10000mAh Slim Power Bank, 20W Fast Charging, Dual Output, Type C PD (Input &amp; Output), Quick Charge, Li-Polymer, Multi-Layer Protection for iPhone, Anrdoid &amp; Other Devices (Stylo 10K, Black)"/>
    <s v="Electronics"/>
    <x v="1"/>
    <s v="Mobiles&amp;Accessories"/>
    <s v="PowerBanks"/>
    <n v="999"/>
    <n v="1599"/>
    <n v="38"/>
    <n v="4"/>
    <n v="7222"/>
    <n v="4.028989857679532"/>
    <s v="High (1,000+)"/>
    <x v="2"/>
    <n v="36"/>
    <s v="Bottom 25%"/>
    <b v="0"/>
    <b v="0"/>
    <b v="0"/>
    <m/>
    <n v="2"/>
    <x v="0"/>
    <s v="https://www.amazon.in/Ambrane-Multi-Layer-Protection-Li-Polymer-Stylo-10k/dp/B0993BB11X/ref=sr_1_82?qid=1672895770&amp;s=electronics&amp;sr=1-82"/>
  </r>
  <r>
    <s v="B09V2PZDX8"/>
    <s v="Nokia 105 Single SIM, Keypad Mobile Phone with Wireless FM Radio | Blue"/>
    <s v="Electronics"/>
    <x v="1"/>
    <s v="Mobiles&amp;Accessories"/>
    <s v="BasicMobiles"/>
    <n v="1299"/>
    <n v="1599"/>
    <n v="19"/>
    <n v="4"/>
    <n v="128311"/>
    <n v="4.0024110748309152"/>
    <s v="High (1,000+)"/>
    <x v="4"/>
    <n v="23.9"/>
    <s v="Bottom 25%"/>
    <b v="0"/>
    <b v="0"/>
    <b v="0"/>
    <m/>
    <n v="4"/>
    <x v="1"/>
    <s v="https://www.amazon.in/Nokia-105-Single-Keypad-Wireless/dp/B09V2PZDX8/ref=sr_1_83?qid=1672895770&amp;s=electronics&amp;sr=1-83"/>
  </r>
  <r>
    <s v="B085W8CFLH"/>
    <s v="PTron Tangent Lite Bluetooth 5.0 Earphones with Mic, Hi-Fi Stereo Sound Neckband, 8Hrs Playtime, Lightweight Snug-fit in-Ear Headphones, IPX4 Water Resistant, Fast Charge &amp; Voice Assistant (Black)"/>
    <s v="Electronics"/>
    <x v="1"/>
    <s v="Headphones,Earbuds&amp;Accessories"/>
    <s v="In-Ear"/>
    <n v="599"/>
    <n v="1800"/>
    <n v="67"/>
    <n v="3.5"/>
    <n v="83996"/>
    <n v="3.525065253983156"/>
    <s v="High (1,000+)"/>
    <x v="2"/>
    <n v="37.6"/>
    <s v="Bottom 25%"/>
    <b v="0"/>
    <b v="0"/>
    <b v="1"/>
    <n v="0.63"/>
    <n v="1"/>
    <x v="0"/>
    <s v="https://www.amazon.in/Tangent-Lite-Magnetic-Bluetooth-Headphones/dp/B085W8CFLH/ref=sr_1_84?qid=1672895770&amp;s=electronics&amp;sr=1-84"/>
  </r>
  <r>
    <s v="B09MT6XSFW"/>
    <s v="Samsung EVO Plus 64GB microSDXC UHS-I U1 130MB/s Full HD &amp; 4K UHD Memory Card with Adapter (MB-MC64KA), Blue"/>
    <s v="Electronics"/>
    <x v="1"/>
    <s v="Accessories"/>
    <s v="MicroSD"/>
    <n v="599"/>
    <n v="1899"/>
    <n v="68"/>
    <n v="4.3"/>
    <n v="140036"/>
    <n v="4.2943649557657473"/>
    <s v="High (1,000+)"/>
    <x v="2"/>
    <n v="81.2"/>
    <s v="Top 25%"/>
    <b v="0"/>
    <b v="0"/>
    <b v="0"/>
    <m/>
    <n v="2"/>
    <x v="1"/>
    <s v="https://www.amazon.in/Samsung-microSDXC-Memory-Adapter-MB-MC64KA/dp/B09MT6XSFW/ref=sr_1_85?qid=1672895770&amp;s=electronics&amp;sr=1-85"/>
  </r>
  <r>
    <s v="B07RD611Z8"/>
    <s v="Ambrane 20000mAh Power Bank with 20W Fast Charging, Triple Output, Power Delivery, Type C Input, Made in India, Multi-Layer Protection, Li-Polymer + Type C Cable (Stylo-20k, Black)"/>
    <s v="Electronics"/>
    <x v="1"/>
    <s v="Mobiles&amp;Accessories"/>
    <s v="PowerBanks"/>
    <n v="1799"/>
    <n v="2499"/>
    <n v="28"/>
    <n v="4.0999999999999996"/>
    <n v="18678"/>
    <n v="4.0974238137154169"/>
    <s v="High (1,000+)"/>
    <x v="4"/>
    <n v="43.7"/>
    <s v="Below median"/>
    <b v="0"/>
    <b v="0"/>
    <b v="0"/>
    <m/>
    <n v="1"/>
    <x v="0"/>
    <s v="https://www.amazon.in/Ambrane-20000mAh-Lithium-Polymer-Stylo-20K/dp/B07RD611Z8/ref=sr_1_86?qid=1672895770&amp;s=electronics&amp;sr=1-86"/>
  </r>
  <r>
    <s v="B0B4F52B5X"/>
    <s v="Samsung Galaxy M13 (Midnight Blue, 4GB, 64GB Storage) | 6000mAh Battery | Upto 8GB RAM with RAM Plus"/>
    <s v="Electronics"/>
    <x v="1"/>
    <s v="Mobiles&amp;Accessories"/>
    <s v="Smartphones"/>
    <n v="10999"/>
    <n v="14999"/>
    <n v="27"/>
    <n v="4.0999999999999996"/>
    <n v="18998"/>
    <n v="4.0974600334650297"/>
    <s v="High (1,000+)"/>
    <x v="1"/>
    <n v="34.700000000000003"/>
    <s v="Bottom 25%"/>
    <b v="0"/>
    <b v="0"/>
    <b v="0"/>
    <n v="0.81"/>
    <n v="8"/>
    <x v="1"/>
    <s v="https://www.amazon.in/Samsung-Midnight-Storage-6000mAh-Battery/dp/B0B4F52B5X/ref=sr_1_88?qid=1672895770&amp;s=electronics&amp;sr=1-88"/>
  </r>
  <r>
    <s v="B096VF5YYF"/>
    <s v="boAt Xtend Smartwatch with Alexa Built-in, 1.69” HD Display, Multiple Watch Faces, Stress Monitor, Heart &amp; SpO2 Monitoring, 14 Sports Modes, Sleep Monitor, 5 ATM &amp; 7 Days Battery(Pitch Black)"/>
    <s v="Electronics"/>
    <x v="1"/>
    <s v="WearableTechnology"/>
    <s v="SmartWatches"/>
    <n v="2999"/>
    <n v="7990"/>
    <n v="62"/>
    <n v="4.0999999999999996"/>
    <n v="48449"/>
    <n v="4.0988927552681078"/>
    <s v="High (1,000+)"/>
    <x v="3"/>
    <n v="56.6"/>
    <s v="Above median"/>
    <b v="0"/>
    <b v="0"/>
    <b v="0"/>
    <n v="1.36"/>
    <n v="1"/>
    <x v="0"/>
    <s v="https://www.amazon.in/boAt-Smartwatch-Multiple-Monitoring-Resistance/dp/B096VF5YYF/ref=sr_1_89?qid=1672895770&amp;s=electronics&amp;sr=1-89"/>
  </r>
  <r>
    <s v="B0B5D39BCD"/>
    <s v="boAt Wave Call Smart Watch, Smart Talk with Advanced Dedicated Bluetooth Calling Chip, 1.69” HD Display with 550 NITS &amp; 70% Color Gamut, 150+ Watch Faces, Multi-Sport Modes, HR, SpO2, IP68(Deep Blue)"/>
    <s v="Electronics"/>
    <x v="1"/>
    <s v="WearableTechnology"/>
    <s v="SmartWatches"/>
    <n v="1999"/>
    <n v="7990"/>
    <n v="75"/>
    <n v="3.8"/>
    <n v="17831"/>
    <n v="3.8495954380568609"/>
    <s v="High (1,000+)"/>
    <x v="4"/>
    <n v="38.700000000000003"/>
    <s v="Below median"/>
    <b v="0"/>
    <b v="0"/>
    <b v="1"/>
    <n v="0.91"/>
    <n v="4"/>
    <x v="1"/>
    <s v="https://www.amazon.in/boAt-Wave-Call-Dedicated-Multi-Sport/dp/B0B5D39BCD/ref=sr_1_90?qid=1672895770&amp;s=electronics&amp;sr=1-90"/>
  </r>
  <r>
    <s v="B09XBJ1CTN"/>
    <s v="MI Xiaomi 22.5W Fast USB Type C Charger Combo for Tablets - White"/>
    <s v="Electronics"/>
    <x v="1"/>
    <s v="Mobiles&amp;Accessories"/>
    <s v="WallChargers"/>
    <n v="649"/>
    <n v="999"/>
    <n v="35"/>
    <n v="4.2"/>
    <n v="1315"/>
    <n v="4.1145128688686983"/>
    <s v="High (1,000+)"/>
    <x v="2"/>
    <n v="56.3"/>
    <s v="Above median"/>
    <b v="0"/>
    <b v="0"/>
    <b v="0"/>
    <n v="1.3"/>
    <n v="1"/>
    <x v="0"/>
    <s v="https://www.amazon.in/Xiaomi-22-5W-Fast-Charger-Cable/dp/B09XBJ1CTN/ref=sr_1_93?qid=1672895770&amp;s=electronics&amp;sr=1-93"/>
  </r>
  <r>
    <s v="B0B4F5L738"/>
    <s v="Samsung Galaxy M13 5G (Aqua Green, 6GB, 128GB Storage) | 5000mAh Battery | Upto 12GB RAM with RAM Plus"/>
    <s v="Electronics"/>
    <x v="1"/>
    <s v="Mobiles&amp;Accessories"/>
    <s v="Smartphones"/>
    <n v="13999"/>
    <n v="19499"/>
    <n v="28"/>
    <n v="4.0999999999999996"/>
    <n v="18998"/>
    <n v="4.0974600334650297"/>
    <s v="High (1,000+)"/>
    <x v="1"/>
    <n v="34.6"/>
    <s v="Bottom 25%"/>
    <b v="0"/>
    <b v="0"/>
    <b v="0"/>
    <n v="1.04"/>
    <n v="8"/>
    <x v="1"/>
    <s v="https://www.amazon.in/Samsung-Midnight-Storage-5000mAh-Battery/dp/B0B4F5L738/ref=sr_1_94?qid=1672895770&amp;s=electronics&amp;sr=1-94"/>
  </r>
  <r>
    <s v="B09QS8V5N8"/>
    <s v="Redmi Note 11 (Space Black, 4GB RAM, 64GB Storage)|90Hz FHD+ AMOLED Display | Qualcomm® Snapdragon™ 680-6nm | 33W Charger Included"/>
    <s v="Electronics"/>
    <x v="1"/>
    <s v="Mobiles&amp;Accessories"/>
    <s v="Smartphones"/>
    <n v="12999"/>
    <n v="17999"/>
    <n v="28"/>
    <n v="4.0999999999999996"/>
    <n v="50772"/>
    <n v="4.0989399204481716"/>
    <s v="High (1,000+)"/>
    <x v="1"/>
    <n v="36.200000000000003"/>
    <s v="Bottom 25%"/>
    <b v="0"/>
    <b v="0"/>
    <b v="0"/>
    <n v="0.96"/>
    <n v="4"/>
    <x v="0"/>
    <s v="https://www.amazon.in/Redmi-Storage-Qualcomm%C2%AE-SnapdragonTM-Included/dp/B09QS8V5N8/ref=sr_1_96?qid=1672895770&amp;s=electronics&amp;sr=1-96"/>
  </r>
  <r>
    <s v="B09T2WRLJJ"/>
    <s v="Redmi Note 11 Pro + 5G (Phantom White, 8GB RAM, 128GB Storage) | 67W Turbo Charge | 120Hz Super AMOLED Display | Additional Exchange Offers | Charger Included"/>
    <s v="Electronics"/>
    <x v="1"/>
    <s v="Mobiles&amp;Accessories"/>
    <s v="Smartphones"/>
    <n v="20999"/>
    <n v="26999"/>
    <n v="22"/>
    <n v="3.9"/>
    <n v="25824"/>
    <n v="3.9234799348243561"/>
    <s v="High (1,000+)"/>
    <x v="1"/>
    <n v="8.9"/>
    <s v="Bottom 25%"/>
    <b v="0"/>
    <b v="0"/>
    <b v="0"/>
    <n v="1.56"/>
    <n v="3"/>
    <x v="1"/>
    <s v="https://www.amazon.in/Redmi-Phantom-Additional-Exchange-Included/dp/B09T2WRLJJ/ref=sr_1_101?qid=1672895777&amp;s=electronics&amp;sr=1-101"/>
  </r>
  <r>
    <s v="B089WB69Y1"/>
    <s v="USB Charger, Oraimo Elite Dual Port 5V/2.4A Wall Charger, USB Wall Charger Adapter for iPhone 11/Xs/XS Max/XR/X/8/7/6/Plus, iPad Pro/Air 2/Mini 3/Mini 4, Samsung S4/S5, and More"/>
    <s v="Electronics"/>
    <x v="1"/>
    <s v="Mobiles&amp;Accessories"/>
    <s v="WallChargers"/>
    <n v="249"/>
    <n v="649"/>
    <n v="62"/>
    <n v="4"/>
    <n v="14404"/>
    <n v="4.0175289181559917"/>
    <s v="High (1,000+)"/>
    <x v="0"/>
    <n v="50.4"/>
    <s v="Below median"/>
    <b v="0"/>
    <b v="0"/>
    <b v="0"/>
    <n v="0.5"/>
    <n v="2"/>
    <x v="0"/>
    <s v="https://www.amazon.in/oraimo-firefly-2s-charger-micro-usb-multi-protection/dp/B089WB69Y1/ref=sr_1_102?qid=1672895777&amp;s=electronics&amp;sr=1-102"/>
  </r>
  <r>
    <s v="B0116MIKKC"/>
    <s v="Goldmedal Curve Plus 202042 Plastic Spice 3-Pin 240V Universal Travel Adaptor (White)"/>
    <s v="Electronics"/>
    <x v="1"/>
    <s v="Mobiles&amp;Accessories"/>
    <s v="WallChargers"/>
    <n v="99"/>
    <n v="171"/>
    <n v="42"/>
    <n v="4.5"/>
    <n v="11339"/>
    <n v="4.3965128690316071"/>
    <s v="High (1,000+)"/>
    <x v="0"/>
    <n v="80.400000000000006"/>
    <s v="Top 25%"/>
    <b v="0"/>
    <b v="0"/>
    <b v="0"/>
    <n v="0.2"/>
    <n v="1"/>
    <x v="0"/>
    <s v="https://www.amazon.in/Goldmedal-202042-Plastic-Universal-Adaptor/dp/B0116MIKKC/ref=sr_1_103?qid=1672895777&amp;s=electronics&amp;sr=1-103"/>
  </r>
  <r>
    <s v="B09P858DK8"/>
    <s v="WeCool C1 Car Mobile Holder with One Click Technology,360° Rotational, Strong Suction Cup,Compatible with 4 to 6 Inch Devices, Wildshield and Dashboard Mobile Holder for Car, and Use"/>
    <s v="Electronics"/>
    <x v="1"/>
    <s v="Mobiles&amp;Accessories"/>
    <s v="Cradles"/>
    <n v="489"/>
    <n v="1999"/>
    <n v="76"/>
    <n v="4"/>
    <n v="3626"/>
    <n v="4.0430992883103221"/>
    <s v="High (1,000+)"/>
    <x v="0"/>
    <n v="57.4"/>
    <s v="Above median"/>
    <b v="0"/>
    <b v="0"/>
    <b v="0"/>
    <m/>
    <n v="1"/>
    <x v="0"/>
    <s v="https://www.amazon.in/WeCool-C1-Technology-Windshield-Extendable/dp/B09P858DK8/ref=sr_1_104?qid=1672895777&amp;s=electronics&amp;sr=1-104"/>
  </r>
  <r>
    <s v="B07DJLFMPS"/>
    <s v="HP 32GB Class 10 MicroSD Memory Card (U1 TF Card 32GB)"/>
    <s v="Electronics"/>
    <x v="1"/>
    <s v="Accessories"/>
    <s v="MicroSD"/>
    <n v="369"/>
    <n v="1600"/>
    <n v="77"/>
    <n v="4"/>
    <n v="32625"/>
    <n v="4.0087513319596244"/>
    <s v="High (1,000+)"/>
    <x v="0"/>
    <n v="49.4"/>
    <s v="Below median"/>
    <b v="0"/>
    <b v="0"/>
    <b v="0"/>
    <m/>
    <n v="1"/>
    <x v="0"/>
    <s v="https://www.amazon.in/HP-MicroSD-U1-TF-Card-32GB/dp/B07DJLFMPS/ref=sr_1_106?qid=1672895777&amp;s=electronics&amp;sr=1-106"/>
  </r>
  <r>
    <s v="B07WHQWXL7"/>
    <s v="iQOO Z6 44W by vivo (Lumina Blue, 6GB RAM, 128GB Storage) | 6.44&quot; FHD+ AMOLED Display | 50% Charge in just 27 mins | in-Display Fingerprint Scanning"/>
    <s v="Electronics"/>
    <x v="1"/>
    <s v="Mobiles&amp;Accessories"/>
    <s v="Smartphones"/>
    <n v="15499"/>
    <n v="20999"/>
    <n v="26"/>
    <n v="4.0999999999999996"/>
    <n v="19252"/>
    <n v="4.0974880658576467"/>
    <s v="High (1,000+)"/>
    <x v="1"/>
    <n v="33.700000000000003"/>
    <s v="Bottom 25%"/>
    <b v="0"/>
    <b v="0"/>
    <b v="0"/>
    <n v="1.1499999999999999"/>
    <n v="6"/>
    <x v="1"/>
    <s v="https://www.amazon.in/iQOO-Lumina-Blue-128GB-Storage/dp/B07WHQWXL7/ref=sr_1_107?qid=1672895777&amp;s=electronics&amp;sr=1-107"/>
  </r>
  <r>
    <s v="B07WDK3ZS6"/>
    <s v="iQOO Z6 Lite 5G by vivo (Mystic Night, 6GB RAM, 128GB Storage) | World's First Snapdragon 4 Gen 1 | 120Hz Refresh Rate | 5000mAh Battery | Travel Adapter to be Purchased Separately"/>
    <s v="Electronics"/>
    <x v="1"/>
    <s v="Mobiles&amp;Accessories"/>
    <s v="Smartphones"/>
    <n v="15499"/>
    <n v="18999"/>
    <n v="18"/>
    <n v="4.0999999999999996"/>
    <n v="19252"/>
    <n v="4.0974880658576467"/>
    <s v="High (1,000+)"/>
    <x v="1"/>
    <n v="31.3"/>
    <s v="Bottom 25%"/>
    <b v="0"/>
    <b v="0"/>
    <b v="0"/>
    <n v="1.1499999999999999"/>
    <n v="6"/>
    <x v="1"/>
    <s v="https://www.amazon.in/iQOO-Storage-Snapdragon-Purchased-Separately/dp/B07WDK3ZS6/ref=sr_1_108?qid=1672895777&amp;s=electronics&amp;sr=1-108"/>
  </r>
  <r>
    <s v="B09T2S8X9C"/>
    <s v="Redmi Note 11 Pro + 5G (Stealth Black, 8GB RAM, 256GB Storage) | 67W Turbo Charge | 120Hz Super AMOLED Display | Additional Exchange Offers | Charger Included"/>
    <s v="Electronics"/>
    <x v="1"/>
    <s v="Mobiles&amp;Accessories"/>
    <s v="Smartphones"/>
    <n v="22999"/>
    <n v="28999"/>
    <n v="21"/>
    <n v="3.9"/>
    <n v="25824"/>
    <n v="3.9234799348243561"/>
    <s v="High (1,000+)"/>
    <x v="1"/>
    <n v="8.5"/>
    <s v="Bottom 25%"/>
    <b v="0"/>
    <b v="0"/>
    <b v="0"/>
    <n v="1.7"/>
    <n v="3"/>
    <x v="1"/>
    <s v="https://www.amazon.in/Redmi-Stealth-Additional-Exchange-Included/dp/B09T2S8X9C/ref=sr_1_109?qid=1672895777&amp;s=electronics&amp;sr=1-109"/>
  </r>
  <r>
    <s v="B07S9S86BF"/>
    <s v="boAt Bassheads 242 in Ear Wired Earphones with Mic(Active Black)"/>
    <s v="Electronics"/>
    <x v="1"/>
    <s v="Headphones,Earbuds&amp;Accessories"/>
    <s v="In-Ear"/>
    <n v="599"/>
    <n v="1490"/>
    <n v="60"/>
    <n v="4.0999999999999996"/>
    <n v="161679"/>
    <n v="4.0996505658597187"/>
    <s v="High (1,000+)"/>
    <x v="2"/>
    <n v="62.4"/>
    <s v="Top 25%"/>
    <b v="0"/>
    <b v="0"/>
    <b v="0"/>
    <n v="0.63"/>
    <n v="2"/>
    <x v="0"/>
    <s v="https://www.amazon.in/Boat-Bassheads-242-Earphones-Resistance/dp/B07S9S86BF/ref=sr_1_110?qid=1672895777&amp;s=electronics&amp;sr=1-110"/>
  </r>
  <r>
    <s v="B07N8RQ6W7"/>
    <s v="Portronics MODESK POR-122 Universal Mobile Tabletop Holder (Black)"/>
    <s v="Electronics"/>
    <x v="1"/>
    <s v="Mobiles&amp;Accessories"/>
    <s v="Stands"/>
    <n v="134"/>
    <n v="699"/>
    <n v="81"/>
    <n v="4.0999999999999996"/>
    <n v="16685"/>
    <n v="4.0971727150840351"/>
    <s v="High (1,000+)"/>
    <x v="0"/>
    <n v="74.7"/>
    <s v="Top 25%"/>
    <b v="0"/>
    <b v="0"/>
    <b v="0"/>
    <m/>
    <n v="1"/>
    <x v="0"/>
    <s v="https://www.amazon.in/Portronics-POR-122-MODESK-Universal-Mobile/dp/B07N8RQ6W7/ref=sr_1_111?qid=1672895777&amp;s=electronics&amp;sr=1-111"/>
  </r>
  <r>
    <s v="B09FKDH6FS"/>
    <s v="realme narzo 50i (Mint Green, 2GB RAM+32GB Storage) Octa Core Processor | 6.5&quot; inch Large Display"/>
    <s v="Electronics"/>
    <x v="1"/>
    <s v="Mobiles&amp;Accessories"/>
    <s v="Smartphones"/>
    <n v="7499"/>
    <n v="7999"/>
    <n v="6"/>
    <n v="4"/>
    <n v="30907"/>
    <n v="4.0091849923327656"/>
    <s v="High (1,000+)"/>
    <x v="3"/>
    <n v="12.3"/>
    <s v="Bottom 25%"/>
    <b v="0"/>
    <b v="0"/>
    <b v="0"/>
    <n v="0.56000000000000005"/>
    <n v="1"/>
    <x v="0"/>
    <s v="https://www.amazon.in/realme-narzo-Mint-Green-Storage/dp/B09FKDH6FS/ref=sr_1_115?qid=1672895777&amp;s=electronics&amp;sr=1-115"/>
  </r>
  <r>
    <s v="B08HVJCW95"/>
    <s v="MI 10000mAh 3i Lithium Polymer Power Bank Dual Input(Micro-USB and Type C) and Output Ports 18W Fast Charging (Metallic Blue)"/>
    <s v="Electronics"/>
    <x v="1"/>
    <s v="Mobiles&amp;Accessories"/>
    <s v="PowerBanks"/>
    <n v="1149"/>
    <n v="2199"/>
    <n v="48"/>
    <n v="4.3"/>
    <n v="178912"/>
    <n v="4.2955641815999543"/>
    <s v="High (1,000+)"/>
    <x v="4"/>
    <n v="74.599999999999994"/>
    <s v="Top 25%"/>
    <b v="0"/>
    <b v="0"/>
    <b v="0"/>
    <m/>
    <n v="3"/>
    <x v="1"/>
    <s v="https://www.amazon.in/Power-10000mAh-Metallic-Output-Charging/dp/B08HVJCW95/ref=sr_1_116?qid=1672895777&amp;s=electronics&amp;sr=1-116"/>
  </r>
  <r>
    <s v="B09YDFDVNS"/>
    <s v="Nokia 105 Plus Single SIM, Keypad Mobile Phone with Wireless FM Radio, Memory Card Slot and MP3 Player | Red"/>
    <s v="Electronics"/>
    <x v="1"/>
    <s v="Mobiles&amp;Accessories"/>
    <s v="BasicMobiles"/>
    <n v="1324"/>
    <n v="1699"/>
    <n v="22"/>
    <n v="4"/>
    <n v="128311"/>
    <n v="4.0024110748309152"/>
    <s v="High (1,000+)"/>
    <x v="4"/>
    <n v="24.7"/>
    <s v="Bottom 25%"/>
    <b v="0"/>
    <b v="0"/>
    <b v="0"/>
    <m/>
    <n v="4"/>
    <x v="1"/>
    <s v="https://www.amazon.in/Nokia-105-Single-Keypad-Wireless/dp/B09YDFDVNS/ref=sr_1_117?qid=1672895777&amp;s=electronics&amp;sr=1-117"/>
  </r>
  <r>
    <s v="B07WGPKTS4"/>
    <s v="iQOO Z6 44W by vivo (Raven Black, 4GB RAM, 128GB Storage) | 6.44&quot; FHD+ AMOLED Display | 50% Charge in just 27 mins | in-Display Fingerprint Scanning"/>
    <s v="Electronics"/>
    <x v="1"/>
    <s v="Mobiles&amp;Accessories"/>
    <s v="Smartphones"/>
    <n v="13999"/>
    <n v="19999"/>
    <n v="30"/>
    <n v="4.0999999999999996"/>
    <n v="19252"/>
    <n v="4.0974880658576467"/>
    <s v="High (1,000+)"/>
    <x v="1"/>
    <n v="35.700000000000003"/>
    <s v="Bottom 25%"/>
    <b v="0"/>
    <b v="0"/>
    <b v="0"/>
    <n v="1.04"/>
    <n v="6"/>
    <x v="1"/>
    <s v="https://www.amazon.in/iQOO-Raven-Black-128GB-Storage/dp/B07WGPKTS4/ref=sr_1_118?qid=1672895777&amp;s=electronics&amp;sr=1-118"/>
  </r>
  <r>
    <s v="B0789LZTCJ"/>
    <s v="boAt Rugged v3 Extra Tough Unbreakable Braided Micro USB Cable 1.5 Meter (Black)"/>
    <s v="Computers&amp;Accessories"/>
    <x v="0"/>
    <s v="Accessories&amp;Peripherals"/>
    <s v="USBCables"/>
    <n v="299"/>
    <n v="799"/>
    <n v="63"/>
    <n v="4.2"/>
    <n v="94364"/>
    <n v="4.1955765169620944"/>
    <s v="High (1,000+)"/>
    <x v="0"/>
    <n v="73.7"/>
    <s v="Top 25%"/>
    <b v="0"/>
    <b v="0"/>
    <b v="0"/>
    <n v="1"/>
    <n v="4"/>
    <x v="0"/>
    <s v="https://www.amazon.in/Rugged-Extra-Tough-Unbreakable-Braided/dp/B0789LZTCJ/ref=sr_1_119?qid=1672895777&amp;s=electronics&amp;sr=1-119"/>
  </r>
  <r>
    <s v="B09MZCQYHZ"/>
    <s v="Ambrane 10000mAh Slim Power Bank, 20W Fast Charging, Dual Output, Type C PD (Input &amp; Output), Quick Charge, Li-Polymer, Multi-Layer Protection for iPhone, Anrdoid &amp; Other Devices (Stylo 10K, Green)"/>
    <s v="Electronics"/>
    <x v="1"/>
    <s v="Mobiles&amp;Accessories"/>
    <s v="PowerBanks"/>
    <n v="999"/>
    <n v="1599"/>
    <n v="38"/>
    <n v="4"/>
    <n v="7222"/>
    <n v="4.028989857679532"/>
    <s v="High (1,000+)"/>
    <x v="2"/>
    <n v="36"/>
    <s v="Bottom 25%"/>
    <b v="0"/>
    <b v="0"/>
    <b v="0"/>
    <m/>
    <n v="2"/>
    <x v="1"/>
    <s v="https://www.amazon.in/Ambrane-Multi-Layer-Protection-Li-Polymer-Stylo-10k/dp/B09MZCQYHZ/ref=sr_1_120?qid=1672895777&amp;s=electronics&amp;sr=1-120"/>
  </r>
  <r>
    <s v="B0B4F2ZWL3"/>
    <s v="Samsung Galaxy M13 (Stardust Brown, 6GB, 128GB Storage) | 6000mAh Battery | Upto 12GB RAM with RAM Plus"/>
    <s v="Electronics"/>
    <x v="1"/>
    <s v="Mobiles&amp;Accessories"/>
    <s v="Smartphones"/>
    <n v="12999"/>
    <n v="17999"/>
    <n v="28"/>
    <n v="4.0999999999999996"/>
    <n v="18998"/>
    <n v="4.0974600334650297"/>
    <s v="High (1,000+)"/>
    <x v="1"/>
    <n v="34.799999999999997"/>
    <s v="Bottom 25%"/>
    <b v="0"/>
    <b v="0"/>
    <b v="0"/>
    <n v="0.96"/>
    <n v="8"/>
    <x v="1"/>
    <s v="https://www.amazon.in/Samsung-Stardust-Storage-6000mAh-Battery/dp/B0B4F2ZWL3/ref=sr_1_121?qid=1672895777&amp;s=electronics&amp;sr=1-121"/>
  </r>
  <r>
    <s v="B08VB2CMR3"/>
    <s v="OPPO A74 5G (Fluid Black, 6GB RAM, 128GB Storage) with No Cost EMI/Additional Exchange Offers"/>
    <s v="Electronics"/>
    <x v="1"/>
    <s v="Mobiles&amp;Accessories"/>
    <s v="Smartphones"/>
    <n v="15490"/>
    <n v="20990"/>
    <n v="26"/>
    <n v="4.2"/>
    <n v="32916"/>
    <n v="4.1881657944485413"/>
    <s v="High (1,000+)"/>
    <x v="1"/>
    <n v="45.3"/>
    <s v="Below median"/>
    <b v="0"/>
    <b v="0"/>
    <b v="0"/>
    <n v="1.1499999999999999"/>
    <n v="2"/>
    <x v="1"/>
    <s v="https://www.amazon.in/OPPO-Fluid-Black-128GB-Storage/dp/B08VB2CMR3/ref=sr_1_122?qid=1672895777&amp;s=electronics&amp;sr=1-122"/>
  </r>
  <r>
    <s v="B095RTJH1M"/>
    <s v="Spigen EZ Fit Tempered Glass Screen Protector Guard for iPhone 14/13/13 Pro - 2 Pack"/>
    <s v="Electronics"/>
    <x v="1"/>
    <s v="Mobiles&amp;Accessories"/>
    <s v="ScreenProtectors"/>
    <n v="999"/>
    <n v="2899"/>
    <n v="66"/>
    <n v="4.5999999999999996"/>
    <n v="26603"/>
    <n v="4.5361426319896214"/>
    <s v="High (1,000+)"/>
    <x v="2"/>
    <n v="89.7"/>
    <s v="Top 25%"/>
    <b v="1"/>
    <b v="0"/>
    <b v="0"/>
    <n v="2.57"/>
    <n v="1"/>
    <x v="0"/>
    <s v="https://www.amazon.in/Spigen-Tempered-Screen-Protector-iPhone/dp/B095RTJH1M/ref=sr_1_123?qid=1672895777&amp;s=electronics&amp;sr=1-123"/>
  </r>
  <r>
    <s v="B09YDFKJF8"/>
    <s v="Nokia 105 Plus Single SIM, Keypad Mobile Phone with Wireless FM Radio, Memory Card Slot and MP3 Player | Charcoal"/>
    <s v="Electronics"/>
    <x v="1"/>
    <s v="Mobiles&amp;Accessories"/>
    <s v="BasicMobiles"/>
    <n v="1324"/>
    <n v="1699"/>
    <n v="22"/>
    <n v="4"/>
    <n v="128311"/>
    <n v="4.0024110748309152"/>
    <s v="High (1,000+)"/>
    <x v="4"/>
    <n v="24.7"/>
    <s v="Bottom 25%"/>
    <b v="0"/>
    <b v="0"/>
    <b v="0"/>
    <m/>
    <n v="4"/>
    <x v="1"/>
    <s v="https://www.amazon.in/Nokia-105-Single-Wireless-Charcoal/dp/B09YDFKJF8/ref=sr_1_125?qid=1672895777&amp;s=electronics&amp;sr=1-125"/>
  </r>
  <r>
    <s v="B07WDK3ZS2"/>
    <s v="iQOO Z6 Pro 5G by vivo (Legion Sky, 8GB RAM, 128GB Storage) | Snapdragon 778G 5G | 66W FlashCharge | 1300 nits Peak Brightness | HDR10+"/>
    <s v="Electronics"/>
    <x v="1"/>
    <s v="Mobiles&amp;Accessories"/>
    <s v="Smartphones"/>
    <n v="20999"/>
    <n v="29990"/>
    <n v="30"/>
    <n v="4.3"/>
    <n v="9499"/>
    <n v="4.2388974921148286"/>
    <s v="High (1,000+)"/>
    <x v="1"/>
    <n v="50.2"/>
    <s v="Below median"/>
    <b v="0"/>
    <b v="0"/>
    <b v="0"/>
    <n v="1.56"/>
    <n v="3"/>
    <x v="0"/>
    <s v="https://www.amazon.in/iQOO-Storage-Snapdragon-FlashCharge-Brightness/dp/B07WDK3ZS2/ref=sr_1_126?qid=1672895777&amp;s=electronics&amp;sr=1-126"/>
  </r>
  <r>
    <s v="B08RZ5K9YH"/>
    <s v="MI 33W SonicCharge 2.0 USB Charger for Cellular Phones - White"/>
    <s v="Electronics"/>
    <x v="1"/>
    <s v="Mobiles&amp;Accessories"/>
    <s v="WallChargers"/>
    <n v="999"/>
    <n v="1999"/>
    <n v="50"/>
    <n v="4.3"/>
    <n v="1777"/>
    <n v="4.1537212910336336"/>
    <s v="High (1,000+)"/>
    <x v="2"/>
    <n v="65"/>
    <s v="Top 25%"/>
    <b v="0"/>
    <b v="0"/>
    <b v="0"/>
    <n v="2"/>
    <n v="1"/>
    <x v="0"/>
    <s v="https://www.amazon.in/33W-SonicCharge-2-0-Charger-Combo/dp/B08RZ5K9YH/ref=sr_1_121?qid=1672895784&amp;s=electronics&amp;sr=1-121"/>
  </r>
  <r>
    <s v="B08444S68L"/>
    <s v="OPPO A31 (Mystery Black, 6GB RAM, 128GB Storage) with No Cost EMI/Additional Exchange Offers"/>
    <s v="Electronics"/>
    <x v="1"/>
    <s v="Mobiles&amp;Accessories"/>
    <s v="Smartphones"/>
    <n v="12490"/>
    <n v="15990"/>
    <n v="22"/>
    <n v="4.2"/>
    <n v="58506"/>
    <n v="4.193029205644601"/>
    <s v="High (1,000+)"/>
    <x v="1"/>
    <n v="45.5"/>
    <s v="Below median"/>
    <b v="0"/>
    <b v="0"/>
    <b v="0"/>
    <n v="0.93"/>
    <n v="1"/>
    <x v="0"/>
    <s v="https://www.amazon.in/Oppo-Mystery-Storage-Additional-Exchange/dp/B08444S68L/ref=sr_1_122?qid=1672895784&amp;s=electronics&amp;sr=1-122"/>
  </r>
  <r>
    <s v="B07WHQBZLS"/>
    <s v="iQOO vivo Z6 5G (Chromatic Blue, 8GB RAM, 128GB Storage) | Snapdragon 695-6nm Processor | 120Hz FHD+ Display | 5000mAh Battery"/>
    <s v="Electronics"/>
    <x v="1"/>
    <s v="Mobiles&amp;Accessories"/>
    <s v="Smartphones"/>
    <n v="17999"/>
    <n v="21990"/>
    <n v="18"/>
    <n v="4"/>
    <n v="21350"/>
    <n v="4.0126805014108839"/>
    <s v="High (1,000+)"/>
    <x v="1"/>
    <n v="12.3"/>
    <s v="Bottom 25%"/>
    <b v="0"/>
    <b v="0"/>
    <b v="0"/>
    <n v="1.33"/>
    <n v="3"/>
    <x v="1"/>
    <s v="https://www.amazon.in/iQOO-Chromatic-Storage-Snapdragon-Processor/dp/B07WHQBZLS/ref=sr_1_123?qid=1672895784&amp;s=electronics&amp;sr=1-123"/>
  </r>
  <r>
    <s v="B085DTN6R2"/>
    <s v="Portronics Konnect CL 20W POR-1067 Type-C to 8 Pin USB 1.2M Cable with Power Delivery &amp; 3A Quick Charge Support, Nylon Braided for All Type-C and 8 Pin Devices, Green"/>
    <s v="Computers&amp;Accessories"/>
    <x v="0"/>
    <s v="Accessories&amp;Peripherals"/>
    <s v="USBCables"/>
    <n v="350"/>
    <n v="899"/>
    <n v="61"/>
    <n v="4.2"/>
    <n v="2263"/>
    <n v="4.1279626739159916"/>
    <s v="High (1,000+)"/>
    <x v="0"/>
    <n v="62.8"/>
    <s v="Top 25%"/>
    <b v="0"/>
    <b v="0"/>
    <b v="0"/>
    <n v="1.17"/>
    <n v="1"/>
    <x v="0"/>
    <s v="https://www.amazon.in/Portronics-Konnect-Delivery-Support-Braided/dp/B085DTN6R2/ref=sr_1_124?qid=1672895784&amp;s=electronics&amp;sr=1-124"/>
  </r>
  <r>
    <s v="B09JS562TP"/>
    <s v="Motorola a10 Dual Sim keypad Mobile with 1750 mAh Battery, Expandable Storage Upto 32GB, Wireless FM with Recording - Rose Gold"/>
    <s v="Electronics"/>
    <x v="1"/>
    <s v="Mobiles&amp;Accessories"/>
    <s v="BasicMobiles"/>
    <n v="1399"/>
    <n v="1630"/>
    <n v="14"/>
    <n v="4"/>
    <n v="9378"/>
    <n v="4.0242334075324999"/>
    <s v="High (1,000+)"/>
    <x v="4"/>
    <n v="25.2"/>
    <s v="Bottom 25%"/>
    <b v="0"/>
    <b v="0"/>
    <b v="0"/>
    <m/>
    <n v="2"/>
    <x v="0"/>
    <s v="https://www.amazon.in/Motorola-keypad-Mobile-Expandable-Battery/dp/B09JS562TP/ref=sr_1_125?qid=1672895784&amp;s=electronics&amp;sr=1-125"/>
  </r>
  <r>
    <s v="B09V17S2BG"/>
    <s v="boAt Wave Lite Smartwatch with 1.69&quot; HD Display, Heart Rate &amp; SpO2 Level Monitor, Multiple Watch Faces, Activity Tracker, Multiple Sports Modes &amp; IP68 (Deep Blue)"/>
    <s v="Electronics"/>
    <x v="1"/>
    <s v="WearableTechnology"/>
    <s v="SmartWatches"/>
    <n v="1499"/>
    <n v="6990"/>
    <n v="79"/>
    <n v="3.9"/>
    <n v="21796"/>
    <n v="3.9271803545466608"/>
    <s v="High (1,000+)"/>
    <x v="4"/>
    <n v="44.3"/>
    <s v="Below median"/>
    <b v="0"/>
    <b v="0"/>
    <b v="0"/>
    <n v="0.68"/>
    <n v="3"/>
    <x v="1"/>
    <s v="https://www.amazon.in/boAt-Wave-Lite-Smartwatch-Multiple/dp/B09V17S2BG/ref=sr_1_127?qid=1672895784&amp;s=electronics&amp;sr=1-127"/>
  </r>
  <r>
    <s v="B0B5CGTBKV"/>
    <s v="boAt Wave Call Smart Watch, Smart Talk with Advanced Dedicated Bluetooth Calling Chip, 1.69” HD Display with 550 NITS &amp; 70% Color Gamut, 150+ Watch Faces, Multi-Sport Modes,HR,SpO2(Caribbean Green)"/>
    <s v="Electronics"/>
    <x v="1"/>
    <s v="WearableTechnology"/>
    <s v="SmartWatches"/>
    <n v="1999"/>
    <n v="7990"/>
    <n v="75"/>
    <n v="3.8"/>
    <n v="17833"/>
    <n v="3.849590844929768"/>
    <s v="High (1,000+)"/>
    <x v="4"/>
    <n v="38.6"/>
    <s v="Bottom 25%"/>
    <b v="0"/>
    <b v="0"/>
    <b v="1"/>
    <n v="0.91"/>
    <n v="4"/>
    <x v="0"/>
    <s v="https://www.amazon.in/boAt-Wave-Call-Dedicated-Multi-Sport/dp/B0B5CGTBKV/ref=sr_1_128?qid=1672895784&amp;s=electronics&amp;sr=1-128"/>
  </r>
  <r>
    <s v="B0B23LW7NV"/>
    <s v="Spigen EZ Fit Tempered Glass Screen Protector for iPhone 14 Pro Max - 2 Pack (Sensor Protection)"/>
    <s v="Electronics"/>
    <x v="1"/>
    <s v="Mobiles&amp;Accessories"/>
    <s v="ScreenProtectors"/>
    <n v="999"/>
    <n v="2899"/>
    <n v="66"/>
    <n v="4.7"/>
    <n v="7779"/>
    <n v="4.4993925479080552"/>
    <s v="High (1,000+)"/>
    <x v="2"/>
    <n v="89.7"/>
    <s v="Top 25%"/>
    <b v="1"/>
    <b v="0"/>
    <b v="0"/>
    <n v="2.57"/>
    <n v="1"/>
    <x v="0"/>
    <s v="https://www.amazon.in/Spigen-Tempered-Screen-Protector-iPhone/dp/B0B23LW7NV/ref=sr_1_130?qid=1672895784&amp;s=electronics&amp;sr=1-130"/>
  </r>
  <r>
    <s v="B09KGV7WSV"/>
    <s v="KINGONE Upgraded Stylus Pen, iPad Pencil, Ultra High Precision &amp; Sensitivity, Palm Rejection, Prevents False ON/Off Touch, Power Display, Tilt Sensitivity, Magnetic Adsorption for iPad 2018 and Later"/>
    <s v="Electronics"/>
    <x v="1"/>
    <s v="Mobiles&amp;Accessories"/>
    <s v="StylusPens"/>
    <n v="2099"/>
    <n v="5999"/>
    <n v="65"/>
    <n v="4.3"/>
    <n v="17129"/>
    <n v="4.261213368675338"/>
    <s v="High (1,000+)"/>
    <x v="4"/>
    <n v="76.400000000000006"/>
    <s v="Top 25%"/>
    <b v="0"/>
    <b v="0"/>
    <b v="0"/>
    <m/>
    <n v="1"/>
    <x v="0"/>
    <s v="https://www.amazon.in/Upgraded-Precision-Sensitivity-Rejection-Adsorption/dp/B09KGV7WSV/ref=sr_1_131?qid=1672895784&amp;s=electronics&amp;sr=1-131"/>
  </r>
  <r>
    <s v="B0971DWFDT"/>
    <s v="Portronics CarPower Mini Car Charger with Dual Output, Fast Charging (Type C PD 18W + QC 3.0A) Compatible with All Smartphones(Black)"/>
    <s v="Electronics"/>
    <x v="1"/>
    <s v="Mobiles&amp;Accessories"/>
    <s v="AutomobileChargers"/>
    <n v="337"/>
    <n v="699"/>
    <n v="52"/>
    <n v="4.2"/>
    <n v="4969"/>
    <n v="4.1502879335372862"/>
    <s v="High (1,000+)"/>
    <x v="0"/>
    <n v="69.2"/>
    <s v="Top 25%"/>
    <b v="0"/>
    <b v="0"/>
    <b v="0"/>
    <m/>
    <n v="1"/>
    <x v="0"/>
    <s v="https://www.amazon.in/Portronics-CarPower-Charger-Output-Black/dp/B0971DWFDT/ref=sr_1_132?qid=1672895784&amp;s=electronics&amp;sr=1-132"/>
  </r>
  <r>
    <s v="B0BNV7JM5Y"/>
    <s v="boAt Newly Launched Wave Electra with 1.81&quot; HD Display, Smart Calling with Ultra-Seamless BT Calling Chip,20 Built-In Watch Faces,100 + Sports Modes,Menu Personalization,In-Built Games(Charcoal Black)"/>
    <s v="Electronics"/>
    <x v="1"/>
    <s v="WearableTechnology"/>
    <s v="SmartWatches"/>
    <n v="2999"/>
    <n v="7990"/>
    <n v="62"/>
    <n v="4.0999999999999996"/>
    <n v="154"/>
    <n v="4.0852391399670154"/>
    <s v="Medium (100-999)"/>
    <x v="3"/>
    <n v="47.7"/>
    <s v="Below median"/>
    <b v="0"/>
    <b v="0"/>
    <b v="0"/>
    <n v="1.36"/>
    <n v="2"/>
    <x v="0"/>
    <s v="https://www.amazon.in/boAt-Launched-Ultra-Seamless-Personalization-Charcoal/dp/B0BNV7JM5Y/ref=sr_1_133?qid=1672895784&amp;s=electronics&amp;sr=1-133"/>
  </r>
  <r>
    <s v="B0B53QFZPY"/>
    <s v="PTron Newly Launched Force X10 Bluetooth Calling Smartwatch with 1.7&quot; Full Touch Color Display, Real Heart Rate Monitor, SpO2, Watch Faces, 5 Days Runtime, Fitness Trackers &amp; IP68 Waterproof (Pink)"/>
    <s v="Electronics"/>
    <x v="1"/>
    <s v="WearableTechnology"/>
    <s v="SmartWatches"/>
    <n v="1299"/>
    <n v="5999"/>
    <n v="78"/>
    <n v="3.3"/>
    <n v="4415"/>
    <n v="3.6610136461853648"/>
    <s v="High (1,000+)"/>
    <x v="4"/>
    <n v="41.9"/>
    <s v="Below median"/>
    <b v="0"/>
    <b v="0"/>
    <b v="1"/>
    <n v="0.59"/>
    <n v="3"/>
    <x v="0"/>
    <s v="https://www.amazon.in/PTron-Force-Bluetooth-Smartwatch-Waterproof/dp/B0B53QFZPY/ref=sr_1_134?qid=1672895784&amp;s=electronics&amp;sr=1-134"/>
  </r>
  <r>
    <s v="B07WJWRNVK"/>
    <s v="iQOO vivo Z6 5G (Dynamo Black, 6GB RAM, 128GB Storage) | Snapdragon 695-6nm Processor | 120Hz FHD+ Display | 5000mAh Battery"/>
    <s v="Electronics"/>
    <x v="1"/>
    <s v="Mobiles&amp;Accessories"/>
    <s v="Smartphones"/>
    <n v="16499"/>
    <n v="20990"/>
    <n v="21"/>
    <n v="4"/>
    <n v="21350"/>
    <n v="4.0126805014108839"/>
    <s v="High (1,000+)"/>
    <x v="1"/>
    <n v="13.3"/>
    <s v="Bottom 25%"/>
    <b v="0"/>
    <b v="0"/>
    <b v="0"/>
    <n v="1.22"/>
    <n v="3"/>
    <x v="1"/>
    <s v="https://www.amazon.in/iQOO-Storage-Snapdragon-695-6nm-Processor/dp/B07WJWRNVK/ref=sr_1_136?qid=1672895784&amp;s=electronics&amp;sr=1-136"/>
  </r>
  <r>
    <s v="B01F25X6RQ"/>
    <s v="Samsung Ehs64 Ehs64Avfwecinu Hands-Free Wired In Ear Earphones With Mic With Remote Note (White)"/>
    <s v="Electronics"/>
    <x v="1"/>
    <s v="Headphones,Earbuds&amp;Accessories"/>
    <s v="In-Ear"/>
    <n v="499"/>
    <n v="499"/>
    <n v="0"/>
    <n v="4.2"/>
    <n v="31539"/>
    <n v="4.1877041794734167"/>
    <s v="High (1,000+)"/>
    <x v="0"/>
    <n v="52.3"/>
    <s v="Above median"/>
    <b v="0"/>
    <b v="0"/>
    <b v="0"/>
    <n v="0.53"/>
    <n v="2"/>
    <x v="0"/>
    <s v="https://www.amazon.in/Samsung-Original-EHS64AVFWECINU-Stereo-Headset/dp/B01F25X6RQ/ref=sr_1_137?qid=1672895784&amp;s=electronics&amp;sr=1-137"/>
  </r>
  <r>
    <s v="B0B244R4KB"/>
    <s v="Spigen EZ Fit Tempered Glass Screen Protector for iPhone 14 Pro - 2 Pack (Sensor Protection)"/>
    <s v="Electronics"/>
    <x v="1"/>
    <s v="Mobiles&amp;Accessories"/>
    <s v="ScreenProtectors"/>
    <n v="999"/>
    <n v="2899"/>
    <n v="66"/>
    <n v="4.5999999999999996"/>
    <n v="6129"/>
    <n v="4.4039669505818946"/>
    <s v="High (1,000+)"/>
    <x v="2"/>
    <n v="88.6"/>
    <s v="Top 25%"/>
    <b v="1"/>
    <b v="0"/>
    <b v="0"/>
    <n v="2.57"/>
    <n v="1"/>
    <x v="0"/>
    <s v="https://www.amazon.in/Spigen-Tempered-Screen-Protector-iPhone/dp/B0B244R4KB/ref=sr_1_139?qid=1672895784&amp;s=electronics&amp;sr=1-139"/>
  </r>
  <r>
    <s v="B0BMGG6NKT"/>
    <s v="Samsung Galaxy M04 Dark Blue, 4GB RAM, 128GB Storage | Upto 8GB RAM with RAM Plus | MediaTek Helio P35 | 5000 mAh Battery"/>
    <s v="Electronics"/>
    <x v="1"/>
    <s v="Mobiles&amp;Accessories"/>
    <s v="Smartphones"/>
    <n v="10499"/>
    <n v="13499"/>
    <n v="22"/>
    <n v="4.2"/>
    <n v="284"/>
    <n v="4.09273176613884"/>
    <s v="Medium (100-999)"/>
    <x v="1"/>
    <n v="30.2"/>
    <s v="Bottom 25%"/>
    <b v="0"/>
    <b v="0"/>
    <b v="0"/>
    <n v="0.78"/>
    <n v="3"/>
    <x v="1"/>
    <s v="https://www.amazon.in/Samsung-Galaxy-Storage-MediaTek-Battery/dp/B0BMGG6NKT/ref=sr_1_140?qid=1672895784&amp;s=electronics&amp;sr=1-140"/>
  </r>
  <r>
    <s v="B092JHPL72"/>
    <s v="SWAPKART Flexible Mobile Tabletop Stand, Metal Built, Heavy Duty Foldable Lazy Bracket Clip Mount Multi Angle Clamp for All Smartphones (Pack of 1), Multi Color"/>
    <s v="Electronics"/>
    <x v="1"/>
    <s v="Mobiles&amp;Accessories"/>
    <s v="Bedstand&amp;DeskMounts"/>
    <n v="251"/>
    <n v="999"/>
    <n v="75"/>
    <n v="3.7"/>
    <n v="3234"/>
    <n v="3.9068447211721309"/>
    <s v="High (1,000+)"/>
    <x v="0"/>
    <n v="49.3"/>
    <s v="Below median"/>
    <b v="0"/>
    <b v="0"/>
    <b v="1"/>
    <m/>
    <n v="1"/>
    <x v="0"/>
    <s v="https://www.amazon.in/SWAPKART-Flexible-Desktop-Foldable-Smartphones/dp/B092JHPL72/ref=sr_1_142?qid=1672895784&amp;s=electronics&amp;sr=1-142"/>
  </r>
  <r>
    <s v="B09GFM8CGS"/>
    <s v="Redmi 9A Sport (Carbon Black, 2GB RAM, 32GB Storage) | 2GHz Octa-core Helio G25 Processor | 5000 mAh Battery"/>
    <s v="Electronics"/>
    <x v="1"/>
    <s v="Mobiles&amp;Accessories"/>
    <s v="Smartphones"/>
    <n v="6499"/>
    <n v="7999"/>
    <n v="19"/>
    <n v="4.0999999999999996"/>
    <n v="313832"/>
    <n v="4.0998179725772346"/>
    <s v="High (1,000+)"/>
    <x v="3"/>
    <n v="35.799999999999997"/>
    <s v="Bottom 25%"/>
    <b v="0"/>
    <b v="0"/>
    <b v="0"/>
    <n v="0.48"/>
    <n v="4"/>
    <x v="1"/>
    <s v="https://www.amazon.in/Redmi-9A-Sport-Octa-core-Processor/dp/B09GFM8CGS/ref=sr_1_144?qid=1672895784&amp;s=electronics&amp;sr=1-144"/>
  </r>
  <r>
    <s v="B09J2MM5C6"/>
    <s v="Amozo Ultra Hybrid Camera and Drop Protection Back Cover Case for iPhone 13 (TPU + Polycarbonate | Crystal Transparent)"/>
    <s v="Electronics"/>
    <x v="1"/>
    <s v="Mobiles&amp;Accessories"/>
    <s v="BasicCases"/>
    <n v="279"/>
    <n v="1499"/>
    <n v="81"/>
    <n v="4.2"/>
    <n v="2646"/>
    <n v="4.13226793971769"/>
    <s v="High (1,000+)"/>
    <x v="0"/>
    <n v="79.900000000000006"/>
    <s v="Top 25%"/>
    <b v="0"/>
    <b v="0"/>
    <b v="0"/>
    <m/>
    <n v="1"/>
    <x v="0"/>
    <s v="https://www.amazon.in/Amozo-Cover-iPhone-Polycarbonate-Transparent/dp/B09J2MM5C6/ref=sr_1_148?qid=1672895791&amp;s=electronics&amp;sr=1-148"/>
  </r>
  <r>
    <s v="B07Q4QV1DL"/>
    <s v="ELV Aluminum Adjustable Mobile Phone Foldable Tabletop Stand Dock Mount for All Smartphones, Tabs, Kindle, iPad (Black)"/>
    <s v="Electronics"/>
    <x v="1"/>
    <s v="Mobiles&amp;Accessories"/>
    <s v="Stands"/>
    <n v="269"/>
    <n v="1499"/>
    <n v="82"/>
    <n v="4.5"/>
    <n v="28978"/>
    <n v="4.4522667366619579"/>
    <s v="High (1,000+)"/>
    <x v="0"/>
    <n v="97.9"/>
    <s v="Top 25%"/>
    <b v="1"/>
    <b v="0"/>
    <b v="0"/>
    <m/>
    <n v="2"/>
    <x v="0"/>
    <s v="https://www.amazon.in/Aluminum-Adjustable-Mobile-Foldable-Smartphones/dp/B07Q4QV1DL/ref=sr_1_149?qid=1672895791&amp;s=electronics&amp;sr=1-149"/>
  </r>
  <r>
    <s v="B0B56YRBNT"/>
    <s v="Tecno Spark 9 (Sky Mirror, 6GB RAM,128GB Storage) | 11GB Expandable RAM | Helio G37 Gaming Processor"/>
    <s v="Electronics"/>
    <x v="1"/>
    <s v="Mobiles&amp;Accessories"/>
    <s v="Smartphones"/>
    <n v="8999"/>
    <n v="13499"/>
    <n v="33"/>
    <n v="3.8"/>
    <n v="3145"/>
    <n v="3.9550400422266829"/>
    <s v="High (1,000+)"/>
    <x v="3"/>
    <n v="16.399999999999999"/>
    <s v="Bottom 25%"/>
    <b v="0"/>
    <b v="0"/>
    <b v="1"/>
    <n v="0.67"/>
    <n v="1"/>
    <x v="0"/>
    <s v="https://www.amazon.in/Tecno-Spark-Storage-Expandable-Processor/dp/B0B56YRBNT/ref=sr_1_153?qid=1672895791&amp;s=electronics&amp;sr=1-153"/>
  </r>
  <r>
    <s v="B01DF26V7A"/>
    <s v="JBL C100SI Wired In Ear Headphones with Mic, JBL Pure Bass Sound, One Button Multi-function Remote, Premium Metallic Finish, Angled Buds for Comfort fit (Red)"/>
    <s v="Electronics"/>
    <x v="1"/>
    <s v="Headphones,Earbuds&amp;Accessories"/>
    <s v="In-Ear"/>
    <n v="599"/>
    <n v="1299"/>
    <n v="54"/>
    <n v="4.0999999999999996"/>
    <n v="192589"/>
    <n v="4.0997055743993842"/>
    <s v="High (1,000+)"/>
    <x v="2"/>
    <n v="59.2"/>
    <s v="Above median"/>
    <b v="0"/>
    <b v="0"/>
    <b v="0"/>
    <n v="0.63"/>
    <n v="2"/>
    <x v="1"/>
    <s v="https://www.amazon.in/JBL-C100SI-Ear-Headphones-Mic/dp/B01DF26V7A/ref=sr_1_159?qid=1672895791&amp;s=electronics&amp;sr=1-159"/>
  </r>
  <r>
    <s v="B08K4PSZ3V"/>
    <s v="Tukzer Capacitive Stylus Pen for Touch Screens Devices, Fine Point, Lightweight Metal Body with Magnetism Cover Cap for Smartphones/Tablets/iPad/iPad Pro/iPhone (Grey)"/>
    <s v="Electronics"/>
    <x v="1"/>
    <s v="Mobiles&amp;Accessories"/>
    <s v="StylusPens"/>
    <n v="349"/>
    <n v="999"/>
    <n v="65"/>
    <n v="3.8"/>
    <n v="16557"/>
    <n v="3.8527049923315442"/>
    <s v="High (1,000+)"/>
    <x v="0"/>
    <n v="44.7"/>
    <s v="Below median"/>
    <b v="0"/>
    <b v="0"/>
    <b v="1"/>
    <m/>
    <n v="2"/>
    <x v="0"/>
    <s v="https://www.amazon.in/Tukzer-Capacitive-Lightweight-Magnetism-Smartphones/dp/B08K4PSZ3V/ref=sr_1_161?qid=1672895791&amp;s=electronics&amp;sr=1-161"/>
  </r>
  <r>
    <s v="B0B4F1YC3J"/>
    <s v="Samsung Galaxy M13 5G (Aqua Green, 6GB, 128GB Storage) | 5000mAh Battery | Upto 12GB RAM with RAM Plus"/>
    <s v="Electronics"/>
    <x v="1"/>
    <s v="Mobiles&amp;Accessories"/>
    <s v="Smartphones"/>
    <n v="13999"/>
    <n v="19499"/>
    <n v="28"/>
    <n v="4.0999999999999996"/>
    <n v="18998"/>
    <n v="4.0974600334650297"/>
    <s v="High (1,000+)"/>
    <x v="1"/>
    <n v="34.6"/>
    <s v="Bottom 25%"/>
    <b v="0"/>
    <b v="0"/>
    <b v="0"/>
    <n v="1.04"/>
    <n v="8"/>
    <x v="1"/>
    <s v="https://www.amazon.in/Samsung-Midnight-Storage-5000mAh-Battery/dp/B0B4F1YC3J/ref=sr_1_162?qid=1672895791&amp;s=electronics&amp;sr=1-162"/>
  </r>
  <r>
    <s v="B08K4RDQ71"/>
    <s v="Tukzer Capacitive Stylus Pen for Touch Screens Devices, Fine Point, Lightweight Metal Body with Magnetism Cover Cap for Smartphones/Tablets/iPad/iPad Pro/iPhone (White)"/>
    <s v="Electronics"/>
    <x v="1"/>
    <s v="Mobiles&amp;Accessories"/>
    <s v="StylusPens"/>
    <n v="349"/>
    <n v="999"/>
    <n v="65"/>
    <n v="3.8"/>
    <n v="16557"/>
    <n v="3.8527049923315442"/>
    <s v="High (1,000+)"/>
    <x v="0"/>
    <n v="44.7"/>
    <s v="Below median"/>
    <b v="0"/>
    <b v="0"/>
    <b v="1"/>
    <m/>
    <n v="2"/>
    <x v="1"/>
    <s v="https://www.amazon.in/Tukzer-Capacitive-Lightweight-Magnetism-Smartphones/dp/B08K4RDQ71/ref=sr_1_163?qid=1672895791&amp;s=electronics&amp;sr=1-163"/>
  </r>
  <r>
    <s v="B085CZ3SR1"/>
    <s v="Mi 10W Wall Charger for Mobile Phones with Micro USB Cable (Black)"/>
    <s v="Electronics"/>
    <x v="1"/>
    <s v="Mobiles&amp;Accessories"/>
    <s v="WallChargers"/>
    <n v="499"/>
    <n v="599"/>
    <n v="17"/>
    <n v="4.2"/>
    <n v="21916"/>
    <n v="4.1830963292902954"/>
    <s v="High (1,000+)"/>
    <x v="0"/>
    <n v="57.7"/>
    <s v="Above median"/>
    <b v="0"/>
    <b v="0"/>
    <b v="0"/>
    <n v="1"/>
    <n v="1"/>
    <x v="0"/>
    <s v="https://www.amazon.in/10W-Charger-Cable-Meter-Black/dp/B085CZ3SR1/ref=sr_1_164?qid=1672895791&amp;s=electronics&amp;sr=1-164"/>
  </r>
  <r>
    <s v="B09YV3K34W"/>
    <s v="Fire-Boltt India's No 1 Smartwatch Brand Talk 2 Bluetooth Calling Smartwatch with Dual Button, Hands On Voice Assistance, 60 Sports Modes, in Built Mic &amp; Speaker with IP68 Rating"/>
    <s v="Electronics"/>
    <x v="1"/>
    <s v="WearableTechnology"/>
    <s v="SmartWatches"/>
    <n v="2199"/>
    <n v="9999"/>
    <n v="78"/>
    <n v="4.2"/>
    <n v="29472"/>
    <n v="4.18693944821438"/>
    <s v="High (1,000+)"/>
    <x v="4"/>
    <n v="74.3"/>
    <s v="Top 25%"/>
    <b v="0"/>
    <b v="0"/>
    <b v="0"/>
    <n v="1"/>
    <n v="2"/>
    <x v="1"/>
    <s v="https://www.amazon.in/Fire-Boltt-Smartwatch-Bluetooth-Calling-Assistance/dp/B09YV3K34W/ref=sr_1_168?qid=1672895791&amp;s=electronics&amp;sr=1-168"/>
  </r>
  <r>
    <s v="B09NL4DJ2Z"/>
    <s v="FLiX (Beetel) USB to Type C PVC Data Sync &amp; 2A Smartphone Fast Charging Cable, Made in India, 480Mbps Data Sync, Tough Cable, 1 Meter Long USB Cable for USB Type C Devices Black XCD-C12"/>
    <s v="Computers&amp;Accessories"/>
    <x v="0"/>
    <s v="Accessories&amp;Peripherals"/>
    <s v="USBCables"/>
    <n v="139"/>
    <n v="249"/>
    <n v="44"/>
    <n v="4"/>
    <n v="9377"/>
    <n v="4.0242352518498281"/>
    <s v="High (1,000+)"/>
    <x v="0"/>
    <n v="39.299999999999997"/>
    <s v="Below median"/>
    <b v="0"/>
    <b v="0"/>
    <b v="0"/>
    <n v="0.46"/>
    <n v="8"/>
    <x v="1"/>
    <s v="https://www.amazon.in/Beetel-Smartphone-Charging-480Mbps-Xcd-C12/dp/B09NL4DJ2Z/ref=sr_1_170?qid=1672895799&amp;s=electronics&amp;sr=1-170"/>
  </r>
  <r>
    <s v="B0BGSV43WY"/>
    <s v="Noise ColorFit Pro 4 Alpha Bluetooth Calling Smart Watch with 1.78 AMOLED Display, Tru Sync, 60hz Refresh Rate, instacharge, Gesture Control, Functional 360 Digital Crown (Jet Black)"/>
    <s v="Electronics"/>
    <x v="1"/>
    <s v="WearableTechnology"/>
    <s v="SmartWatches"/>
    <n v="4499"/>
    <n v="7999"/>
    <n v="44"/>
    <n v="3.5"/>
    <n v="37"/>
    <n v="4.0789417269853443"/>
    <s v="Low (&lt;100)"/>
    <x v="3"/>
    <n v="34.9"/>
    <s v="Bottom 25%"/>
    <b v="0"/>
    <b v="0"/>
    <b v="1"/>
    <n v="2.0499999999999998"/>
    <n v="1"/>
    <x v="0"/>
    <s v="https://www.amazon.in/Noise-ColorFit-Bluetooth-instacharge-Functional/dp/B0BGSV43WY/ref=sr_1_172?qid=1672895799&amp;s=electronics&amp;sr=1-172"/>
  </r>
  <r>
    <s v="B0926V9CTV"/>
    <s v="Elv Mobile Phone Mount Tabletop Holder for Phones and Tablets - Black"/>
    <s v="Electronics"/>
    <x v="1"/>
    <s v="Mobiles&amp;Accessories"/>
    <s v="Stands"/>
    <n v="89"/>
    <n v="599"/>
    <n v="85"/>
    <n v="4.3"/>
    <n v="2351"/>
    <n v="4.1674554824046481"/>
    <s v="High (1,000+)"/>
    <x v="0"/>
    <n v="84.1"/>
    <s v="Top 25%"/>
    <b v="1"/>
    <b v="0"/>
    <b v="0"/>
    <m/>
    <n v="1"/>
    <x v="0"/>
    <s v="https://www.amazon.in/Mobile-Phone-Holder-Phones-Tablets/dp/B0926V9CTV/ref=sr_1_174?qid=1672895799&amp;s=electronics&amp;sr=1-174"/>
  </r>
  <r>
    <s v="B07WGPKMP5"/>
    <s v="iQOO Z6 44W by vivo (Raven Black, 6GB RAM, 128GB Storage) | 6.44&quot; FHD+ AMOLED Display | 50% Charge in just 27 mins | in-Display Fingerprint Scanning"/>
    <s v="Electronics"/>
    <x v="1"/>
    <s v="Mobiles&amp;Accessories"/>
    <s v="Smartphones"/>
    <n v="15499"/>
    <n v="20999"/>
    <n v="26"/>
    <n v="4.0999999999999996"/>
    <n v="19253"/>
    <n v="4.0974881749986229"/>
    <s v="High (1,000+)"/>
    <x v="1"/>
    <n v="33.799999999999997"/>
    <s v="Bottom 25%"/>
    <b v="0"/>
    <b v="0"/>
    <b v="0"/>
    <n v="1.1499999999999999"/>
    <n v="6"/>
    <x v="0"/>
    <s v="https://www.amazon.in/iQOO-Raven-Black-128GB-Storage/dp/B07WGPKMP5/ref=sr_1_175?qid=1672895799&amp;s=electronics&amp;sr=1-175"/>
  </r>
  <r>
    <s v="B0BBFJ9M3X"/>
    <s v="Redmi 11 Prime 5G (Meadow Green, 4GB RAM 64GB ROM) | Prime Design | MTK Dimensity 700 | 50 MP Dual Cam | 5000mAh | 7 Band 5G"/>
    <s v="Electronics"/>
    <x v="1"/>
    <s v="Mobiles&amp;Accessories"/>
    <s v="Smartphones"/>
    <n v="13999"/>
    <n v="15999"/>
    <n v="13"/>
    <n v="3.9"/>
    <n v="2180"/>
    <n v="4.0169018244309322"/>
    <s v="High (1,000+)"/>
    <x v="1"/>
    <n v="12.4"/>
    <s v="Bottom 25%"/>
    <b v="0"/>
    <b v="0"/>
    <b v="0"/>
    <n v="1.04"/>
    <n v="2"/>
    <x v="0"/>
    <s v="https://www.amazon.in/Redmi-Meadow-Design-Dimensity-5000mAh/dp/B0BBFJ9M3X/ref=sr_1_179?qid=1672895799&amp;s=electronics&amp;sr=1-179"/>
  </r>
  <r>
    <s v="B09PLFJ7ZW"/>
    <s v="Noise Pulse Buzz 1.69&quot; Bluetooth Calling Smart Watch with Call Function, 150 Watch Faces, 60 Sports Modes, Spo2 &amp; Heart Rate Monitoring, Calling Smart Watch for Men &amp; Women - Rose Pink"/>
    <s v="Electronics"/>
    <x v="1"/>
    <s v="WearableTechnology"/>
    <s v="SmartWatches"/>
    <n v="1999"/>
    <n v="4999"/>
    <n v="60"/>
    <n v="3.9"/>
    <n v="7571"/>
    <n v="3.961295194924852"/>
    <s v="High (1,000+)"/>
    <x v="4"/>
    <n v="36.6"/>
    <s v="Bottom 25%"/>
    <b v="0"/>
    <b v="0"/>
    <b v="0"/>
    <n v="0.91"/>
    <n v="2"/>
    <x v="0"/>
    <s v="https://www.amazon.in/Noise-Bluetooth-Calling-Function-Monitoring/dp/B09PLFJ7ZW/ref=sr_1_182?qid=1672895799&amp;s=electronics&amp;sr=1-182"/>
  </r>
  <r>
    <s v="B0B53NXFFR"/>
    <s v="PTron Newly Launched Force X10 Bluetooth Calling Smartwatch with 1.7&quot; Full Touch Display, Real Heart Rate Monitor, SpO2, Watch Faces, 5 Days Runtime, Health/Fitness Trackers &amp; IP68 Waterproof (Black)"/>
    <s v="Electronics"/>
    <x v="1"/>
    <s v="WearableTechnology"/>
    <s v="SmartWatches"/>
    <n v="1399"/>
    <n v="5999"/>
    <n v="77"/>
    <n v="3.3"/>
    <n v="4415"/>
    <n v="3.6610136461853648"/>
    <s v="High (1,000+)"/>
    <x v="4"/>
    <n v="41.2"/>
    <s v="Below median"/>
    <b v="0"/>
    <b v="0"/>
    <b v="1"/>
    <n v="0.64"/>
    <n v="3"/>
    <x v="1"/>
    <s v="https://www.amazon.in/PTron-Force-Bluetooth-Smartwatch-Waterproof/dp/B0B53NXFFR/ref=sr_1_184?qid=1672895799&amp;s=electronics&amp;sr=1-184"/>
  </r>
  <r>
    <s v="B07GNC2592"/>
    <s v="Portronics CLAMP X Car-Vent Mobile Holder 360 Degree Rotational(Black)"/>
    <s v="Electronics"/>
    <x v="1"/>
    <s v="Mobiles&amp;Accessories"/>
    <s v="Cradles"/>
    <n v="599"/>
    <n v="999"/>
    <n v="40"/>
    <n v="4"/>
    <n v="18654"/>
    <n v="4.0142055669565204"/>
    <s v="High (1,000+)"/>
    <x v="2"/>
    <n v="36.5"/>
    <s v="Bottom 25%"/>
    <b v="0"/>
    <b v="0"/>
    <b v="0"/>
    <m/>
    <n v="1"/>
    <x v="0"/>
    <s v="https://www.amazon.in/Portronics-POR-926-Car-Vent-Mobile-Holder/dp/B07GNC2592/ref=sr_1_185?qid=1672895799&amp;s=electronics&amp;sr=1-185"/>
  </r>
  <r>
    <s v="B09TP5KBN7"/>
    <s v="pTron Volta Dual Port 12W Smart USB Charger Adapter, Multi-Layer Protection, Made in India, BIS Certified, Fast Charging Power Adaptor Without Cable for All iOS &amp; Android Devices (Black)"/>
    <s v="Electronics"/>
    <x v="1"/>
    <s v="Mobiles&amp;Accessories"/>
    <s v="WallChargers"/>
    <n v="199"/>
    <n v="1099"/>
    <n v="82"/>
    <n v="4"/>
    <n v="3197"/>
    <n v="4.0457560301287181"/>
    <s v="High (1,000+)"/>
    <x v="0"/>
    <n v="61.4"/>
    <s v="Top 25%"/>
    <b v="0"/>
    <b v="0"/>
    <b v="0"/>
    <n v="0.4"/>
    <n v="1"/>
    <x v="0"/>
    <s v="https://www.amazon.in/Charger-Multi-Layer-Protection-Certified-Charging/dp/B09TP5KBN7/ref=sr_1_186?qid=1672895799&amp;s=electronics&amp;sr=1-186"/>
  </r>
  <r>
    <s v="B0949SBKMP"/>
    <s v="boAt Flash Edition Smart Watch with Activity Tracker, Multiple Sports Modes, 1.3&quot; Screen, 170+ Watch Faces, Sleep Monitor, Gesture, Camera &amp; Music Control, IP68 &amp; 7 Days Battery Life(Lightning Black)"/>
    <s v="Electronics"/>
    <x v="1"/>
    <s v="WearableTechnology"/>
    <s v="SmartWatches"/>
    <n v="1799"/>
    <n v="6990"/>
    <n v="74"/>
    <n v="4"/>
    <n v="26880"/>
    <n v="4.0103920728295934"/>
    <s v="High (1,000+)"/>
    <x v="4"/>
    <n v="45.2"/>
    <s v="Below median"/>
    <b v="0"/>
    <b v="0"/>
    <b v="0"/>
    <n v="0.82"/>
    <n v="1"/>
    <x v="0"/>
    <s v="https://www.amazon.in/boAt-Flash-Smartwatch-Resistance-Lightning/dp/B0949SBKMP/ref=sr_1_188?qid=1672895799&amp;s=electronics&amp;sr=1-188"/>
  </r>
  <r>
    <s v="B09V175NP7"/>
    <s v="boAt Wave Lite Smartwatch with 1.69 Inches(4.29cm) HD Display, Heart Rate &amp; SpO2 Level Monitor, Multiple Watch Faces, Activity Tracker, Multiple Sports Modes &amp; IP68 (Scarlet Red)"/>
    <s v="Electronics"/>
    <x v="1"/>
    <s v="WearableTechnology"/>
    <s v="SmartWatches"/>
    <n v="1499"/>
    <n v="6990"/>
    <n v="79"/>
    <n v="3.9"/>
    <n v="21796"/>
    <n v="3.9271803545466608"/>
    <s v="High (1,000+)"/>
    <x v="4"/>
    <n v="44.3"/>
    <s v="Below median"/>
    <b v="0"/>
    <b v="0"/>
    <b v="0"/>
    <n v="0.68"/>
    <n v="3"/>
    <x v="1"/>
    <s v="https://www.amazon.in/boAt-Wave-Lite-Smartwatch-Multiple/dp/B09V175NP7/ref=sr_1_190?qid=1672895799&amp;s=electronics&amp;sr=1-190"/>
  </r>
  <r>
    <s v="B07WHSJXLF"/>
    <s v="iQOO Z6 Pro 5G by vivo (Phantom Dusk, 8GB RAM, 128GB Storage) | Snapdragon 778G 5G | 66W FlashCharge | 1300 nits Peak Brightness | HDR10+"/>
    <s v="Electronics"/>
    <x v="1"/>
    <s v="Mobiles&amp;Accessories"/>
    <s v="Smartphones"/>
    <n v="20999"/>
    <n v="29990"/>
    <n v="30"/>
    <n v="4.3"/>
    <n v="9499"/>
    <n v="4.2388974921148286"/>
    <s v="High (1,000+)"/>
    <x v="1"/>
    <n v="50.2"/>
    <s v="Below median"/>
    <b v="0"/>
    <b v="0"/>
    <b v="0"/>
    <n v="1.56"/>
    <n v="3"/>
    <x v="1"/>
    <s v="https://www.amazon.in/iQOO-Phantom-Snapdragon-FlashCharge-Brightness/dp/B07WHSJXLF/ref=sr_1_192?qid=1672895799&amp;s=electronics&amp;sr=1-192"/>
  </r>
  <r>
    <s v="B0BD3T6Z1D"/>
    <s v="Samsung Galaxy M32 Prime Edition (Light Blue, 4GB RAM, 64GB)"/>
    <s v="Electronics"/>
    <x v="1"/>
    <s v="Mobiles&amp;Accessories"/>
    <s v="Smartphones"/>
    <n v="12999"/>
    <n v="13499"/>
    <n v="4"/>
    <n v="4.0999999999999996"/>
    <n v="56098"/>
    <n v="4.0990342394681099"/>
    <s v="High (1,000+)"/>
    <x v="1"/>
    <n v="31.1"/>
    <s v="Bottom 25%"/>
    <b v="0"/>
    <b v="0"/>
    <b v="0"/>
    <n v="0.96"/>
    <n v="1"/>
    <x v="0"/>
    <s v="https://www.amazon.in/Samsung-Galaxy-Prime-Light-Blue/dp/B0BD3T6Z1D/ref=sr_1_193?qid=1672895806&amp;s=electronics&amp;sr=1-193"/>
  </r>
  <r>
    <s v="B09LHYZ3GJ"/>
    <s v="Redmi Note 11T 5G (Matte Black, 6GB RAM, 128GB ROM)| Dimensity 810 5G | 33W Pro Fast Charging | Charger Included | Additional Exchange Offers|Get 2 Months of YouTube Premium Free!"/>
    <s v="Electronics"/>
    <x v="1"/>
    <s v="Mobiles&amp;Accessories"/>
    <s v="Smartphones"/>
    <n v="16999"/>
    <n v="20999"/>
    <n v="19"/>
    <n v="4.0999999999999996"/>
    <n v="31822"/>
    <n v="4.0983753907370009"/>
    <s v="High (1,000+)"/>
    <x v="1"/>
    <n v="32.1"/>
    <s v="Bottom 25%"/>
    <b v="0"/>
    <b v="0"/>
    <b v="0"/>
    <n v="1.26"/>
    <n v="3"/>
    <x v="0"/>
    <s v="https://www.amazon.in/Redmi-Note-11T-5G-Dimensity/dp/B09LHYZ3GJ/ref=sr_1_196?qid=1672895806&amp;s=electronics&amp;sr=1-196"/>
  </r>
  <r>
    <s v="B07WFPMGQQ"/>
    <s v="iQOO Z6 Pro 5G by vivo (Legion Sky, 6GB RAM, 128GB Storage) | Snapdragon 778G 5G | 66W FlashCharge | 1300 nits Peak Brightness | HDR10+"/>
    <s v="Electronics"/>
    <x v="1"/>
    <s v="Mobiles&amp;Accessories"/>
    <s v="Smartphones"/>
    <n v="19999"/>
    <n v="27990"/>
    <n v="29"/>
    <n v="4.3"/>
    <n v="9499"/>
    <n v="4.2388974921148286"/>
    <s v="High (1,000+)"/>
    <x v="1"/>
    <n v="50"/>
    <s v="Below median"/>
    <b v="0"/>
    <b v="0"/>
    <b v="0"/>
    <n v="1.48"/>
    <n v="3"/>
    <x v="1"/>
    <s v="https://www.amazon.in/iQOO-Storage-Snapdragon-FlashCharge-Brightness/dp/B07WFPMGQQ/ref=sr_1_198?qid=1672895806&amp;s=electronics&amp;sr=1-198"/>
  </r>
  <r>
    <s v="B09QS9X9L8"/>
    <s v="Redmi Note 11 (Horizon Blue, 6GB RAM, 64GB Storage)|90Hz FHD+ AMOLED Display | Qualcomm® Snapdragon™ 680-6nm | 33W Charger Included"/>
    <s v="Electronics"/>
    <x v="1"/>
    <s v="Mobiles&amp;Accessories"/>
    <s v="Smartphones"/>
    <n v="12999"/>
    <n v="18999"/>
    <n v="32"/>
    <n v="4.0999999999999996"/>
    <n v="50772"/>
    <n v="4.0989399204481716"/>
    <s v="High (1,000+)"/>
    <x v="1"/>
    <n v="37.6"/>
    <s v="Bottom 25%"/>
    <b v="0"/>
    <b v="0"/>
    <b v="0"/>
    <n v="0.96"/>
    <n v="4"/>
    <x v="1"/>
    <s v="https://www.amazon.in/Redmi-Starburst-Qualcomm%C2%AE-SnapdragonTM-Included/dp/B09QS9X9L8/ref=sr_1_199?qid=1672895806&amp;s=electronics&amp;sr=1-199"/>
  </r>
  <r>
    <s v="B0B6BLTGTT"/>
    <s v="Noise Pulse 2 Max Advanced Bluetooth Calling Smart Watch with 1.85'' TFT and 550 Nits Brightness, Smart DND, 10 Days Battery, 100 Sports Mode, Smartwatch for Men and Women - (Jet Black)"/>
    <s v="Electronics"/>
    <x v="1"/>
    <s v="WearableTechnology"/>
    <s v="SmartWatches"/>
    <n v="2999"/>
    <n v="5999"/>
    <n v="50"/>
    <n v="4.0999999999999996"/>
    <n v="7148"/>
    <n v="4.0947013511462176"/>
    <s v="High (1,000+)"/>
    <x v="3"/>
    <n v="47"/>
    <s v="Below median"/>
    <b v="0"/>
    <b v="0"/>
    <b v="0"/>
    <n v="1.36"/>
    <n v="1"/>
    <x v="0"/>
    <s v="https://www.amazon.in/Noise-Advanced-Bluetooth-Brightness-Smartwatch/dp/B0B6BLTGTT/ref=sr_1_202?qid=1672895806&amp;s=electronics&amp;sr=1-202"/>
  </r>
  <r>
    <s v="B084DTMYWK"/>
    <s v="Myvn 30W Warp/20W Dash Charging Usb Type C Charger Cable Compatible For Cellular Phones Oneplus 8T 8 8Pro 7 Pro / 7T / 7T Pro Nord And Oneplus 3 / 3T / 5 / 5T / 6 / 6T / 7"/>
    <s v="Electronics"/>
    <x v="1"/>
    <s v="Mobiles&amp;Accessories"/>
    <s v="WallChargers"/>
    <n v="329"/>
    <n v="999"/>
    <n v="67"/>
    <n v="4.2"/>
    <n v="3492"/>
    <n v="4.1401666678173292"/>
    <s v="High (1,000+)"/>
    <x v="0"/>
    <n v="76.099999999999994"/>
    <s v="Top 25%"/>
    <b v="0"/>
    <b v="0"/>
    <b v="0"/>
    <n v="0.66"/>
    <n v="1"/>
    <x v="0"/>
    <s v="https://www.amazon.in/MYVN-Charging-Compatible-OnePlus-Charge/dp/B084DTMYWK/ref=sr_1_208?qid=1672895806&amp;s=electronics&amp;sr=1-208"/>
  </r>
  <r>
    <s v="B0B53QLB9H"/>
    <s v="PTron Newly Launched Force X10 Bluetooth Calling Smartwatch with 1.7&quot; Full Touch Color Display, Real Heart Rate Monitor, SpO2, Watch Faces, 5 Days Runtime, Fitness Trackers &amp; IP68 Waterproof (Blue)"/>
    <s v="Electronics"/>
    <x v="1"/>
    <s v="WearableTechnology"/>
    <s v="SmartWatches"/>
    <n v="1299"/>
    <n v="5999"/>
    <n v="78"/>
    <n v="3.3"/>
    <n v="4415"/>
    <n v="3.6610136461853648"/>
    <s v="High (1,000+)"/>
    <x v="4"/>
    <n v="41.9"/>
    <s v="Below median"/>
    <b v="0"/>
    <b v="0"/>
    <b v="1"/>
    <n v="0.59"/>
    <n v="3"/>
    <x v="1"/>
    <s v="https://www.amazon.in/PTron-Force-Bluetooth-Smartwatch-Waterproof/dp/B0B53QLB9H/ref=sr_1_209?qid=1672895806&amp;s=electronics&amp;sr=1-209"/>
  </r>
  <r>
    <s v="B0BDYW3RN3"/>
    <s v="SanDisk Ultra® microSDXC™ UHS-I Card, 256GB, 150MB/s R, 10 Y Warranty, for Smartphones"/>
    <s v="Electronics"/>
    <x v="1"/>
    <s v="Accessories"/>
    <s v="MicroSD"/>
    <n v="1989"/>
    <n v="3500"/>
    <n v="43"/>
    <n v="4.4000000000000004"/>
    <n v="67260"/>
    <n v="4.3832931689490069"/>
    <s v="High (1,000+)"/>
    <x v="4"/>
    <n v="64.599999999999994"/>
    <s v="Top 25%"/>
    <b v="0"/>
    <b v="0"/>
    <b v="0"/>
    <m/>
    <n v="5"/>
    <x v="1"/>
    <s v="https://www.amazon.in/SanDisk-Ultra%C2%AE-microSDXCTM-Warranty-Smartphones/dp/B0BDYW3RN3/ref=sr_1_210?qid=1672895806&amp;s=electronics&amp;sr=1-210"/>
  </r>
  <r>
    <s v="B0B3RS9DNF"/>
    <s v="Fire-Boltt Phoenix Smart Watch with Bluetooth Calling 1.3&quot;,120+ Sports Modes, 240*240 PX High Res with SpO2, Heart Rate Monitoring &amp; IP67 Rating"/>
    <s v="Electronics"/>
    <x v="1"/>
    <s v="WearableTechnology"/>
    <s v="SmartWatches"/>
    <n v="1999"/>
    <n v="9999"/>
    <n v="80"/>
    <n v="4.3"/>
    <n v="27704"/>
    <n v="4.2742484576193984"/>
    <s v="High (1,000+)"/>
    <x v="4"/>
    <n v="82.6"/>
    <s v="Top 25%"/>
    <b v="0"/>
    <b v="0"/>
    <b v="0"/>
    <n v="0.91"/>
    <n v="3"/>
    <x v="1"/>
    <s v="https://www.amazon.in/Fire-Boltt-Phoenix-Bluetooth-Calling-Monitoring/dp/B0B3RS9DNF/ref=sr_1_214?qid=1672895806&amp;s=electronics&amp;sr=1-214"/>
  </r>
  <r>
    <s v="B09QS9X16F"/>
    <s v="Redmi Note 11 (Space Black, 6GB RAM, 64GB Storage) | 90Hz FHD+ AMOLED Display | Qualcomm® Snapdragon™ 680-6nm | 33W Charger Included"/>
    <s v="Electronics"/>
    <x v="1"/>
    <s v="Mobiles&amp;Accessories"/>
    <s v="Smartphones"/>
    <n v="12999"/>
    <n v="18999"/>
    <n v="32"/>
    <n v="4.0999999999999996"/>
    <n v="50772"/>
    <n v="4.0989399204481716"/>
    <s v="High (1,000+)"/>
    <x v="1"/>
    <n v="37.6"/>
    <s v="Bottom 25%"/>
    <b v="0"/>
    <b v="0"/>
    <b v="0"/>
    <n v="0.96"/>
    <n v="4"/>
    <x v="1"/>
    <s v="https://www.amazon.in/Redmi-Storage-Qualcomm%C2%AE-SnapdragonTM-Included/dp/B09QS9X16F/ref=sr_1_218?qid=1672895814&amp;s=electronics&amp;sr=1-218"/>
  </r>
  <r>
    <s v="B08HV25BBQ"/>
    <s v="Noise ColorFit Pro 2 Full Touch Control Smart Watch with 35g Weight &amp; Upgraded LCD Display (Deep Wine)"/>
    <s v="Electronics"/>
    <x v="1"/>
    <s v="WearableTechnology"/>
    <s v="SmartWatches"/>
    <n v="1499"/>
    <n v="4999"/>
    <n v="70"/>
    <n v="4"/>
    <n v="92588"/>
    <n v="4.0033050071528518"/>
    <s v="High (1,000+)"/>
    <x v="4"/>
    <n v="44.9"/>
    <s v="Below median"/>
    <b v="0"/>
    <b v="0"/>
    <b v="0"/>
    <n v="0.68"/>
    <n v="2"/>
    <x v="0"/>
    <s v="https://www.amazon.in/Noise-Colorfit-Pro-Control-Cloudbased/dp/B08HV25BBQ/ref=sr_1_220?qid=1672895814&amp;s=electronics&amp;sr=1-220"/>
  </r>
  <r>
    <s v="B09LJ116B5"/>
    <s v="Redmi Note 11T 5G (Aquamarine Blue, 6GB RAM, 128GB ROM)| Dimensity 810 5G | 33W Pro Fast Charging | Charger Included | Additional Exchange Offers| Get 2 Months of YouTube Premium Free!"/>
    <s v="Electronics"/>
    <x v="1"/>
    <s v="Mobiles&amp;Accessories"/>
    <s v="Smartphones"/>
    <n v="16999"/>
    <n v="20999"/>
    <n v="19"/>
    <n v="4.0999999999999996"/>
    <n v="31822"/>
    <n v="4.0983753907370009"/>
    <s v="High (1,000+)"/>
    <x v="1"/>
    <n v="32.1"/>
    <s v="Bottom 25%"/>
    <b v="0"/>
    <b v="0"/>
    <b v="0"/>
    <n v="1.26"/>
    <n v="3"/>
    <x v="1"/>
    <s v="https://www.amazon.in/Redmi-Note-11T-5G-Aquamarine/dp/B09LJ116B5/ref=sr_1_221?qid=1672895814&amp;s=electronics&amp;sr=1-221"/>
  </r>
  <r>
    <s v="B0BMVWKZ8G"/>
    <s v="Newly Launched Boult Dive+ with 1.85&quot; HD Display, Bluetooth Calling Smartwatch, 500 Nits Brightness, 7 Days Battery Life, 150+ Watch Faces, 100+ Sport Modes, IP68 Waterproof Smart Watch (Jet Black)"/>
    <s v="Electronics"/>
    <x v="1"/>
    <s v="WearableTechnology"/>
    <s v="SmartWatches"/>
    <n v="1999"/>
    <n v="8499"/>
    <n v="76"/>
    <n v="4.3"/>
    <n v="240"/>
    <n v="4.0975488049171309"/>
    <s v="Medium (100-999)"/>
    <x v="4"/>
    <n v="63.9"/>
    <s v="Top 25%"/>
    <b v="0"/>
    <b v="0"/>
    <b v="0"/>
    <n v="0.91"/>
    <n v="1"/>
    <x v="0"/>
    <s v="https://www.amazon.in/Boult-Bluetooth-Smartwatch-Brightness-Waterproof/dp/B0BMVWKZ8G/ref=sr_1_230?qid=1672895814&amp;s=electronics&amp;sr=1-230"/>
  </r>
  <r>
    <s v="B0BD92GDQH"/>
    <s v="OnePlus Nord Watch with 1.78” AMOLED Display, 60 Hz Refresh Rate, 105 Fitness Modes, 10 Days Battery, SPO2, Heart Rate, Stress Monitor, Women Health Tracker &amp; Multiple Watch Face [Midnight Black]"/>
    <s v="Electronics"/>
    <x v="1"/>
    <s v="WearableTechnology"/>
    <s v="SmartWatches"/>
    <n v="4999"/>
    <n v="6999"/>
    <n v="29"/>
    <n v="3.8"/>
    <n v="758"/>
    <n v="4.0369072208120373"/>
    <s v="Medium (100-999)"/>
    <x v="3"/>
    <n v="22.9"/>
    <s v="Bottom 25%"/>
    <b v="0"/>
    <b v="1"/>
    <b v="1"/>
    <n v="2.27"/>
    <n v="1"/>
    <x v="0"/>
    <s v="https://www.amazon.in/OnePlus-Display-Refresh-Multiple-Midnight/dp/B0BD92GDQH/ref=sr_1_231?qid=1672895814&amp;s=electronics&amp;sr=1-231"/>
  </r>
  <r>
    <s v="B0B5GF6DQD"/>
    <s v="Noise Agile 2 Buzz Bluetooth Calling Smart Watch with 1.28&quot; TFT Display,Dual Button,in-Built Mic &amp; Speaker,AI Voice Assistant, Health Suite,in-Built Games, 100 Watch Faces-(Jet Black)"/>
    <s v="Electronics"/>
    <x v="1"/>
    <s v="WearableTechnology"/>
    <s v="SmartWatches"/>
    <n v="2499"/>
    <n v="5999"/>
    <n v="58"/>
    <n v="3.7"/>
    <n v="828"/>
    <n v="4.0152573993422971"/>
    <s v="Medium (100-999)"/>
    <x v="4"/>
    <n v="36"/>
    <s v="Bottom 25%"/>
    <b v="0"/>
    <b v="0"/>
    <b v="1"/>
    <n v="1.1399999999999999"/>
    <n v="1"/>
    <x v="0"/>
    <s v="https://www.amazon.in/Noise-Bluetooth-Calling-Display-Assistant/dp/B0B5GF6DQD/ref=sr_1_238?qid=1672895814&amp;s=electronics&amp;sr=1-238"/>
  </r>
  <r>
    <s v="B09JS94MBV"/>
    <s v="Motorola a10 Dual Sim keypad Mobile with 1750 mAh Battery, Expandable Storage Upto 32GB, Wireless FM with Recording - Dark Blue"/>
    <s v="Electronics"/>
    <x v="1"/>
    <s v="Mobiles&amp;Accessories"/>
    <s v="BasicMobiles"/>
    <n v="1399"/>
    <n v="1630"/>
    <n v="14"/>
    <n v="4"/>
    <n v="9378"/>
    <n v="4.0242334075324999"/>
    <s v="High (1,000+)"/>
    <x v="4"/>
    <n v="25.2"/>
    <s v="Bottom 25%"/>
    <b v="0"/>
    <b v="0"/>
    <b v="0"/>
    <m/>
    <n v="2"/>
    <x v="1"/>
    <s v="https://www.amazon.in/Motorola-keypad-Mobile-Expandable-Battery/dp/B09JS94MBV/ref=sr_1_239?qid=1672895814&amp;s=electronics&amp;sr=1-239"/>
  </r>
  <r>
    <s v="B09YV463SW"/>
    <s v="Fire-Boltt Ninja 3 Smartwatch Full Touch 1.69 &quot; &amp; 60 Sports Modes with IP68, Sp02 Tracking, Over 100 Cloud based watch faces ( Silver )"/>
    <s v="Electronics"/>
    <x v="1"/>
    <s v="WearableTechnology"/>
    <s v="SmartWatches"/>
    <n v="1499"/>
    <n v="9999"/>
    <n v="85"/>
    <n v="4.2"/>
    <n v="22638"/>
    <n v="4.1835586103172604"/>
    <s v="High (1,000+)"/>
    <x v="4"/>
    <n v="78.599999999999994"/>
    <s v="Top 25%"/>
    <b v="0"/>
    <b v="0"/>
    <b v="0"/>
    <n v="0.68"/>
    <n v="3"/>
    <x v="0"/>
    <s v="https://www.amazon.in/Fire-Boltt-Smartwatch-Sports-Tracking-Silver/dp/B09YV463SW/ref=sr_1_242?qid=1672895821&amp;s=electronics&amp;sr=1-242"/>
  </r>
  <r>
    <s v="B07XLCFSSN"/>
    <s v="Amazonbasics Nylon Braided Usb-C To Lightning Cable, Fast Charging Mfi Certified Smartphone, Iphone Charger (6-Foot, Dark Grey)"/>
    <s v="Computers&amp;Accessories"/>
    <x v="0"/>
    <s v="Accessories&amp;Peripherals"/>
    <s v="USBCables"/>
    <n v="899"/>
    <n v="1900"/>
    <n v="53"/>
    <n v="4.4000000000000004"/>
    <n v="13552"/>
    <n v="4.3314701026123084"/>
    <s v="High (1,000+)"/>
    <x v="2"/>
    <n v="68.599999999999994"/>
    <s v="Top 25%"/>
    <b v="0"/>
    <b v="0"/>
    <b v="0"/>
    <n v="3.01"/>
    <n v="3"/>
    <x v="1"/>
    <s v="https://www.amazon.in/AmazonBasics-Apple-Certified-Lightning-Charging/dp/B07XLCFSSN/ref=sr_1_245?qid=1672895821&amp;s=electronics&amp;sr=1-245"/>
  </r>
  <r>
    <s v="B09NL4DCXK"/>
    <s v="Flix (Beetel) Bolt 2.4 12W Dual USB Smart Charger, Made in India, Bis Certified, Fast Charging Power Adaptor with 1 Meter USB to Type C Cable for Cellular Phones (White)(Xwc-64D)"/>
    <s v="Electronics"/>
    <x v="1"/>
    <s v="Mobiles&amp;Accessories"/>
    <s v="WallChargers"/>
    <n v="249"/>
    <n v="599"/>
    <n v="58"/>
    <n v="3.9"/>
    <n v="2147"/>
    <n v="4.0175546309638399"/>
    <s v="High (1,000+)"/>
    <x v="0"/>
    <n v="48.1"/>
    <s v="Below median"/>
    <b v="0"/>
    <b v="0"/>
    <b v="0"/>
    <n v="0.5"/>
    <n v="2"/>
    <x v="0"/>
    <s v="https://www.amazon.in/Charger-Certified-Charging-Adaptor-Cellular/dp/B09NL4DCXK/ref=sr_1_246?qid=1672895821&amp;s=electronics&amp;sr=1-246"/>
  </r>
  <r>
    <s v="B0B8CHJLWJ"/>
    <s v="Kyosei Advanced Tempered Glass Compatible with Google Pixel 6a with Military-Grade Anti-Explosion Edge-to-Edge Coverage Screen Protector Guard"/>
    <s v="Electronics"/>
    <x v="1"/>
    <s v="Mobiles&amp;Accessories"/>
    <s v="ScreenProtectors"/>
    <n v="299"/>
    <n v="1199"/>
    <n v="75"/>
    <n v="4.5"/>
    <n v="596"/>
    <n v="4.1414337711783444"/>
    <s v="Medium (100-999)"/>
    <x v="0"/>
    <n v="78.400000000000006"/>
    <s v="Top 25%"/>
    <b v="0"/>
    <b v="0"/>
    <b v="0"/>
    <n v="0.77"/>
    <n v="1"/>
    <x v="0"/>
    <s v="https://www.amazon.in/Compatible-Pixel-6a-Military-Grade-Anti-Explosion/dp/B0B8CHJLWJ/ref=sr_1_247?qid=1672895821&amp;s=electronics&amp;sr=1-247"/>
  </r>
  <r>
    <s v="B0B8ZWNR5T"/>
    <s v="STRIFF 12 Pieces Highly Flexible Silicone Micro USB Protector, Mouse Cable Protector, Suit for All Cell Phones, Computers and Chargers (Black)"/>
    <s v="Electronics"/>
    <x v="1"/>
    <s v="Mobiles&amp;Accessories"/>
    <s v="D√©cor"/>
    <n v="79"/>
    <n v="499"/>
    <n v="84"/>
    <n v="4.2"/>
    <n v="1949"/>
    <n v="4.1240022921615713"/>
    <s v="High (1,000+)"/>
    <x v="0"/>
    <n v="80.2"/>
    <s v="Top 25%"/>
    <b v="0"/>
    <b v="0"/>
    <b v="0"/>
    <m/>
    <n v="2"/>
    <x v="0"/>
    <s v="https://www.amazon.in/STRIFF-Flexible-Silicone-Protector-Computers/dp/B0B8ZWNR5T/ref=sr_1_250?qid=1672895821&amp;s=electronics&amp;sr=1-250"/>
  </r>
  <r>
    <s v="B0BBFJLP21"/>
    <s v="Redmi 11 Prime 5G (Thunder Black, 4GB RAM, 64GB Storage) | Prime Design | MTK Dimensity 700 | 50 MP Dual Cam | 5000mAh | 7 Band 5G"/>
    <s v="Electronics"/>
    <x v="1"/>
    <s v="Mobiles&amp;Accessories"/>
    <s v="Smartphones"/>
    <n v="13999"/>
    <n v="15999"/>
    <n v="13"/>
    <n v="3.9"/>
    <n v="2180"/>
    <n v="4.0169018244309322"/>
    <s v="High (1,000+)"/>
    <x v="1"/>
    <n v="12.4"/>
    <s v="Bottom 25%"/>
    <b v="0"/>
    <b v="0"/>
    <b v="0"/>
    <n v="1.04"/>
    <n v="2"/>
    <x v="1"/>
    <s v="https://www.amazon.in/Redmi-Thunder-Storage-Dimensity-5000mAh/dp/B0BBFJLP21/ref=sr_1_255?qid=1672895821&amp;s=electronics&amp;sr=1-255"/>
  </r>
  <r>
    <s v="B01F262EUU"/>
    <s v="Samsung Original EHS64 Wired in Ear Earphones with Mic, Black"/>
    <s v="Electronics"/>
    <x v="1"/>
    <s v="Headphones,Earbuds&amp;Accessories"/>
    <s v="In-Ear"/>
    <n v="949"/>
    <n v="999"/>
    <n v="5"/>
    <n v="4.2"/>
    <n v="31539"/>
    <n v="4.1877041794734167"/>
    <s v="High (1,000+)"/>
    <x v="2"/>
    <n v="47.9"/>
    <s v="Below median"/>
    <b v="0"/>
    <b v="0"/>
    <b v="0"/>
    <n v="1"/>
    <n v="2"/>
    <x v="1"/>
    <s v="https://www.amazon.in/Samsung-Original-EHS64AVFBECINU-Hands-Free-Remote/dp/B01F262EUU/ref=sr_1_256?qid=1672895821&amp;s=electronics&amp;sr=1-256"/>
  </r>
  <r>
    <s v="B09VZBGL1N"/>
    <s v="STRIFF Multi Angle Tablet/Mobile Stand. Holder for iPhone, Android, Samsung, OnePlus, Xiaomi. Portable,Foldable Stand.Perfect for Bed,Office, Home,Gift and Desktop (Black)"/>
    <s v="Electronics"/>
    <x v="1"/>
    <s v="Mobiles&amp;Accessories"/>
    <s v="Stands"/>
    <n v="99"/>
    <n v="499"/>
    <n v="80"/>
    <n v="4.0999999999999996"/>
    <n v="2451"/>
    <n v="4.0906959188349257"/>
    <s v="High (1,000+)"/>
    <x v="0"/>
    <n v="70.8"/>
    <s v="Top 25%"/>
    <b v="0"/>
    <b v="0"/>
    <b v="0"/>
    <m/>
    <n v="2"/>
    <x v="0"/>
    <s v="https://www.amazon.in/STRIFF-Android-Portable-Foldable-Stand-Perfect/dp/B09VZBGL1N/ref=sr_1_257?qid=1672895821&amp;s=electronics&amp;sr=1-257"/>
  </r>
  <r>
    <s v="B0BNVBJW2S"/>
    <s v="boAt Newly Launched Wave Electra with 1.81&quot; HD Display, Smart Calling Ultra-Seamless BT Calling Chip, 20 Built-in Watch Faces, 100 + Sports Modes, Menu Personalization, in-Built Games(Cherry Blossom)"/>
    <s v="Electronics"/>
    <x v="1"/>
    <s v="WearableTechnology"/>
    <s v="SmartWatches"/>
    <n v="2499"/>
    <n v="7990"/>
    <n v="69"/>
    <n v="4.0999999999999996"/>
    <n v="154"/>
    <n v="4.0852391399670154"/>
    <s v="Medium (100-999)"/>
    <x v="4"/>
    <n v="51.8"/>
    <s v="Above median"/>
    <b v="0"/>
    <b v="0"/>
    <b v="0"/>
    <n v="1.1399999999999999"/>
    <n v="2"/>
    <x v="1"/>
    <s v="https://www.amazon.in/boAt-Launched-Electra-Ultra-Seamless-Personalization/dp/B0BNVBJW2S/ref=sr_1_259?qid=1672895821&amp;s=electronics&amp;sr=1-259"/>
  </r>
  <r>
    <s v="B0B2DJ5RVQ"/>
    <s v="WeCool B1 Mobile Holder for Bikes or Bike Mobile Holder for Maps and GPS Navigation, one Click Locking, Firm Gripping, Anti Shake and Stable Cradle Clamp with 360° Rotation Bicycle Phone Mount"/>
    <s v="Electronics"/>
    <x v="1"/>
    <s v="Mobiles&amp;Accessories"/>
    <s v="HandlebarMounts"/>
    <n v="689"/>
    <n v="1999"/>
    <n v="66"/>
    <n v="4.3"/>
    <n v="1193"/>
    <n v="4.1364825126991853"/>
    <s v="High (1,000+)"/>
    <x v="2"/>
    <n v="73.400000000000006"/>
    <s v="Top 25%"/>
    <b v="0"/>
    <b v="0"/>
    <b v="0"/>
    <m/>
    <n v="1"/>
    <x v="0"/>
    <s v="https://www.amazon.in/WeCool-Navigation-Locking-Gripping-Rotation/dp/B0B2DJ5RVQ/ref=sr_1_260?qid=1672895821&amp;s=electronics&amp;sr=1-260"/>
  </r>
  <r>
    <s v="B096TWZRJC"/>
    <s v="Sounce 360 Adjustable Mobile Phone Holder, Universal Phone Holder Clip Lazy Bracket Flexible Gooseneck Clamp Long Arms Mount for Mobile Tabletop Stand for Bedroom, Office, Bathroom, White"/>
    <s v="Electronics"/>
    <x v="1"/>
    <s v="Mobiles&amp;Accessories"/>
    <s v="Bedstand&amp;DeskMounts"/>
    <n v="499"/>
    <n v="1899"/>
    <n v="74"/>
    <n v="4.0999999999999996"/>
    <n v="1475"/>
    <n v="4.0889621177433533"/>
    <s v="High (1,000+)"/>
    <x v="0"/>
    <n v="65.7"/>
    <s v="Top 25%"/>
    <b v="0"/>
    <b v="0"/>
    <b v="0"/>
    <m/>
    <n v="1"/>
    <x v="0"/>
    <s v="https://www.amazon.in/Sounce-Adjustable-Universal-Flexible-Gooseneck/dp/B096TWZRJC/ref=sr_1_269?qid=1672895828&amp;s=electronics&amp;sr=1-269"/>
  </r>
  <r>
    <s v="B09GP6FBZT"/>
    <s v="OpenTech® Military-Grade Tempered Glass Screen Protector Compatible for iPhone 13/13 Pro / 14 with Edge to Edge Coverage and Easy Installation kit (6.1 Inches)"/>
    <s v="Electronics"/>
    <x v="1"/>
    <s v="Mobiles&amp;Accessories"/>
    <s v="ScreenProtectors"/>
    <n v="299"/>
    <n v="999"/>
    <n v="70"/>
    <n v="4.3"/>
    <n v="8891"/>
    <n v="4.2359615198704557"/>
    <s v="High (1,000+)"/>
    <x v="0"/>
    <n v="86.5"/>
    <s v="Top 25%"/>
    <b v="1"/>
    <b v="0"/>
    <b v="0"/>
    <n v="0.77"/>
    <n v="1"/>
    <x v="0"/>
    <s v="https://www.amazon.in/OpenTech%C2%AE-Military-Grade-Tempered-Protector-Installation/dp/B09GP6FBZT/ref=sr_1_274?qid=1672895828&amp;s=electronics&amp;sr=1-274"/>
  </r>
  <r>
    <s v="B0B3DV7S9B"/>
    <s v="EN LIGNE Adjustable Cell Phone Stand, Foldable Portable Phone Stand Phone Holder for Desk, Desktop Tablet Stand Compatible with Mobile Phone/iPad/Tablet (Black)"/>
    <s v="Electronics"/>
    <x v="1"/>
    <s v="Mobiles&amp;Accessories"/>
    <s v="Stands"/>
    <n v="209"/>
    <n v="499"/>
    <n v="58"/>
    <n v="3.6"/>
    <n v="104"/>
    <n v="4.0715994029951679"/>
    <s v="Medium (100-999)"/>
    <x v="0"/>
    <n v="55.5"/>
    <s v="Above median"/>
    <b v="0"/>
    <b v="0"/>
    <b v="1"/>
    <m/>
    <n v="1"/>
    <x v="0"/>
    <s v="https://www.amazon.in/EN-LIGNE-Adjustable-Tabletop-Compatible/dp/B0B3DV7S9B/ref=sr_1_293?qid=1672895835&amp;s=electronics&amp;sr=1-293"/>
  </r>
  <r>
    <s v="B09MKP344P"/>
    <s v="Tecno Spark 8T (Turquoise Cyan, 4GB RAM,64GB Storage) | 50MP AI Camera | 7GB Expandable RAM"/>
    <s v="Electronics"/>
    <x v="1"/>
    <s v="Mobiles&amp;Accessories"/>
    <s v="Smartphones"/>
    <n v="8499"/>
    <n v="12999"/>
    <n v="35"/>
    <n v="4.0999999999999996"/>
    <n v="6662"/>
    <n v="4.094454323150349"/>
    <s v="High (1,000+)"/>
    <x v="3"/>
    <n v="36.200000000000003"/>
    <s v="Bottom 25%"/>
    <b v="0"/>
    <b v="0"/>
    <b v="0"/>
    <n v="0.63"/>
    <n v="1"/>
    <x v="0"/>
    <s v="https://www.amazon.in/Tecno-Spark-8T-Expandable-64GB/dp/B09MKP344P/ref=sr_1_294?qid=1672895835&amp;s=electronics&amp;sr=1-294"/>
  </r>
  <r>
    <s v="B08JW1GVS7"/>
    <s v="URBN 20000 mAh Lithium_Polymer 22.5W Super Fast Charging Ultra Compact Power Bank with Quick Charge &amp; Power Delivery, Type C Input/Output, Made in India, Type C Cable Included (Camo)"/>
    <s v="Electronics"/>
    <x v="1"/>
    <s v="Mobiles&amp;Accessories"/>
    <s v="PowerBanks"/>
    <n v="2179"/>
    <n v="3999"/>
    <n v="46"/>
    <n v="4"/>
    <n v="8380"/>
    <n v="4.0262251671139229"/>
    <s v="High (1,000+)"/>
    <x v="4"/>
    <n v="32.799999999999997"/>
    <s v="Bottom 25%"/>
    <b v="0"/>
    <b v="0"/>
    <b v="0"/>
    <m/>
    <n v="1"/>
    <x v="0"/>
    <s v="https://www.amazon.in/URBN-20000-22-5W-Charging-Output/dp/B08JW1GVS7/ref=sr_1_295?qid=1672895835&amp;s=electronics&amp;sr=1-295"/>
  </r>
  <r>
    <s v="B09LHZSMRR"/>
    <s v="Redmi Note 11T 5G (Stardust White, 6GB RAM, 128GB ROM)| Dimensity 810 5G | 33W Pro Fast Charging | Charger Included | Additional Exchange Offers|Get 2 Months of YouTube Premium Free!"/>
    <s v="Electronics"/>
    <x v="1"/>
    <s v="Mobiles&amp;Accessories"/>
    <s v="Smartphones"/>
    <n v="16999"/>
    <n v="20999"/>
    <n v="19"/>
    <n v="4.0999999999999996"/>
    <n v="31822"/>
    <n v="4.0983753907370009"/>
    <s v="High (1,000+)"/>
    <x v="1"/>
    <n v="32.1"/>
    <s v="Bottom 25%"/>
    <b v="0"/>
    <b v="0"/>
    <b v="0"/>
    <n v="1.26"/>
    <n v="3"/>
    <x v="1"/>
    <s v="https://www.amazon.in/Redmi-Note-11T-5G-Dimensity/dp/B09LHZSMRR/ref=sr_1_297?qid=1672895835&amp;s=electronics&amp;sr=1-297"/>
  </r>
  <r>
    <s v="B0B5V47VK4"/>
    <s v="OnePlus 10T 5G (Moonstone Black, 8GB RAM, 128GB Storage)"/>
    <s v="Electronics"/>
    <x v="1"/>
    <s v="Mobiles&amp;Accessories"/>
    <s v="Smartphones"/>
    <n v="44999"/>
    <n v="49999"/>
    <n v="10"/>
    <n v="4.3"/>
    <n v="3075"/>
    <n v="4.181490177942349"/>
    <s v="High (1,000+)"/>
    <x v="1"/>
    <n v="38.6"/>
    <s v="Bottom 25%"/>
    <b v="0"/>
    <b v="0"/>
    <b v="0"/>
    <n v="3.33"/>
    <n v="1"/>
    <x v="0"/>
    <s v="https://www.amazon.in/OnePlus-Moonstone-Black-128GB-Storage/dp/B0B5V47VK4/ref=sr_1_300?qid=1672895835&amp;s=electronics&amp;sr=1-300"/>
  </r>
  <r>
    <s v="B08H21B6V7"/>
    <s v="Nokia 150 (2020) (Cyan)"/>
    <s v="Electronics"/>
    <x v="1"/>
    <s v="Mobiles&amp;Accessories"/>
    <s v="BasicMobiles"/>
    <n v="2599"/>
    <n v="2999"/>
    <n v="13"/>
    <n v="3.9"/>
    <n v="14266"/>
    <n v="3.938532828115529"/>
    <s v="High (1,000+)"/>
    <x v="3"/>
    <n v="14.3"/>
    <s v="Bottom 25%"/>
    <b v="0"/>
    <b v="0"/>
    <b v="0"/>
    <m/>
    <n v="1"/>
    <x v="0"/>
    <s v="https://www.amazon.in/Nokia-150-Cyan/dp/B08H21B6V7/ref=sr_1_301?qid=1672895835&amp;s=electronics&amp;sr=1-301"/>
  </r>
  <r>
    <s v="B09BNXQ6BR"/>
    <s v="Noise ColorFit Ultra SE Smart Watch with 1.75&quot;(4.3cm) HD Display, Aluminium Alloy Body, 60 Sports Modes, Spo2, Lightweight, Stock Market Info, Calls &amp; SMS Reply (Vintage Brown)"/>
    <s v="Electronics"/>
    <x v="1"/>
    <s v="WearableTechnology"/>
    <s v="SmartWatches"/>
    <n v="2799"/>
    <n v="6499"/>
    <n v="57"/>
    <n v="4.0999999999999996"/>
    <n v="38879"/>
    <n v="4.0986442571598278"/>
    <s v="High (1,000+)"/>
    <x v="3"/>
    <n v="54.2"/>
    <s v="Above median"/>
    <b v="0"/>
    <b v="0"/>
    <b v="0"/>
    <n v="1.27"/>
    <n v="2"/>
    <x v="0"/>
    <s v="https://www.amazon.in/Noise-ColorFit-Ultra-SE-Smartwatch/dp/B09BNXQ6BR/ref=sr_1_303?qid=1672895835&amp;s=electronics&amp;sr=1-303"/>
  </r>
  <r>
    <s v="B01FSYQ2A4"/>
    <s v="boAt Rockerz 400 Bluetooth On Ear Headphones With Mic With Upto 8 Hours Playback &amp; Soft Padded Ear Cushions(Grey/Green)"/>
    <s v="Electronics"/>
    <x v="1"/>
    <s v="Headphones,Earbuds&amp;Accessories"/>
    <s v="On-Ear"/>
    <n v="1399"/>
    <n v="2990"/>
    <n v="53"/>
    <n v="4.0999999999999996"/>
    <n v="97175"/>
    <n v="4.0994272603510167"/>
    <s v="High (1,000+)"/>
    <x v="4"/>
    <n v="51.7"/>
    <s v="Above median"/>
    <b v="0"/>
    <b v="0"/>
    <b v="0"/>
    <m/>
    <n v="1"/>
    <x v="0"/>
    <s v="https://www.amazon.in/Super-Rockerz-400-Bluetooth-Headphones/dp/B01FSYQ2A4/ref=sr_1_307?qid=1672895835&amp;s=electronics&amp;sr=1-307"/>
  </r>
  <r>
    <s v="B08L5FM4JC"/>
    <s v="SanDisk Ultra microSD UHS-I Card 64GB, 120MB/s R"/>
    <s v="Electronics"/>
    <x v="1"/>
    <s v="Accessories"/>
    <s v="MicroSD"/>
    <n v="649"/>
    <n v="2400"/>
    <n v="73"/>
    <n v="4.4000000000000004"/>
    <n v="67260"/>
    <n v="4.3832931689490069"/>
    <s v="High (1,000+)"/>
    <x v="2"/>
    <n v="84.5"/>
    <s v="Top 25%"/>
    <b v="0"/>
    <b v="0"/>
    <b v="0"/>
    <m/>
    <n v="5"/>
    <x v="1"/>
    <s v="https://www.amazon.in/SanDisk-Ultra-microSD-UHS-I-120MB/dp/B08L5FM4JC/ref=sr_1_312?qid=1672895835&amp;s=electronics&amp;sr=1-312"/>
  </r>
  <r>
    <s v="B0B54Y2SNX"/>
    <s v="iPhone Original 20W C Type Fast PD Charger Compatible with I-Phone13/13 mini/13pro/13 pro Max I-Phone 12/12 Pro/12mini/12 Pro Max, I-Phone11/11 Pro/11 Pro Max 2020 (Only Adapter)"/>
    <s v="Electronics"/>
    <x v="1"/>
    <s v="Mobiles&amp;Accessories"/>
    <s v="WallChargers"/>
    <n v="799"/>
    <n v="3990"/>
    <n v="80"/>
    <n v="3.8"/>
    <n v="119"/>
    <n v="4.0759085641326331"/>
    <s v="Medium (100-999)"/>
    <x v="2"/>
    <n v="61.8"/>
    <s v="Top 25%"/>
    <b v="0"/>
    <b v="0"/>
    <b v="1"/>
    <n v="1.6"/>
    <n v="1"/>
    <x v="0"/>
    <s v="https://www.amazon.in/Compatible-I-Phone13-I-Phone11-Only-Adapter/dp/B0B54Y2SNX/ref=sr_1_315?qid=1672895842&amp;s=electronics&amp;sr=1-315"/>
  </r>
  <r>
    <s v="B08BQ947H3"/>
    <s v="LIRAMARK Webcam Cover Slide, Ultra Thin Laptop Camera Cover Slide Blocker for Computer MacBook Pro iMac PC Tablet (Pack of 3)"/>
    <s v="Computers&amp;Accessories"/>
    <x v="0"/>
    <s v="Accessories&amp;Peripherals"/>
    <s v="CameraPrivacyCovers"/>
    <n v="149"/>
    <n v="149"/>
    <n v="0"/>
    <n v="4.3"/>
    <n v="10833"/>
    <n v="4.2444821411860376"/>
    <s v="High (1,000+)"/>
    <x v="0"/>
    <n v="58.8"/>
    <s v="Above median"/>
    <b v="0"/>
    <b v="0"/>
    <b v="0"/>
    <m/>
    <n v="1"/>
    <x v="0"/>
    <s v="https://www.amazon.in/LIRAMARK-Webcam-Blocker-Computer-MacBook/dp/B08BQ947H3/ref=sr_1_317?qid=1672895842&amp;s=electronics&amp;sr=1-317"/>
  </r>
  <r>
    <s v="B082T6V3DT"/>
    <s v="AmazonBasics New Release Nylon USB-A to Lightning Cable Cord, Fast Charging MFi Certified Charger for Apple iPhone, iPad (6-Ft, Rose Gold)"/>
    <s v="Computers&amp;Accessories"/>
    <x v="0"/>
    <s v="Accessories&amp;Peripherals"/>
    <s v="USBCables"/>
    <n v="799"/>
    <n v="2100"/>
    <n v="62"/>
    <n v="4.3"/>
    <n v="8188"/>
    <n v="4.2321943928438817"/>
    <s v="High (1,000+)"/>
    <x v="2"/>
    <n v="68.7"/>
    <s v="Top 25%"/>
    <b v="0"/>
    <b v="0"/>
    <b v="0"/>
    <n v="2.67"/>
    <n v="1"/>
    <x v="0"/>
    <s v="https://www.amazon.in/AmazonBasics-Nylon-Braided-Lightning-Cable/dp/B082T6V3DT/ref=sr_1_320?qid=1672895842&amp;s=electronics&amp;sr=1-320"/>
  </r>
  <r>
    <s v="B0B7DHSKS7"/>
    <s v="Nokia 8210 4G Volte keypad Phone with Dual SIM, Big Display, inbuilt MP3 Player &amp; Wireless FM Radio | Blue"/>
    <s v="Electronics"/>
    <x v="1"/>
    <s v="Mobiles&amp;Accessories"/>
    <s v="BasicMobiles"/>
    <n v="3799"/>
    <n v="5299"/>
    <n v="28"/>
    <n v="3.5"/>
    <n v="1641"/>
    <n v="3.9070859797688189"/>
    <s v="High (1,000+)"/>
    <x v="3"/>
    <n v="14.8"/>
    <s v="Bottom 25%"/>
    <b v="0"/>
    <b v="0"/>
    <b v="1"/>
    <m/>
    <n v="1"/>
    <x v="0"/>
    <s v="https://www.amazon.in/Nokia-8210-4G-Display-Wireless/dp/B0B7DHSKS7/ref=sr_1_326?qid=1672895842&amp;s=electronics&amp;sr=1-326"/>
  </r>
  <r>
    <s v="B09SJ1FTYV"/>
    <s v="Sounce Protective Case Cover Compatible Boat Xtend Overall Protective Case TPU HD Clear Ultra-Thin Cover with Unbreakable Screen Guard"/>
    <s v="Electronics"/>
    <x v="1"/>
    <s v="Mobiles&amp;Accessories"/>
    <s v="BasicCases"/>
    <n v="199"/>
    <n v="1899"/>
    <n v="90"/>
    <n v="4"/>
    <n v="4740"/>
    <n v="4.0374524071368203"/>
    <s v="High (1,000+)"/>
    <x v="0"/>
    <n v="61"/>
    <s v="Top 25%"/>
    <b v="0"/>
    <b v="0"/>
    <b v="0"/>
    <m/>
    <n v="1"/>
    <x v="0"/>
    <s v="https://www.amazon.in/Sounce-Protective-Case-Xtend-Unbreakable/dp/B09SJ1FTYV/ref=sr_1_329?qid=1672895842&amp;s=electronics&amp;sr=1-329"/>
  </r>
  <r>
    <s v="B09XJ5LD6L"/>
    <s v="Samsung Galaxy M53 5G (Deep Ocean Blue, 6GB, 128GB Storage) | 108MP | sAmoled+ 120Hz | 12GB RAM with RAM Plus | Travel Adapter to be Purchased Separately"/>
    <s v="Electronics"/>
    <x v="1"/>
    <s v="Mobiles&amp;Accessories"/>
    <s v="Smartphones"/>
    <n v="23999"/>
    <n v="32999"/>
    <n v="27"/>
    <n v="3.9"/>
    <n v="8866"/>
    <n v="3.955009628354976"/>
    <s v="High (1,000+)"/>
    <x v="1"/>
    <n v="12.1"/>
    <s v="Bottom 25%"/>
    <b v="0"/>
    <b v="0"/>
    <b v="0"/>
    <n v="1.78"/>
    <n v="1"/>
    <x v="0"/>
    <s v="https://www.amazon.in/Samsung-Storage-sAmoled-Purchased-Separately/dp/B09XJ5LD6L/ref=sr_1_333?qid=1672895842&amp;s=electronics&amp;sr=1-333"/>
  </r>
  <r>
    <s v="B07WHS7MZ1"/>
    <s v="iQOO 9 SE 5G (Sunset Sierra, 8GB RAM, 128GB Storage) | Qualcomm Snapdragon 888 | 66W Flash Charge"/>
    <s v="Electronics"/>
    <x v="1"/>
    <s v="Mobiles&amp;Accessories"/>
    <s v="Smartphones"/>
    <n v="29990"/>
    <n v="39990"/>
    <n v="25"/>
    <n v="4.3"/>
    <n v="8399"/>
    <n v="4.2333708088377922"/>
    <s v="High (1,000+)"/>
    <x v="1"/>
    <n v="47.6"/>
    <s v="Below median"/>
    <b v="0"/>
    <b v="0"/>
    <b v="0"/>
    <n v="2.2200000000000002"/>
    <n v="1"/>
    <x v="0"/>
    <s v="https://www.amazon.in/iQOO-Sunset-Storage-Qualcomm-Snapdragon/dp/B07WHS7MZ1/ref=sr_1_336?qid=1672895842&amp;s=electronics&amp;sr=1-336"/>
  </r>
  <r>
    <s v="B0BBVKRP7B"/>
    <s v="SHREENOVA ID116 Plus Bluetooth Fitness Smart Watch for Men Women and Kids Activity Tracker (Black)"/>
    <s v="Electronics"/>
    <x v="1"/>
    <s v="WearableTechnology"/>
    <s v="SmartWatches"/>
    <n v="281"/>
    <n v="1999"/>
    <n v="86"/>
    <n v="2.8"/>
    <n v="87"/>
    <n v="4.0556017902794688"/>
    <s v="Low (&lt;100)"/>
    <x v="0"/>
    <n v="62.5"/>
    <s v="Top 25%"/>
    <b v="0"/>
    <b v="0"/>
    <b v="1"/>
    <n v="0.13"/>
    <n v="1"/>
    <x v="0"/>
    <s v="https://www.amazon.in/SHREENOVA-Bluetooth-Fitness-Activity-Tracker/dp/B0BBVKRP7B/ref=sr_1_338?qid=1672895850&amp;s=electronics&amp;sr=1-338"/>
  </r>
  <r>
    <s v="B09NY7W8YD"/>
    <s v="POCO C31 (Shadow Gray, 64 GB) (4 GB RAM)"/>
    <s v="Electronics"/>
    <x v="1"/>
    <s v="Mobiles&amp;Accessories"/>
    <s v="Smartphones"/>
    <n v="7998"/>
    <n v="11999"/>
    <n v="33"/>
    <n v="3.8"/>
    <n v="125"/>
    <n v="4.0754827245481193"/>
    <s v="Medium (100-999)"/>
    <x v="3"/>
    <n v="28"/>
    <s v="Bottom 25%"/>
    <b v="0"/>
    <b v="0"/>
    <b v="1"/>
    <n v="0.59"/>
    <n v="1"/>
    <x v="0"/>
    <s v="https://www.amazon.in/POCO-C31-Shadow-Gray-RAM/dp/B09NY7W8YD/ref=sr_1_353?qid=1672895850&amp;s=electronics&amp;sr=1-353"/>
  </r>
  <r>
    <s v="B0BMM7R92G"/>
    <s v="Noise_Colorfit Smart Watch Charger 2 Pin USB Fast Charger Magnetic Charging Cable Adapter (Smart Watch Charger 2 pin)"/>
    <s v="Electronics"/>
    <x v="1"/>
    <s v="WearableTechnology"/>
    <s v="SmartWatches"/>
    <n v="249"/>
    <n v="999"/>
    <n v="75"/>
    <n v="4.5"/>
    <n v="38"/>
    <n v="4.0887880783267514"/>
    <s v="Low (&lt;100)"/>
    <x v="0"/>
    <n v="67.599999999999994"/>
    <s v="Top 25%"/>
    <b v="0"/>
    <b v="0"/>
    <b v="0"/>
    <n v="0.11"/>
    <n v="1"/>
    <x v="0"/>
    <s v="https://www.amazon.in/Noise_Colorfit-Charger-Magnetic-Charging-Adapter/dp/B0BMM7R92G/ref=sr_1_354?qid=1672895850&amp;s=electronics&amp;sr=1-354"/>
  </r>
  <r>
    <s v="B08M66K48D"/>
    <s v="POPIO Tempered Glass Screen Protector Compatible for iPhone 12 / iPhone 12 Pro with Case Friendly Edge to Edge Coverage and Easy Installation kit, Pack of 1"/>
    <s v="Electronics"/>
    <x v="1"/>
    <s v="Mobiles&amp;Accessories"/>
    <s v="ScreenProtectors"/>
    <n v="299"/>
    <n v="599"/>
    <n v="50"/>
    <n v="4.3"/>
    <n v="4674"/>
    <n v="4.2039517681124652"/>
    <s v="High (1,000+)"/>
    <x v="0"/>
    <n v="75.2"/>
    <s v="Top 25%"/>
    <b v="0"/>
    <b v="0"/>
    <b v="0"/>
    <n v="0.77"/>
    <n v="1"/>
    <x v="0"/>
    <s v="https://www.amazon.in/POPIO-Tempered-Protector-Compatible-Installation/dp/B08M66K48D/ref=sr_1_356?qid=1672895850&amp;s=electronics&amp;sr=1-356"/>
  </r>
  <r>
    <s v="B09RFB2SJQ"/>
    <s v="10WeRun Id-116 Bluetooth Smartwatch Wireless Fitness Band for Boys, Girls, Men, Women &amp; Kids | Sports Gym Watch for All Smart Phones I Heart Rate and spo2 Monitor"/>
    <s v="Electronics"/>
    <x v="1"/>
    <s v="WearableTechnology"/>
    <s v="SmartWatches"/>
    <n v="499"/>
    <n v="1899"/>
    <n v="74"/>
    <n v="4.0999999999999996"/>
    <n v="412"/>
    <n v="4.0861514173387992"/>
    <s v="Medium (100-999)"/>
    <x v="0"/>
    <n v="64.2"/>
    <s v="Top 25%"/>
    <b v="0"/>
    <b v="0"/>
    <b v="0"/>
    <n v="0.23"/>
    <n v="1"/>
    <x v="0"/>
    <s v="https://www.amazon.in/10WERUN-Bluetooth-Smartwatch-Wireless-Fitness/dp/B09RFB2SJQ/ref=sr_1_367?qid=1672895857&amp;s=electronics&amp;sr=1-367"/>
  </r>
  <r>
    <s v="B0B82YGCF6"/>
    <s v="Tokdis MX-1 Pro Bluetooth Calling Smartwatch - 1.69” LCD Display, Multiple Watch Faces, Sleep Monitor, Heart &amp; SpO2 Monitoring, Multiple Sports Modes, Water Resistant"/>
    <s v="Electronics"/>
    <x v="1"/>
    <s v="WearableTechnology"/>
    <s v="SmartWatches"/>
    <n v="899"/>
    <n v="3499"/>
    <n v="74"/>
    <n v="3"/>
    <n v="681"/>
    <n v="3.918406457000295"/>
    <s v="Medium (100-999)"/>
    <x v="2"/>
    <n v="45.7"/>
    <s v="Below median"/>
    <b v="0"/>
    <b v="0"/>
    <b v="1"/>
    <n v="0.41"/>
    <n v="1"/>
    <x v="0"/>
    <s v="https://www.amazon.in/Tokdis-MX-1-Bluetooth-Calling-Smartwatch/dp/B0B82YGCF6/ref=sr_1_370?qid=1672895857&amp;s=electronics&amp;sr=1-370"/>
  </r>
  <r>
    <s v="B08HF4W2CT"/>
    <s v="URBN 20000 mAh lithium_polymer Power Bank with 12 Watt Fast Charging, Camo"/>
    <s v="Electronics"/>
    <x v="1"/>
    <s v="Mobiles&amp;Accessories"/>
    <s v="PowerBanks"/>
    <n v="1599"/>
    <n v="3499"/>
    <n v="54"/>
    <n v="4"/>
    <n v="36384"/>
    <n v="4.0079319266108087"/>
    <s v="High (1,000+)"/>
    <x v="4"/>
    <n v="37.200000000000003"/>
    <s v="Bottom 25%"/>
    <b v="0"/>
    <b v="0"/>
    <b v="0"/>
    <m/>
    <n v="2"/>
    <x v="0"/>
    <s v="https://www.amazon.in/URBN-20000-Li-Polymer-Compact-Charge/dp/B08HF4W2CT/ref=sr_1_372?qid=1672895857&amp;s=electronics&amp;sr=1-372"/>
  </r>
  <r>
    <s v="B08BCKN299"/>
    <s v="Sounce Gold Plated 3.5 mm Headphone Splitter for Computer 2 Male to 1 Female 3.5mm Headphone Mic Audio Y Splitter Cable Smartphone Headset to PC Adapter – (Black,20cm)"/>
    <s v="Electronics"/>
    <x v="1"/>
    <s v="Headphones,Earbuds&amp;Accessories"/>
    <s v="Adapters"/>
    <n v="120"/>
    <n v="999"/>
    <n v="88"/>
    <n v="3.9"/>
    <n v="6491"/>
    <n v="3.9677514109017231"/>
    <s v="High (1,000+)"/>
    <x v="0"/>
    <n v="54.8"/>
    <s v="Above median"/>
    <b v="0"/>
    <b v="0"/>
    <b v="0"/>
    <m/>
    <n v="1"/>
    <x v="0"/>
    <s v="https://www.amazon.in/Sounce-Plated-Headphone-Earphone-Splitter/dp/B08BCKN299/ref=sr_1_375?qid=1672895857&amp;s=electronics&amp;sr=1-375"/>
  </r>
  <r>
    <s v="B0B2X35B1K"/>
    <s v="Noise ColorFit Ultra 2 Buzz 1.78&quot; AMOLED Bluetooth Calling Watch with 368*448px Always On Display, Premium Metallic Finish, 100+ Watch Faces, 100+ Sports Modes, Health Suite (Jet Black)"/>
    <s v="Electronics"/>
    <x v="1"/>
    <s v="WearableTechnology"/>
    <s v="SmartWatches"/>
    <n v="3999"/>
    <n v="6999"/>
    <n v="43"/>
    <n v="4.0999999999999996"/>
    <n v="10229"/>
    <n v="4.0958681407769584"/>
    <s v="High (1,000+)"/>
    <x v="3"/>
    <n v="42.8"/>
    <s v="Below median"/>
    <b v="0"/>
    <b v="0"/>
    <b v="0"/>
    <n v="1.82"/>
    <n v="1"/>
    <x v="0"/>
    <s v="https://www.amazon.in/Noise-ColorFit-Bluetooth-Calling-Metallic/dp/B0B2X35B1K/ref=sr_1_379?qid=1672895857&amp;s=electronics&amp;sr=1-379"/>
  </r>
  <r>
    <s v="B09QS9CWLV"/>
    <s v="Redmi Note 11 (Horizon Blue, 6GB RAM, 64GB Storage)|90Hz FHD+ AMOLED Display | Qualcomm® Snapdragon™ 680-6nm | 33W Charger Included"/>
    <s v="Electronics"/>
    <x v="1"/>
    <s v="Mobiles&amp;Accessories"/>
    <s v="Smartphones"/>
    <n v="12999"/>
    <n v="18999"/>
    <n v="32"/>
    <n v="4.0999999999999996"/>
    <n v="50772"/>
    <n v="4.0989399204481716"/>
    <s v="High (1,000+)"/>
    <x v="1"/>
    <n v="37.6"/>
    <s v="Bottom 25%"/>
    <b v="0"/>
    <b v="0"/>
    <b v="0"/>
    <n v="0.96"/>
    <n v="4"/>
    <x v="1"/>
    <s v="https://www.amazon.in/Redmi-Horizon-Qualcomm%C2%AE-SnapdragonTM-Included/dp/B09QS9CWLV/ref=sr_1_382?qid=1672895857&amp;s=electronics&amp;sr=1-382"/>
  </r>
  <r>
    <s v="B0B1NX6JTN"/>
    <s v="Spigen Ultra Hybrid Back Cover Case Compatible with iPhone 14 Pro max (TPU + Poly Carbonate | Crystal Clear)"/>
    <s v="Electronics"/>
    <x v="1"/>
    <s v="Mobiles&amp;Accessories"/>
    <s v="BasicCases"/>
    <n v="1599"/>
    <n v="2599"/>
    <n v="38"/>
    <n v="4.3"/>
    <n v="1801"/>
    <n v="4.1543523126953934"/>
    <s v="High (1,000+)"/>
    <x v="4"/>
    <n v="55.6"/>
    <s v="Above median"/>
    <b v="0"/>
    <b v="0"/>
    <b v="0"/>
    <m/>
    <n v="1"/>
    <x v="0"/>
    <s v="https://www.amazon.in/Spigen-Hybrid-Compatible-Carbonate-Crystal/dp/B0B1NX6JTN/ref=sr_1_389?qid=1672895864&amp;s=electronics&amp;sr=1-389"/>
  </r>
  <r>
    <s v="B078G6ZF5Z"/>
    <s v="Oraimo 18W USB &amp; Type-C Dual Output Super Fast Charger Wall Adapter PE2.0&amp;Quick Charge 3.0 &amp; Power Delivery 3.0 Compatible for iPhone 13/13 Mini/13 Pro Max/12/12 Pro Max, iPad Mini/Pro, Pixel, Galaxy, Airpods Pro"/>
    <s v="Electronics"/>
    <x v="1"/>
    <s v="Mobiles&amp;Accessories"/>
    <s v="WallChargers"/>
    <n v="699"/>
    <n v="1199"/>
    <n v="42"/>
    <n v="4"/>
    <n v="14404"/>
    <n v="4.0175289181559917"/>
    <s v="High (1,000+)"/>
    <x v="2"/>
    <n v="37.5"/>
    <s v="Bottom 25%"/>
    <b v="0"/>
    <b v="0"/>
    <b v="0"/>
    <n v="1.4"/>
    <n v="2"/>
    <x v="1"/>
    <s v="https://www.amazon.in/ORAIMO-SUPER-FAST-CHARGER/dp/B078G6ZF5Z/ref=sr_1_402?qid=1672895864&amp;s=electronics&amp;sr=1-402"/>
  </r>
  <r>
    <s v="B0BBW521YC"/>
    <s v="LAPSTER 12pcs Spiral Cable Protectors for Charger, Wires, Data Charger Cable Protector for Computers, Cell Phones etc.(Grey)"/>
    <s v="Electronics"/>
    <x v="1"/>
    <s v="Mobiles&amp;Accessories"/>
    <s v="PhoneCharms"/>
    <n v="99"/>
    <n v="999"/>
    <n v="90"/>
    <n v="4.4000000000000004"/>
    <n v="305"/>
    <n v="4.10828250563757"/>
    <s v="Medium (100-999)"/>
    <x v="0"/>
    <n v="79.400000000000006"/>
    <s v="Top 25%"/>
    <b v="0"/>
    <b v="0"/>
    <b v="0"/>
    <m/>
    <n v="1"/>
    <x v="0"/>
    <s v="https://www.amazon.in/LAPSTER-Protectors-Charger-Protector-Computers/dp/B0BBW521YC/ref=sr_1_403?qid=1672895864&amp;s=electronics&amp;sr=1-403"/>
  </r>
  <r>
    <s v="B09HSKYMB3"/>
    <s v="MI REDMI 9i Sport (Carbon Black, 64 GB) (4 GB RAM)"/>
    <s v="Electronics"/>
    <x v="1"/>
    <s v="Mobiles&amp;Accessories"/>
    <s v="Smartphones"/>
    <n v="7915"/>
    <n v="9999"/>
    <n v="21"/>
    <n v="4.3"/>
    <n v="1376"/>
    <n v="4.1423059436957894"/>
    <s v="High (1,000+)"/>
    <x v="3"/>
    <n v="39.799999999999997"/>
    <s v="Below median"/>
    <b v="0"/>
    <b v="0"/>
    <b v="0"/>
    <n v="0.59"/>
    <n v="1"/>
    <x v="0"/>
    <s v="https://www.amazon.in/REDMI-Sport-Carbon-Black-RAM/dp/B09HSKYMB3/ref=sr_1_405?qid=1672895864&amp;s=electronics&amp;sr=1-405"/>
  </r>
  <r>
    <s v="B09YV42QHZ"/>
    <s v="Fire-Boltt Ninja 3 Smartwatch Full Touch 1.69 &quot; &amp; 60 Sports Modes with IP68, Sp02 Tracking, Over 100 Cloud based watch faces ( Green )"/>
    <s v="Electronics"/>
    <x v="1"/>
    <s v="WearableTechnology"/>
    <s v="SmartWatches"/>
    <n v="1499"/>
    <n v="7999"/>
    <n v="81"/>
    <n v="4.2"/>
    <n v="22638"/>
    <n v="4.1835586103172604"/>
    <s v="High (1,000+)"/>
    <x v="4"/>
    <n v="78.099999999999994"/>
    <s v="Top 25%"/>
    <b v="0"/>
    <b v="0"/>
    <b v="0"/>
    <n v="0.68"/>
    <n v="3"/>
    <x v="1"/>
    <s v="https://www.amazon.in/Fire-Boltt-Ninja-Smartwatch-Sports-Tracking/dp/B09YV42QHZ/ref=sr_1_408?qid=1672895864&amp;s=electronics&amp;sr=1-408"/>
  </r>
  <r>
    <s v="B09BF8JBWX"/>
    <s v="Lava A1 Josh 21(Blue Silver) -Dual Sim,Call Blink Notification,Military Grade Certified with 4 Day Battery Backup, Keypad Mobile"/>
    <s v="Electronics"/>
    <x v="1"/>
    <s v="Mobiles&amp;Accessories"/>
    <s v="BasicMobiles"/>
    <n v="1055"/>
    <n v="1249"/>
    <n v="16"/>
    <n v="3.8"/>
    <n v="2352"/>
    <n v="3.9751474514156211"/>
    <s v="High (1,000+)"/>
    <x v="4"/>
    <n v="23.7"/>
    <s v="Bottom 25%"/>
    <b v="0"/>
    <b v="0"/>
    <b v="1"/>
    <m/>
    <n v="1"/>
    <x v="0"/>
    <s v="https://www.amazon.in/Lava-Notfication-recoding-Military-Certified/dp/B09BF8JBWX/ref=sr_1_411?qid=1672895872&amp;s=electronics&amp;sr=1-411"/>
  </r>
  <r>
    <s v="B0B5YBGCKD"/>
    <s v="POPIO Tempered Glass Compatible for iPhone 13 / iPhone 13 Pro/iPhone 14 (Transparent) Edge to Edge Full Screen Coverage with Installation Kit, Pack of 2"/>
    <s v="Electronics"/>
    <x v="1"/>
    <s v="Mobiles&amp;Accessories"/>
    <s v="ScreenProtectors"/>
    <n v="150"/>
    <n v="599"/>
    <n v="75"/>
    <n v="4.3"/>
    <n v="714"/>
    <n v="4.118985611902338"/>
    <s v="Medium (100-999)"/>
    <x v="0"/>
    <n v="77.3"/>
    <s v="Top 25%"/>
    <b v="0"/>
    <b v="0"/>
    <b v="0"/>
    <n v="0.39"/>
    <n v="1"/>
    <x v="0"/>
    <s v="https://www.amazon.in/POPIO-Compatible-iPhone-Transparent-Installation/dp/B0B5YBGCKD/ref=sr_1_417?qid=1672895872&amp;s=electronics&amp;sr=1-417"/>
  </r>
  <r>
    <s v="B09MY4W73Q"/>
    <s v="Amozo Ultra Hybrid Camera and Drop Protection Back Cover Case for iPhone 13 (Polycarbonate| Back Transparent - Sides Black)"/>
    <s v="Electronics"/>
    <x v="1"/>
    <s v="Mobiles&amp;Accessories"/>
    <s v="BasicCases"/>
    <n v="474"/>
    <n v="1799"/>
    <n v="74"/>
    <n v="4.3"/>
    <n v="1454"/>
    <n v="4.1446638726504004"/>
    <s v="High (1,000+)"/>
    <x v="0"/>
    <n v="77.5"/>
    <s v="Top 25%"/>
    <b v="0"/>
    <b v="0"/>
    <b v="0"/>
    <m/>
    <n v="1"/>
    <x v="0"/>
    <s v="https://www.amazon.in/Amozo-iPhone-13-Polycarbonate-Transparent/dp/B09MY4W73Q/ref=sr_1_419?qid=1672895872&amp;s=electronics&amp;sr=1-419"/>
  </r>
  <r>
    <s v="B09T37CKQ5"/>
    <s v="FLiX Usb Charger,Flix (Beetel) Bolt 2.4 Dual Poart,5V/2.4A/12W Usb Wall Charger Fast Charging,Adapter For Android/Iphone 11/Xs/Xs Max/Xr/X/8/7/6/Plus,Ipad Pro/Air 2/Mini 3/4,Samsung S4/S5 &amp; More-Black"/>
    <s v="Electronics"/>
    <x v="1"/>
    <s v="Mobiles&amp;Accessories"/>
    <s v="WallChargers"/>
    <n v="239"/>
    <n v="599"/>
    <n v="60"/>
    <n v="3.9"/>
    <n v="2147"/>
    <n v="4.0175546309638399"/>
    <s v="High (1,000+)"/>
    <x v="0"/>
    <n v="49.4"/>
    <s v="Below median"/>
    <b v="0"/>
    <b v="0"/>
    <b v="0"/>
    <n v="0.48"/>
    <n v="2"/>
    <x v="1"/>
    <s v="https://www.amazon.in/FLiX-Charger-Charging-Adapter-More-Black/dp/B09T37CKQ5/ref=sr_1_431?qid=1672895872&amp;s=electronics&amp;sr=1-431"/>
  </r>
  <r>
    <s v="B09GFPN6TP"/>
    <s v="Redmi 9A Sport (Coral Green, 3GB RAM, 32GB Storage) | 2GHz Octa-core Helio G25 Processor | 5000 mAh Battery"/>
    <s v="Electronics"/>
    <x v="1"/>
    <s v="Mobiles&amp;Accessories"/>
    <s v="Smartphones"/>
    <n v="7499"/>
    <n v="9499"/>
    <n v="21"/>
    <n v="4.0999999999999996"/>
    <n v="313832"/>
    <n v="4.0998179725772346"/>
    <s v="High (1,000+)"/>
    <x v="3"/>
    <n v="36"/>
    <s v="Bottom 25%"/>
    <b v="0"/>
    <b v="0"/>
    <b v="0"/>
    <n v="0.56000000000000005"/>
    <n v="4"/>
    <x v="1"/>
    <s v="https://www.amazon.in/Redmi-9A-Sport-Octa-core-Processor/dp/B09GFPN6TP/ref=sr_1_432?qid=1672895872&amp;s=electronics&amp;sr=1-432"/>
  </r>
  <r>
    <s v="B0B298D54H"/>
    <s v="Prolet Classic Bumper Case Cover for Samsung Galaxy Watch 4 44mm TPU Plated Full Screen Protector (Black)"/>
    <s v="Electronics"/>
    <x v="1"/>
    <s v="WearableTechnology"/>
    <s v="SmartWatches"/>
    <n v="265"/>
    <n v="999"/>
    <n v="73"/>
    <n v="3.7"/>
    <n v="465"/>
    <n v="4.0423274019351423"/>
    <s v="Medium (100-999)"/>
    <x v="0"/>
    <n v="57.6"/>
    <s v="Above median"/>
    <b v="0"/>
    <b v="0"/>
    <b v="1"/>
    <n v="0.12"/>
    <n v="1"/>
    <x v="0"/>
    <s v="https://www.amazon.in/Prolet-Classic-Bumper-Samsung-Protector/dp/B0B298D54H/ref=sr_1_433?qid=1672895879&amp;s=electronics&amp;sr=1-433"/>
  </r>
  <r>
    <s v="B08VB57558"/>
    <s v="Samsung Galaxy S20 FE 5G (Cloud Navy, 8GB RAM, 128GB Storage) with No Cost EMI &amp; Additional Exchange Offers"/>
    <s v="Electronics"/>
    <x v="1"/>
    <s v="Mobiles&amp;Accessories"/>
    <s v="Smartphones"/>
    <n v="37990"/>
    <n v="74999"/>
    <n v="49"/>
    <n v="4.2"/>
    <n v="27790"/>
    <n v="4.1862432165971262"/>
    <s v="High (1,000+)"/>
    <x v="1"/>
    <n v="53.1"/>
    <s v="Above median"/>
    <b v="0"/>
    <b v="0"/>
    <b v="0"/>
    <n v="2.81"/>
    <n v="1"/>
    <x v="0"/>
    <s v="https://www.amazon.in/Samsung-Galaxy-Cloud-128GB-Storage/dp/B08VB57558/ref=sr_1_434?qid=1672895879&amp;s=electronics&amp;sr=1-434"/>
  </r>
  <r>
    <s v="B09NY6TRXG"/>
    <s v="POCO C31 (Royal Blue, 64 GB) (4 GB RAM)"/>
    <s v="Electronics"/>
    <x v="1"/>
    <s v="Mobiles&amp;Accessories"/>
    <s v="Smartphones"/>
    <n v="8499"/>
    <n v="11999"/>
    <n v="29"/>
    <n v="3.9"/>
    <n v="276"/>
    <n v="4.0720166130198869"/>
    <s v="Medium (100-999)"/>
    <x v="3"/>
    <n v="26"/>
    <s v="Bottom 25%"/>
    <b v="0"/>
    <b v="0"/>
    <b v="0"/>
    <n v="0.63"/>
    <n v="1"/>
    <x v="0"/>
    <s v="https://www.amazon.in/POCO-C31-Royal-Blue-RAM/dp/B09NY6TRXG/ref=sr_1_455?qid=1672895879&amp;s=electronics&amp;sr=1-455"/>
  </r>
  <r>
    <s v="B09NVPJ3P4"/>
    <s v="Noise ColorFit Pulse Grand Smart Watch with 1.69&quot;(4.29cm) HD Display, 60 Sports Modes, 150 Watch Faces, Fast Charge, Spo2, Stress, Sleep, Heart Rate Monitoring &amp; IP68 Waterproof (Electric Blue)"/>
    <s v="Electronics"/>
    <x v="1"/>
    <s v="WearableTechnology"/>
    <s v="SmartWatches"/>
    <n v="1999"/>
    <n v="3999"/>
    <n v="50"/>
    <n v="4"/>
    <n v="30254"/>
    <n v="4.0093613126477097"/>
    <s v="High (1,000+)"/>
    <x v="4"/>
    <n v="33.4"/>
    <s v="Bottom 25%"/>
    <b v="0"/>
    <b v="0"/>
    <b v="0"/>
    <n v="0.91"/>
    <n v="3"/>
    <x v="1"/>
    <s v="https://www.amazon.in/Noise-ColorFit-Monitoring-Smartwatches-Electric/dp/B09NVPJ3P4/ref=sr_1_457?qid=1672895886&amp;s=electronics&amp;sr=1-457"/>
  </r>
  <r>
    <s v="B0B3NDPCS9"/>
    <s v="Fire-Boltt Visionary 1.78&quot; AMOLED Bluetooth Calling Smartwatch with 368*448 Pixel Resolution 100+ Sports Mode, TWS Connection, Voice Assistance, SPO2 &amp; Heart Rate Monitoring"/>
    <s v="Electronics"/>
    <x v="1"/>
    <s v="WearableTechnology"/>
    <s v="SmartWatches"/>
    <n v="3999"/>
    <n v="17999"/>
    <n v="78"/>
    <n v="4.3"/>
    <n v="17161"/>
    <n v="4.2612726882061231"/>
    <s v="High (1,000+)"/>
    <x v="3"/>
    <n v="76.400000000000006"/>
    <s v="Top 25%"/>
    <b v="0"/>
    <b v="0"/>
    <b v="0"/>
    <n v="1.82"/>
    <n v="2"/>
    <x v="1"/>
    <s v="https://www.amazon.in/Fire-Boltt-Smartwatch-Resolution-Connection-Assistance/dp/B0B3NDPCS9/ref=sr_1_459?qid=1672895886&amp;s=electronics&amp;sr=1-459"/>
  </r>
  <r>
    <s v="B09VGKFM7Y"/>
    <s v="Amazon Basics 2 Amp USB Wall Charger &amp; Micro USB Cable (White)"/>
    <s v="Electronics"/>
    <x v="1"/>
    <s v="Mobiles&amp;Accessories"/>
    <s v="WallChargers"/>
    <n v="219"/>
    <n v="499"/>
    <n v="56"/>
    <n v="4.4000000000000004"/>
    <n v="14"/>
    <n v="4.0858040756469789"/>
    <s v="Low (&lt;100)"/>
    <x v="0"/>
    <n v="57.9"/>
    <s v="Above median"/>
    <b v="0"/>
    <b v="0"/>
    <b v="0"/>
    <n v="0.44"/>
    <n v="1"/>
    <x v="0"/>
    <s v="https://www.amazon.in/Amazon-Basics-Charger-Micro-Cable/dp/B09VGKFM7Y/ref=sr_1_460?qid=1672895886&amp;s=electronics&amp;sr=1-460"/>
  </r>
  <r>
    <s v="B07QCWY5XV"/>
    <s v="Mobilife Bluetooth Extendable Selfie Stick with Tripod Stand and Wireless Remote,3-in-1 Multifunctional Selfie Stick Tripod for iPhone Samsung Mi Realme Oppo Vivo Google More,Black"/>
    <s v="Electronics"/>
    <x v="1"/>
    <s v="Mobiles&amp;Accessories"/>
    <s v="SelfieSticks"/>
    <n v="599"/>
    <n v="1399"/>
    <n v="57"/>
    <n v="4.0999999999999996"/>
    <n v="14560"/>
    <n v="4.0968448132995396"/>
    <s v="High (1,000+)"/>
    <x v="2"/>
    <n v="62.7"/>
    <s v="Top 25%"/>
    <b v="0"/>
    <b v="0"/>
    <b v="0"/>
    <m/>
    <n v="1"/>
    <x v="0"/>
    <s v="https://www.amazon.in/Hoteon-Mobilife-Bluetooth-Extendable-Wireless/dp/B07QCWY5XV/ref=sr_1_463?qid=1672895886&amp;s=electronics&amp;sr=1-463"/>
  </r>
  <r>
    <s v="B098QXR9X2"/>
    <s v="Ambrane 27000mAh Power Bank, 20W Fast Charging, Triple Output, Type C PD (Input &amp; Output), Quick Charge, Li-Polymer, Multi-Layer Protection for iPhone, Smartphones &amp; Other Devices (Stylo Pro, Black)"/>
    <s v="Electronics"/>
    <x v="1"/>
    <s v="Mobiles&amp;Accessories"/>
    <s v="PowerBanks"/>
    <n v="2499"/>
    <n v="2999"/>
    <n v="17"/>
    <n v="4.0999999999999996"/>
    <n v="3156"/>
    <n v="4.0916440112279844"/>
    <s v="High (1,000+)"/>
    <x v="4"/>
    <n v="34"/>
    <s v="Bottom 25%"/>
    <b v="0"/>
    <b v="0"/>
    <b v="0"/>
    <m/>
    <n v="1"/>
    <x v="0"/>
    <s v="https://www.amazon.in/Ambrane-Multi-Layer-Protection-Li-Polymer-Stylo/dp/B098QXR9X2/ref=sr_1_469?qid=1672895886&amp;s=electronics&amp;sr=1-469"/>
  </r>
  <r>
    <s v="B07H1S7XW8"/>
    <s v="STRIFF Wall Mount Phone Holder Wall Mount with Adhesive Strips, Charging Holder Compatible with iPhone, Smartphone and Mini Tablet (Pack of 1) (White)"/>
    <s v="Electronics"/>
    <x v="1"/>
    <s v="Mobiles&amp;Accessories"/>
    <s v="Shower&amp;WallMounts"/>
    <n v="89"/>
    <n v="499"/>
    <n v="82"/>
    <n v="4.0999999999999996"/>
    <n v="9340"/>
    <n v="4.0955877955871633"/>
    <s v="High (1,000+)"/>
    <x v="0"/>
    <n v="74.099999999999994"/>
    <s v="Top 25%"/>
    <b v="0"/>
    <b v="0"/>
    <b v="0"/>
    <m/>
    <n v="1"/>
    <x v="0"/>
    <s v="https://www.amazon.in/STRIFF-Mobile-Phone-Charging-Charger/dp/B07H1S7XW8/ref=sr_1_482?qid=1672895894&amp;s=electronics&amp;sr=1-482"/>
  </r>
  <r>
    <s v="B0BNXFDTZ2"/>
    <s v="Fire-Boltt Tank 1.85&quot; Bluetooth Calling Smart Watch, 123 Sports Mode, 8 UI Interactions, Built in Speaker &amp; Mic, 7 Days Battery &amp; Fire-Boltt Health Suite"/>
    <s v="Electronics"/>
    <x v="1"/>
    <s v="WearableTechnology"/>
    <s v="SmartWatches"/>
    <n v="2999"/>
    <n v="11999"/>
    <n v="75"/>
    <n v="4.4000000000000004"/>
    <n v="768"/>
    <n v="4.1380949324976974"/>
    <s v="Medium (100-999)"/>
    <x v="3"/>
    <n v="65.7"/>
    <s v="Top 25%"/>
    <b v="0"/>
    <b v="0"/>
    <b v="0"/>
    <n v="1.36"/>
    <n v="1"/>
    <x v="0"/>
    <s v="https://www.amazon.in/Fire-Boltt-Bluetooth-Calling-Interactions-Speaker/dp/B0BNXFDTZ2/ref=sr_1_486?qid=1672895894&amp;s=electronics&amp;sr=1-486"/>
  </r>
  <r>
    <s v="B088ZFJY82"/>
    <s v="Elv Aluminium Adjustable Mobile Phone Foldable Holder Tabletop Stand Dock Mount for All Smartphones, Tabs, Kindle, iPad (Moonlight Silver)"/>
    <s v="Electronics"/>
    <x v="1"/>
    <s v="Mobiles&amp;Accessories"/>
    <s v="Stands"/>
    <n v="314"/>
    <n v="1499"/>
    <n v="79"/>
    <n v="4.5"/>
    <n v="28978"/>
    <n v="4.4522667366619579"/>
    <s v="High (1,000+)"/>
    <x v="0"/>
    <n v="96.6"/>
    <s v="Top 25%"/>
    <b v="0"/>
    <b v="0"/>
    <b v="0"/>
    <m/>
    <n v="2"/>
    <x v="1"/>
    <s v="https://www.amazon.in/Aluminium-Adjustable-Mobile-Foldable-Smartphones/dp/B088ZFJY82/ref=sr_1_493?qid=1672895894&amp;s=electronics&amp;sr=1-493"/>
  </r>
  <r>
    <s v="B0B4F4QZ1H"/>
    <s v="Samsung Galaxy M13 5G (Stardust Brown, 6GB, 128GB Storage) | 5000mAh Battery | Upto 12GB RAM with RAM Plus"/>
    <s v="Electronics"/>
    <x v="1"/>
    <s v="Mobiles&amp;Accessories"/>
    <s v="Smartphones"/>
    <n v="13999"/>
    <n v="19499"/>
    <n v="28"/>
    <n v="4.0999999999999996"/>
    <n v="18998"/>
    <n v="4.0974600334650297"/>
    <s v="High (1,000+)"/>
    <x v="1"/>
    <n v="34.6"/>
    <s v="Bottom 25%"/>
    <b v="0"/>
    <b v="0"/>
    <b v="0"/>
    <n v="1.04"/>
    <n v="8"/>
    <x v="1"/>
    <s v="https://www.amazon.in/Samsung-Stardust-Storage-5000mAh-Battery/dp/B0B4F4QZ1H/ref=sr_1_496?qid=1672895894&amp;s=electronics&amp;sr=1-496"/>
  </r>
  <r>
    <s v="B09BCNQ9R2"/>
    <s v="DYAZO USB 3.0 Type C Female to USB A Male Connector/Converter/Adapter Compatible for Samsung Galaxy Note s 20 10 Plus Ultra,Google Pixel 4 5 3 2 &amp; Other Type-c Devices"/>
    <s v="Electronics"/>
    <x v="1"/>
    <s v="Mobiles&amp;Accessories"/>
    <s v="OTGAdapters"/>
    <n v="139"/>
    <n v="499"/>
    <n v="72"/>
    <n v="4.2"/>
    <n v="4971"/>
    <n v="4.1502993177627321"/>
    <s v="High (1,000+)"/>
    <x v="0"/>
    <n v="79.3"/>
    <s v="Top 25%"/>
    <b v="0"/>
    <b v="0"/>
    <b v="0"/>
    <m/>
    <n v="1"/>
    <x v="0"/>
    <s v="https://www.amazon.in/Connector-Converter-Adapter-Compatible-Samsung/dp/B09BCNQ9R2/ref=sr_1_497?qid=1672895894&amp;s=electronics&amp;sr=1-497"/>
  </r>
  <r>
    <s v="B0B9BD2YL4"/>
    <s v="KINGONE Wireless Charging Pencil (2nd Generation) for iPad with Magnetic and Tilt Sensitive, Palm Rejection, Compatible with Apple iPad Pro 11 inch 1/2/3/4, iPad Pro 12.9 Inch 3/4/5/6, iPad Air 4/5, mini6"/>
    <s v="Electronics"/>
    <x v="1"/>
    <s v="Mobiles&amp;Accessories"/>
    <s v="StylusPens"/>
    <n v="2599"/>
    <n v="6999"/>
    <n v="63"/>
    <n v="4.5"/>
    <n v="1526"/>
    <n v="4.2044888137809986"/>
    <s v="High (1,000+)"/>
    <x v="3"/>
    <n v="70.900000000000006"/>
    <s v="Top 25%"/>
    <b v="0"/>
    <b v="0"/>
    <b v="0"/>
    <m/>
    <n v="1"/>
    <x v="0"/>
    <s v="https://www.amazon.in/Wireless-Generation-Sensitive-Rejection-Compatible/dp/B0B9BD2YL4/ref=sr_1_500?qid=1672895894&amp;s=electronics&amp;sr=1-500"/>
  </r>
  <r>
    <s v="B071Z8M4KX"/>
    <s v="boAt BassHeads 100 in-Ear Wired Headphones with Mic (Black)"/>
    <s v="Electronics"/>
    <x v="1"/>
    <s v="Headphones,Earbuds&amp;Accessories"/>
    <s v="In-Ear"/>
    <n v="365"/>
    <n v="999"/>
    <n v="63"/>
    <n v="4.0999999999999996"/>
    <n v="363711"/>
    <n v="4.0998426800617747"/>
    <s v="High (1,000+)"/>
    <x v="0"/>
    <n v="67.7"/>
    <s v="Top 25%"/>
    <b v="0"/>
    <b v="0"/>
    <b v="0"/>
    <n v="0.38"/>
    <n v="3"/>
    <x v="1"/>
    <s v="https://www.amazon.in/boAt-BassHeads-100-Headphones-Black/dp/B071Z8M4KX/ref=sr_1_1?qid=1672902995&amp;s=computers&amp;sr=1-1"/>
  </r>
  <r>
    <s v="B09N3ZNHTY"/>
    <s v="boAt Airdopes 141 Bluetooth Truly Wireless in Ear Earbuds with mic, 42H Playtime, Beast Mode(Low Latency Upto 80ms) for Gaming, ENx Tech, ASAP Charge, IWP, IPX4 Water Resistance (Bold Black)"/>
    <s v="Electronics"/>
    <x v="1"/>
    <s v="Headphones,Earbuds&amp;Accessories"/>
    <s v="In-Ear"/>
    <n v="1499"/>
    <n v="4490"/>
    <n v="67"/>
    <n v="3.9"/>
    <n v="136954"/>
    <n v="3.9049367991079991"/>
    <s v="High (1,000+)"/>
    <x v="4"/>
    <n v="33.200000000000003"/>
    <s v="Bottom 25%"/>
    <b v="0"/>
    <b v="0"/>
    <b v="0"/>
    <n v="1.58"/>
    <n v="1"/>
    <x v="0"/>
    <s v="https://www.amazon.in/Airdopes-141-Playtime-Resistance-Bluetooth/dp/B09N3ZNHTY/ref=sr_1_2?qid=1672902995&amp;s=computers&amp;sr=1-2"/>
  </r>
  <r>
    <s v="B0B3RRWSF6"/>
    <s v="Fire-Boltt Phoenix Smart Watch with Bluetooth Calling 1.3&quot;,120+ Sports Modes, 240*240 PX High Res with SpO2, Heart Rate Monitoring &amp; IP67 Rating"/>
    <s v="Electronics"/>
    <x v="1"/>
    <s v="WearableTechnology"/>
    <s v="SmartWatches"/>
    <n v="1998"/>
    <n v="9999"/>
    <n v="80"/>
    <n v="4.3"/>
    <n v="27709"/>
    <n v="4.2742525488674126"/>
    <s v="High (1,000+)"/>
    <x v="4"/>
    <n v="82.7"/>
    <s v="Top 25%"/>
    <b v="0"/>
    <b v="0"/>
    <b v="0"/>
    <n v="0.91"/>
    <n v="3"/>
    <x v="0"/>
    <s v="https://www.amazon.in/Fire-Boltt-Phoenix-Bluetooth-Calling-Monitoring/dp/B0B3RRWSF6/ref=sr_1_3?qid=1672902995&amp;s=computers&amp;sr=1-3"/>
  </r>
  <r>
    <s v="B0B5B6PQCT"/>
    <s v="boAt Wave Call Smart Watch, Smart Talk with Advanced Dedicated Bluetooth Calling Chip, 1.69” HD Display with 550 NITS &amp; 70% Color Gamut, 150+ Watch Faces, Multi-Sport Modes,HR,SpO2, IP68(Active Black)"/>
    <s v="Electronics"/>
    <x v="1"/>
    <s v="WearableTechnology"/>
    <s v="SmartWatches"/>
    <n v="1799"/>
    <n v="7990"/>
    <n v="77"/>
    <n v="3.8"/>
    <n v="17833"/>
    <n v="3.849590844929768"/>
    <s v="High (1,000+)"/>
    <x v="4"/>
    <n v="40.4"/>
    <s v="Below median"/>
    <b v="0"/>
    <b v="0"/>
    <b v="1"/>
    <n v="0.82"/>
    <n v="4"/>
    <x v="1"/>
    <s v="https://www.amazon.in/boAt-Wave-Call-Dedicated-Multi-Sport/dp/B0B5B6PQCT/ref=sr_1_4?qid=1672902995&amp;s=computers&amp;sr=1-4"/>
  </r>
  <r>
    <s v="B005FYNT3G"/>
    <s v="SanDisk Cruzer Blade 32GB USB Flash Drive"/>
    <s v="Computers&amp;Accessories"/>
    <x v="0"/>
    <s v="ExternalDevices&amp;DataStorage"/>
    <s v="PenDrives"/>
    <n v="289"/>
    <n v="650"/>
    <n v="56"/>
    <n v="4.3"/>
    <n v="253105"/>
    <n v="4.2968454128750464"/>
    <s v="High (1,000+)"/>
    <x v="0"/>
    <n v="80.900000000000006"/>
    <s v="Top 25%"/>
    <b v="1"/>
    <b v="0"/>
    <b v="0"/>
    <n v="0.53"/>
    <n v="1"/>
    <x v="0"/>
    <s v="https://www.amazon.in/SanDisk-Cruzer-Blade-Flash-Drive/dp/B005FYNT3G/ref=sr_1_5?qid=1672902995&amp;s=computers&amp;sr=1-5"/>
  </r>
  <r>
    <s v="B01J0XWYKQ"/>
    <s v="Logitech B170 Wireless Mouse, 2.4 GHz with USB Nano Receiver, Optical Tracking, 12-Months Battery Life, Ambidextrous, PC/Mac/Laptop - Black"/>
    <s v="Computers&amp;Accessories"/>
    <x v="0"/>
    <s v="Accessories&amp;Peripherals"/>
    <s v="Mice"/>
    <n v="599"/>
    <n v="895"/>
    <n v="33"/>
    <n v="4.4000000000000004"/>
    <n v="61314"/>
    <n v="4.3817666760148564"/>
    <s v="High (1,000+)"/>
    <x v="2"/>
    <n v="62.5"/>
    <s v="Top 25%"/>
    <b v="0"/>
    <b v="0"/>
    <b v="0"/>
    <n v="1.04"/>
    <n v="1"/>
    <x v="0"/>
    <s v="https://www.amazon.in/Logitech-B170-Wireless-Mouse-Black/dp/B01J0XWYKQ/ref=sr_1_6?qid=1672902995&amp;s=computers&amp;sr=1-6"/>
  </r>
  <r>
    <s v="B09CTRPSJR"/>
    <s v="Storio Kids Toys LCD Writing Tablet 8.5Inch E-Note Pad Best Birthday Gift for Girls Boys, Multicolor (SC1667)"/>
    <s v="Computers&amp;Accessories"/>
    <x v="0"/>
    <s v="Accessories&amp;Peripherals"/>
    <s v="GraphicTablets"/>
    <n v="217"/>
    <n v="237"/>
    <n v="8"/>
    <n v="3.8"/>
    <n v="7354"/>
    <n v="3.8963377944209778"/>
    <s v="High (1,000+)"/>
    <x v="0"/>
    <n v="17.899999999999999"/>
    <s v="Bottom 25%"/>
    <b v="0"/>
    <b v="0"/>
    <b v="1"/>
    <n v="0.75"/>
    <n v="1"/>
    <x v="0"/>
    <s v="https://www.amazon.in/Storio-Writing-Tablet-8-5Inch-Birthday/dp/B09CTRPSJR/ref=sr_1_7?qid=1672902995&amp;s=computers&amp;sr=1-7"/>
  </r>
  <r>
    <s v="B08JQN8DGZ"/>
    <s v="boAt Airdopes 121v2 in-Ear True Wireless Earbuds with Upto 14 Hours Playback, 8MM Drivers, Battery Indicators, Lightweight Earbuds &amp; Multifunction Controls (Active Black, with Mic)"/>
    <s v="Electronics"/>
    <x v="1"/>
    <s v="Headphones,Earbuds&amp;Accessories"/>
    <s v="In-Ear"/>
    <n v="1299"/>
    <n v="2990"/>
    <n v="57"/>
    <n v="3.8"/>
    <n v="180998"/>
    <n v="3.8057963638964001"/>
    <s v="High (1,000+)"/>
    <x v="4"/>
    <n v="27.3"/>
    <s v="Bottom 25%"/>
    <b v="0"/>
    <b v="0"/>
    <b v="1"/>
    <n v="1.37"/>
    <n v="1"/>
    <x v="0"/>
    <s v="https://www.amazon.in/Airdopes-121v2-Bluetooth-Immersive-Assistant/dp/B08JQN8DGZ/ref=sr_1_8?qid=1672902995&amp;s=computers&amp;sr=1-8"/>
  </r>
  <r>
    <s v="B0B72BSW7K"/>
    <s v="SKE Bed Study Table Portable Wood Multifunction Laptop-Table Lapdesk for Children Bed Foldabe Table Work with Tablet Slot &amp; Cup Holder Brown Black"/>
    <s v="Computers&amp;Accessories"/>
    <x v="0"/>
    <s v="Accessories&amp;Peripherals"/>
    <s v="Lapdesks"/>
    <n v="263"/>
    <n v="699"/>
    <n v="62"/>
    <n v="3.5"/>
    <n v="690"/>
    <n v="3.9940346079013622"/>
    <s v="Medium (100-999)"/>
    <x v="0"/>
    <n v="41"/>
    <s v="Below median"/>
    <b v="0"/>
    <b v="0"/>
    <b v="1"/>
    <n v="0.46"/>
    <n v="1"/>
    <x v="0"/>
    <s v="https://www.amazon.in/SKE-Portable-Multifunction-Laptop-Table-Children/dp/B0B72BSW7K/ref=sr_1_9?qid=1672902995&amp;s=computers&amp;sr=1-9"/>
  </r>
  <r>
    <s v="B0BDRVFDKP"/>
    <s v="SanDisk Ultra® microSDXC™ UHS-I Card, 64GB, 140MB/s R, 10 Y Warranty, for Smartphones"/>
    <s v="Electronics"/>
    <x v="1"/>
    <s v="Accessories"/>
    <s v="MicroSD"/>
    <n v="569"/>
    <n v="1000"/>
    <n v="43"/>
    <n v="4.4000000000000004"/>
    <n v="67262"/>
    <n v="4.3832936394016269"/>
    <s v="High (1,000+)"/>
    <x v="2"/>
    <n v="71.900000000000006"/>
    <s v="Top 25%"/>
    <b v="0"/>
    <b v="0"/>
    <b v="0"/>
    <m/>
    <n v="5"/>
    <x v="0"/>
    <s v="https://www.amazon.in/SanDisk-Ultra%C2%AE-microSDXCTM-Warranty-Smartphones/dp/B0BDRVFDKP/ref=sr_1_10?qid=1672902995&amp;s=computers&amp;sr=1-10"/>
  </r>
  <r>
    <s v="B08TV2P1N8"/>
    <s v="boAt Rockerz 255 Pro+ in-Ear Bluetooth Neckband with Upto 40 Hours Playback, ASAP  Charge, IPX7, Dual Pairing, BT v5.0, with Mic (Active Black)"/>
    <s v="Electronics"/>
    <x v="1"/>
    <s v="Headphones,Earbuds&amp;Accessories"/>
    <s v="In-Ear"/>
    <n v="1399"/>
    <n v="3990"/>
    <n v="65"/>
    <n v="4.0999999999999996"/>
    <n v="141841"/>
    <n v="4.0996029566025598"/>
    <s v="High (1,000+)"/>
    <x v="4"/>
    <n v="58.3"/>
    <s v="Above median"/>
    <b v="0"/>
    <b v="0"/>
    <b v="0"/>
    <n v="1.47"/>
    <n v="1"/>
    <x v="0"/>
    <s v="https://www.amazon.in/boAt-Rockerz-255-Pro-Earphones/dp/B08TV2P1N8/ref=sr_1_12?qid=1672902995&amp;s=computers&amp;sr=1-12"/>
  </r>
  <r>
    <s v="B07XCM6T4N"/>
    <s v="STRIFF Adjustable Laptop Tabletop Stand Patented Riser Ventilated Portable Foldable Compatible with MacBook Notebook Tablet Tray Desk Table Book with Free Phone Stand (Black)"/>
    <s v="Computers&amp;Accessories"/>
    <x v="0"/>
    <s v="Accessories&amp;Peripherals"/>
    <s v="NotebookComputerStands"/>
    <n v="349"/>
    <n v="1499"/>
    <n v="77"/>
    <n v="4.3"/>
    <n v="24791"/>
    <n v="4.2716213105812182"/>
    <s v="High (1,000+)"/>
    <x v="0"/>
    <n v="81.400000000000006"/>
    <s v="Top 25%"/>
    <b v="0"/>
    <b v="0"/>
    <b v="0"/>
    <m/>
    <n v="1"/>
    <x v="0"/>
    <s v="https://www.amazon.in/STRIFF-Adjustable-Patented-Ventilated-Compatible/dp/B07XCM6T4N/ref=sr_1_13?qid=1672902995&amp;s=computers&amp;sr=1-13"/>
  </r>
  <r>
    <s v="B07T5DKR5D"/>
    <s v="ZEBRONICS Zeb-Bro in Ear Wired Earphones with Mic, 3.5mm Audio Jack, 10mm Drivers, Phone/Tablet Compatible(Black)"/>
    <s v="Electronics"/>
    <x v="1"/>
    <s v="Headphones,Earbuds&amp;Accessories"/>
    <s v="In-Ear"/>
    <n v="149"/>
    <n v="399"/>
    <n v="63"/>
    <n v="3.5"/>
    <n v="21764"/>
    <n v="3.5861727652314581"/>
    <s v="High (1,000+)"/>
    <x v="0"/>
    <n v="41.7"/>
    <s v="Below median"/>
    <b v="0"/>
    <b v="0"/>
    <b v="1"/>
    <n v="0.16"/>
    <n v="1"/>
    <x v="0"/>
    <s v="https://www.amazon.in/Zebronics-Zeb-Bro-Wired-Earphone/dp/B07T5DKR5D/ref=sr_1_14?qid=1672902995&amp;s=computers&amp;sr=1-14"/>
  </r>
  <r>
    <s v="B07PR1CL3S"/>
    <s v="boAt Rockerz 450 Bluetooth On Ear Headphones with Mic, Upto 15 Hours Playback, 40MM Drivers, Padded Ear Cushions, Integrated Controls and Dual Modes(Luscious Black)"/>
    <s v="Electronics"/>
    <x v="1"/>
    <s v="Headphones,Earbuds&amp;Accessories"/>
    <s v="On-Ear"/>
    <n v="1220"/>
    <n v="3990"/>
    <n v="69"/>
    <n v="4.0999999999999996"/>
    <n v="107151"/>
    <n v="4.0994787748261556"/>
    <s v="High (1,000+)"/>
    <x v="4"/>
    <n v="60.2"/>
    <s v="Above median"/>
    <b v="0"/>
    <b v="0"/>
    <b v="0"/>
    <m/>
    <n v="1"/>
    <x v="0"/>
    <s v="https://www.amazon.in/Rockerz-450-Wireless-Bluetooth-Headphone/dp/B07PR1CL3S/ref=sr_1_16?qid=1672902995&amp;s=computers&amp;sr=1-16"/>
  </r>
  <r>
    <s v="B09V12K8NT"/>
    <s v="boAt Wave Lite Smartwatch with 1.69&quot; HD Display, Sleek Metal Body, HR &amp; SpO2 Level Monitor, 140+ Watch Faces, Activity Tracker, Multiple Sports Modes, IP68 &amp; 7 Days Battery Life(Active Black)"/>
    <s v="Electronics"/>
    <x v="1"/>
    <s v="WearableTechnology"/>
    <s v="SmartWatches"/>
    <n v="1499"/>
    <n v="6990"/>
    <n v="79"/>
    <n v="3.9"/>
    <n v="21797"/>
    <n v="3.9271792911317052"/>
    <s v="High (1,000+)"/>
    <x v="4"/>
    <n v="44.2"/>
    <s v="Below median"/>
    <b v="0"/>
    <b v="0"/>
    <b v="0"/>
    <n v="0.68"/>
    <n v="3"/>
    <x v="0"/>
    <s v="https://www.amazon.in/boAt-Wave-Lite-Smartwatch-Activity/dp/B09V12K8NT/ref=sr_1_17?qid=1672902995&amp;s=computers&amp;sr=1-17"/>
  </r>
  <r>
    <s v="B07JQKQ91F"/>
    <s v="JBL C50HI, Wired in Ear Headphones with Mic, One Button Multi-Function Remote, Lightweight &amp; Comfortable fit (Black)"/>
    <s v="Electronics"/>
    <x v="1"/>
    <s v="Headphones,Earbuds&amp;Accessories"/>
    <s v="In-Ear"/>
    <n v="499"/>
    <n v="999"/>
    <n v="50"/>
    <n v="3.9"/>
    <n v="92995"/>
    <n v="3.907179692444315"/>
    <s v="High (1,000+)"/>
    <x v="0"/>
    <n v="32.799999999999997"/>
    <s v="Bottom 25%"/>
    <b v="0"/>
    <b v="0"/>
    <b v="0"/>
    <n v="0.53"/>
    <n v="1"/>
    <x v="0"/>
    <s v="https://www.amazon.in/JBL-C50HI-Ear-Headphones-Black/dp/B07JQKQ91F/ref=sr_1_18?qid=1672902995&amp;s=computers&amp;sr=1-18"/>
  </r>
  <r>
    <s v="B08W56G1K9"/>
    <s v="LAPSTER Spiral Charger Spiral Charger Cable Protectors for Wires Data Cable Saver Charging Cord Protective Cable Cover Set of 3 (12 Pieces)"/>
    <s v="Computers&amp;Accessories"/>
    <x v="0"/>
    <s v="Accessories&amp;Peripherals"/>
    <s v="CableConnectionProtectors"/>
    <n v="99"/>
    <n v="999"/>
    <n v="90"/>
    <n v="4.0999999999999996"/>
    <n v="8751"/>
    <n v="4.0953801168083119"/>
    <s v="High (1,000+)"/>
    <x v="0"/>
    <n v="72.3"/>
    <s v="Top 25%"/>
    <b v="0"/>
    <b v="0"/>
    <b v="0"/>
    <m/>
    <n v="1"/>
    <x v="0"/>
    <s v="https://www.amazon.in/LAPSTER-Charger-Protectors-Charging-Protective/dp/B08W56G1K9/ref=sr_1_19?qid=1672902995&amp;s=computers&amp;sr=1-19"/>
  </r>
  <r>
    <s v="B07WG8PDCW"/>
    <s v="pTron Bullet Pro 36W PD Quick Charger, 3 Port Fast Car Charger Adapter - Compatible with All Smartphones &amp; Tablets (Black)"/>
    <s v="Electronics"/>
    <x v="1"/>
    <s v="Mobiles&amp;Accessories"/>
    <s v="AutomobileChargers"/>
    <n v="349"/>
    <n v="1299"/>
    <n v="73"/>
    <n v="4"/>
    <n v="14283"/>
    <n v="4.0176464543338124"/>
    <s v="High (1,000+)"/>
    <x v="0"/>
    <n v="53.9"/>
    <s v="Above median"/>
    <b v="0"/>
    <b v="0"/>
    <b v="0"/>
    <m/>
    <n v="1"/>
    <x v="0"/>
    <s v="https://www.amazon.in/PTron-Bullet-Pro-Lightweight-Smartphones/dp/B07WG8PDCW/ref=sr_1_20?qid=1672902995&amp;s=computers&amp;sr=1-20"/>
  </r>
  <r>
    <s v="B01L8ZNWN2"/>
    <s v="HP v236w USB 2.0 64GB Pen Drive, Metal"/>
    <s v="Computers&amp;Accessories"/>
    <x v="0"/>
    <s v="ExternalDevices&amp;DataStorage"/>
    <s v="PenDrives"/>
    <n v="475"/>
    <n v="1500"/>
    <n v="68"/>
    <n v="4.2"/>
    <n v="64273"/>
    <n v="4.1936200820407112"/>
    <s v="High (1,000+)"/>
    <x v="0"/>
    <n v="77.099999999999994"/>
    <s v="Top 25%"/>
    <b v="0"/>
    <b v="0"/>
    <b v="0"/>
    <n v="0.87"/>
    <n v="1"/>
    <x v="0"/>
    <s v="https://www.amazon.in/HP-v236w-64GB-USB-Drive/dp/B01L8ZNWN2/ref=sr_1_21?qid=1672902995&amp;s=computers&amp;sr=1-21"/>
  </r>
  <r>
    <s v="B009VCGPSY"/>
    <s v="HP X1000 Wired USB Mouse with 3 Handy Buttons, Fast-Moving Scroll Wheel and Optical Sensor works on most Surfaces (H2C21AA, Black/Grey)"/>
    <s v="Computers&amp;Accessories"/>
    <x v="0"/>
    <s v="Accessories&amp;Peripherals"/>
    <s v="Mice"/>
    <n v="269"/>
    <n v="649"/>
    <n v="59"/>
    <n v="4.3"/>
    <n v="54315"/>
    <n v="4.2860477653425306"/>
    <s v="High (1,000+)"/>
    <x v="0"/>
    <n v="77.400000000000006"/>
    <s v="Top 25%"/>
    <b v="0"/>
    <b v="0"/>
    <b v="0"/>
    <n v="0.47"/>
    <n v="1"/>
    <x v="0"/>
    <s v="https://www.amazon.in/HP-X1000-Wired-Mouse-Black/dp/B009VCGPSY/ref=sr_1_22?qid=1672902995&amp;s=computers&amp;sr=1-22"/>
  </r>
  <r>
    <s v="B0B296NTFV"/>
    <s v="Portronics Toad 23 Wireless Optical Mouse with 2.4GHz, USB Nano Dongle, Optical Orientation, Click Wheel, Adjustable DPI(Black)"/>
    <s v="Computers&amp;Accessories"/>
    <x v="0"/>
    <s v="Accessories&amp;Peripherals"/>
    <s v="Mice"/>
    <n v="299"/>
    <n v="599"/>
    <n v="50"/>
    <n v="4.0999999999999996"/>
    <n v="1597"/>
    <n v="4.0892133765613981"/>
    <s v="High (1,000+)"/>
    <x v="0"/>
    <n v="48.7"/>
    <s v="Below median"/>
    <b v="0"/>
    <b v="0"/>
    <b v="0"/>
    <n v="0.52"/>
    <n v="1"/>
    <x v="0"/>
    <s v="https://www.amazon.in/Portronics-Wireless-Optical-Orientation-Adjustable/dp/B0B296NTFV/ref=sr_1_23?qid=1672902995&amp;s=computers&amp;sr=1-23"/>
  </r>
  <r>
    <s v="B09YV4RG4D"/>
    <s v="Fire-Boltt Ninja 3 Smartwatch Full Touch 1.69 &amp; 60 Sports Modes with IP68, Sp02 Tracking, Over 100 Cloud based watch faces - Black"/>
    <s v="Electronics"/>
    <x v="1"/>
    <s v="WearableTechnology"/>
    <s v="SmartWatches"/>
    <n v="1499"/>
    <n v="7999"/>
    <n v="81"/>
    <n v="4.2"/>
    <n v="22638"/>
    <n v="4.1835586103172604"/>
    <s v="High (1,000+)"/>
    <x v="4"/>
    <n v="78.099999999999994"/>
    <s v="Top 25%"/>
    <b v="0"/>
    <b v="0"/>
    <b v="0"/>
    <n v="0.68"/>
    <n v="3"/>
    <x v="1"/>
    <s v="https://www.amazon.in/Fire-Boltt-Ninja-Smartwatch-Sports-Tracking/dp/B09YV4RG4D/ref=sr_1_27?qid=1672902996&amp;s=computers&amp;sr=1-27"/>
  </r>
  <r>
    <s v="B07TCN5VR9"/>
    <s v="Boult Audio BassBuds X1 in-Ear Wired Earphones with 10mm Extra Bass Driver and HD Sound with mic(Black)"/>
    <s v="Electronics"/>
    <x v="1"/>
    <s v="Headphones,Earbuds&amp;Accessories"/>
    <s v="In-Ear"/>
    <n v="329"/>
    <n v="999"/>
    <n v="67"/>
    <n v="3.9"/>
    <n v="77027"/>
    <n v="3.9085987546857059"/>
    <s v="High (1,000+)"/>
    <x v="0"/>
    <n v="44.3"/>
    <s v="Below median"/>
    <b v="0"/>
    <b v="0"/>
    <b v="0"/>
    <n v="0.35"/>
    <n v="1"/>
    <x v="0"/>
    <s v="https://www.amazon.in/Boult-Audio-X1-Earphones-Cancellation/dp/B07TCN5VR9/ref=sr_1_28?qid=1672902996&amp;s=computers&amp;sr=1-28"/>
  </r>
  <r>
    <s v="B00ZYLMQH0"/>
    <s v="Dell KB216 Wired Multimedia USB Keyboard with Super Quite Plunger Keys with Spill-Resistant – Black"/>
    <s v="Computers&amp;Accessories"/>
    <x v="0"/>
    <s v="Accessories&amp;Peripherals"/>
    <s v="Keyboards"/>
    <n v="549"/>
    <n v="1799"/>
    <n v="69"/>
    <n v="4.3"/>
    <n v="28829"/>
    <n v="4.2751373545765254"/>
    <s v="High (1,000+)"/>
    <x v="2"/>
    <n v="75.900000000000006"/>
    <s v="Top 25%"/>
    <b v="0"/>
    <b v="0"/>
    <b v="0"/>
    <m/>
    <n v="1"/>
    <x v="0"/>
    <s v="https://www.amazon.in/Dell-KB216-Wired-Multimedia-Keyboard/dp/B00ZYLMQH0/ref=sr_1_29?qid=1672902996&amp;s=computers&amp;sr=1-29"/>
  </r>
  <r>
    <s v="B09YV4MW2T"/>
    <s v="Fire-Boltt India's No 1 Smartwatch Brand Talk 2 Bluetooth Calling Smartwatch with Dual Button, Hands On Voice Assistance, 60 Sports Modes, in Built Mic &amp; Speaker with IP68 Rating"/>
    <s v="Electronics"/>
    <x v="1"/>
    <s v="WearableTechnology"/>
    <s v="SmartWatches"/>
    <n v="2199"/>
    <n v="9999"/>
    <n v="78"/>
    <n v="4.2"/>
    <n v="29478"/>
    <n v="4.1869418056792416"/>
    <s v="High (1,000+)"/>
    <x v="4"/>
    <n v="74.400000000000006"/>
    <s v="Top 25%"/>
    <b v="0"/>
    <b v="0"/>
    <b v="0"/>
    <n v="1"/>
    <n v="2"/>
    <x v="0"/>
    <s v="https://www.amazon.in/Fire-Boltt-Smartwatch-Bluetooth-Calling-Assistance/dp/B09YV4MW2T/ref=sr_1_30?qid=1672902996&amp;s=computers&amp;sr=1-30"/>
  </r>
  <r>
    <s v="B01HJI0FS2"/>
    <s v="Dell MS116 1000Dpi USB Wired Optical Mouse, Led Tracking, Scrolling Wheel, Plug and Play."/>
    <s v="Computers&amp;Accessories"/>
    <x v="0"/>
    <s v="Accessories&amp;Peripherals"/>
    <s v="Mice"/>
    <n v="299"/>
    <n v="650"/>
    <n v="54"/>
    <n v="4.5"/>
    <n v="33176"/>
    <n v="4.4576915438277354"/>
    <s v="High (1,000+)"/>
    <x v="0"/>
    <n v="78.7"/>
    <s v="Top 25%"/>
    <b v="0"/>
    <b v="0"/>
    <b v="0"/>
    <n v="0.52"/>
    <n v="1"/>
    <x v="0"/>
    <s v="https://www.amazon.in/Dell-MS116-1000DPI-Wired-Optical/dp/B01HJI0FS2/ref=sr_1_31?qid=1672902996&amp;s=computers&amp;sr=1-31"/>
  </r>
  <r>
    <s v="B076B8G5D8"/>
    <s v="Boya ByM1 Auxiliary Omnidirectional Lavalier Condenser Microphone with 20ft Audio Cable (Black)"/>
    <s v="MusicalInstruments"/>
    <x v="2"/>
    <s v="Microphones"/>
    <s v="Condenser"/>
    <n v="798"/>
    <n v="1995"/>
    <n v="60"/>
    <n v="4"/>
    <n v="68664"/>
    <n v="4.0043967206986508"/>
    <s v="High (1,000+)"/>
    <x v="2"/>
    <n v="36.1"/>
    <s v="Bottom 25%"/>
    <b v="0"/>
    <b v="0"/>
    <b v="0"/>
    <m/>
    <n v="1"/>
    <x v="0"/>
    <s v="https://www.amazon.in/Boya-Omnidirectional-Lavalier-Condenser-Microphone/dp/B076B8G5D8/ref=sr_1_32?qid=1672902996&amp;s=computers&amp;sr=1-32"/>
  </r>
  <r>
    <s v="B014SZO90Y"/>
    <s v="Duracell Ultra Alkaline AA Battery, 8 Pcs"/>
    <s v="Electronics"/>
    <x v="1"/>
    <s v="GeneralPurposeBatteries&amp;BatteryChargers"/>
    <s v="DisposableBatteries"/>
    <n v="266"/>
    <n v="315"/>
    <n v="16"/>
    <n v="4.5"/>
    <n v="28030"/>
    <n v="4.4508434093475131"/>
    <s v="High (1,000+)"/>
    <x v="0"/>
    <n v="61.4"/>
    <s v="Top 25%"/>
    <b v="0"/>
    <b v="0"/>
    <b v="0"/>
    <m/>
    <n v="1"/>
    <x v="0"/>
    <s v="https://www.amazon.in/Duracell-Alkaline-Battery-Duralock-Technology/dp/B014SZO90Y/ref=sr_1_34?qid=1672902996&amp;s=computers&amp;sr=1-34"/>
  </r>
  <r>
    <s v="B07KCMR8D6"/>
    <s v="Classmate Octane Neon- Blue Gel Pens(Pack of 5)|Smooth Writing Pen|Attractive body colour for Boys &amp; Girls|Waterproof ink for smudge free writing|Preferred by Students for Exam|Study at home essential"/>
    <s v="OfficeProducts"/>
    <x v="2"/>
    <s v="OfficePaperProducts"/>
    <s v="GelInkRollerballPens"/>
    <n v="50"/>
    <n v="50"/>
    <n v="0"/>
    <n v="4.3"/>
    <n v="5792"/>
    <n v="4.2151906527480048"/>
    <s v="High (1,000+)"/>
    <x v="0"/>
    <n v="58.4"/>
    <s v="Above median"/>
    <b v="0"/>
    <b v="0"/>
    <b v="0"/>
    <m/>
    <n v="1"/>
    <x v="0"/>
    <s v="https://www.amazon.in/Classmate-Octane-Neon-Pack-5/dp/B07KCMR8D6/ref=sr_1_35?qid=1672902996&amp;s=computers&amp;sr=1-35"/>
  </r>
  <r>
    <s v="B00N1U9AJS"/>
    <s v="3M Scotch Double Sided Heavy Duty Tape(1m holds 4.5Kgs) for indoor hanging applications (Photo frames, Mirrors, Key Holders, Car Interiors, Extension Boards, Wall decoration, etc)(L: 3m, W: 24mm)"/>
    <s v="Home&amp;Kitchen"/>
    <x v="3"/>
    <s v="CraftMaterials"/>
    <s v="Tape"/>
    <n v="130"/>
    <n v="165"/>
    <n v="21"/>
    <n v="3.9"/>
    <n v="14778"/>
    <n v="3.9374687355616529"/>
    <s v="High (1,000+)"/>
    <x v="0"/>
    <n v="21.6"/>
    <s v="Bottom 25%"/>
    <b v="0"/>
    <b v="0"/>
    <b v="0"/>
    <m/>
    <n v="1"/>
    <x v="0"/>
    <s v="https://www.amazon.in/Scotch-Double-Foam-Tape-24/dp/B00N1U9AJS/ref=sr_1_36?qid=1672902996&amp;s=computers&amp;sr=1-36"/>
  </r>
  <r>
    <s v="B07KY3FNQP"/>
    <s v="boAt Bassheads 152 in Ear Wired Earphones with Mic(Active Black)"/>
    <s v="Electronics"/>
    <x v="1"/>
    <s v="Headphones,Earbuds&amp;Accessories"/>
    <s v="In-Ear"/>
    <n v="449"/>
    <n v="1290"/>
    <n v="65"/>
    <n v="4.0999999999999996"/>
    <n v="91770"/>
    <n v="4.0993948561136868"/>
    <s v="High (1,000+)"/>
    <x v="0"/>
    <n v="66.7"/>
    <s v="Top 25%"/>
    <b v="0"/>
    <b v="0"/>
    <b v="0"/>
    <n v="0.47"/>
    <n v="1"/>
    <x v="0"/>
    <s v="https://www.amazon.in/BassHeads-152-ToneSecure-Braided-Earphones/dp/B07KY3FNQP/ref=sr_1_37?qid=1672902996&amp;s=computers&amp;sr=1-37"/>
  </r>
  <r>
    <s v="B0B3N7LR6K"/>
    <s v="Fire-Boltt Visionary 1.78&quot; AMOLED Bluetooth Calling Smartwatch with 368*448 Pixel Resolution 100+ Sports Mode, TWS Connection, Voice Assistance, SPO2 &amp; Heart Rate Monitoring"/>
    <s v="Electronics"/>
    <x v="1"/>
    <s v="WearableTechnology"/>
    <s v="SmartWatches"/>
    <n v="3999"/>
    <n v="16999"/>
    <n v="76"/>
    <n v="4.3"/>
    <n v="17162"/>
    <n v="4.2612745390179363"/>
    <s v="High (1,000+)"/>
    <x v="3"/>
    <n v="75.8"/>
    <s v="Top 25%"/>
    <b v="0"/>
    <b v="0"/>
    <b v="0"/>
    <n v="1.82"/>
    <n v="2"/>
    <x v="0"/>
    <s v="https://www.amazon.in/Fire-Boltt-Smartwatch-Resolution-Connection-Assistance/dp/B0B3N7LR6K/ref=sr_1_38?qid=1672902996&amp;s=computers&amp;sr=1-38"/>
  </r>
  <r>
    <s v="B07QZ3CZ48"/>
    <s v="boAt BassHeads 122 Wired Earphones with Heavy Bass, Integrated Controls and Mic (Gun Metal)"/>
    <s v="Electronics"/>
    <x v="1"/>
    <s v="Headphones,Earbuds&amp;Accessories"/>
    <s v="In-Ear"/>
    <n v="399"/>
    <n v="1290"/>
    <n v="69"/>
    <n v="4.2"/>
    <n v="206"/>
    <n v="4.0906234324507533"/>
    <s v="Medium (100-999)"/>
    <x v="0"/>
    <n v="63.1"/>
    <s v="Top 25%"/>
    <b v="0"/>
    <b v="0"/>
    <b v="0"/>
    <n v="0.42"/>
    <n v="1"/>
    <x v="0"/>
    <s v="https://www.amazon.in/BassHeads-122-Earphones-Tangle-Straight/dp/B07QZ3CZ48/ref=sr_1_39?qid=1672902996&amp;s=computers&amp;sr=1-39"/>
  </r>
  <r>
    <s v="B09T3H12GV"/>
    <s v="Dell USB Wireless Keyboard and Mouse Set- KM3322W, Anti-Fade &amp; Spill-Resistant Keys, up to 36 Month Battery Life, 3Y Advance Exchange Warranty, Black"/>
    <s v="Computers&amp;Accessories"/>
    <x v="0"/>
    <s v="Accessories&amp;Peripherals"/>
    <s v="Keyboard&amp;MouseSets"/>
    <n v="1399"/>
    <n v="2498"/>
    <n v="44"/>
    <n v="4.2"/>
    <n v="33717"/>
    <n v="4.188418711340355"/>
    <s v="High (1,000+)"/>
    <x v="4"/>
    <n v="54.2"/>
    <s v="Above median"/>
    <b v="0"/>
    <b v="0"/>
    <b v="0"/>
    <n v="1.06"/>
    <n v="1"/>
    <x v="0"/>
    <s v="https://www.amazon.in/Dell-Wireless-Keyboard-Mouse-Spill-Resistant/dp/B09T3H12GV/ref=sr_1_40?qid=1672902996&amp;s=computers&amp;sr=1-40"/>
  </r>
  <r>
    <s v="B098NS6PVG"/>
    <s v="Ambrane Unbreakable 60W / 3A Fast Charging 1.5m Braided Type C Cable for Smartphones, Tablets, Laptops &amp; other Type C devices, PD Technology, 480Mbps Data Sync, Quick Charge 3.0 (RCT15A, Black)"/>
    <s v="Computers&amp;Accessories"/>
    <x v="0"/>
    <s v="Accessories&amp;Peripherals"/>
    <s v="USBCables"/>
    <n v="199"/>
    <n v="349"/>
    <n v="43"/>
    <n v="4"/>
    <n v="43994"/>
    <n v="4.0066679738188693"/>
    <s v="High (1,000+)"/>
    <x v="0"/>
    <n v="34"/>
    <s v="Bottom 25%"/>
    <b v="0"/>
    <b v="0"/>
    <b v="0"/>
    <n v="0.67"/>
    <n v="3"/>
    <x v="1"/>
    <s v="https://www.amazon.in/Ambrane-Unbreakable-Charging-Braided-Cable/dp/B098NS6PVG/ref=sr_1_41?qid=1672902996&amp;s=computers&amp;sr=1-41"/>
  </r>
  <r>
    <s v="B09ZQK9X8G"/>
    <s v="Noise ColorFit Pro 4 Advanced Bluetooth Calling Smart Watch with 1.72&quot; TruView Display, Fully-Functional Digital Crown, 311 PPI, 60Hz Refresh Rate, 500 NITS Brightness (Charcoal Black)"/>
    <s v="Electronics"/>
    <x v="1"/>
    <s v="WearableTechnology"/>
    <s v="SmartWatches"/>
    <n v="2998"/>
    <n v="5999"/>
    <n v="50"/>
    <n v="4.0999999999999996"/>
    <n v="5179"/>
    <n v="4.0935345402539633"/>
    <s v="High (1,000+)"/>
    <x v="3"/>
    <n v="46.5"/>
    <s v="Below median"/>
    <b v="0"/>
    <b v="0"/>
    <b v="0"/>
    <n v="1.36"/>
    <n v="1"/>
    <x v="0"/>
    <s v="https://www.amazon.in/Noise-ColorFit-Bluetooth-Fully-Functional-Brightness/dp/B09ZQK9X8G/ref=sr_1_43?qid=1672902996&amp;s=computers&amp;sr=1-43"/>
  </r>
  <r>
    <s v="B08ZJDWTJ1"/>
    <s v="Seagate Expansion 1TB External HDD - USB 3.0 for Windows and Mac with 3 yr Data Recovery Services, Portable Hard Drive (STKM1000400)"/>
    <s v="Computers&amp;Accessories"/>
    <x v="0"/>
    <s v="ExternalDevices&amp;DataStorage"/>
    <s v="ExternalHardDisks"/>
    <n v="4098"/>
    <n v="4999"/>
    <n v="18"/>
    <n v="4.5"/>
    <n v="50810"/>
    <n v="4.471362666025577"/>
    <s v="High (1,000+)"/>
    <x v="3"/>
    <n v="55"/>
    <s v="Above median"/>
    <b v="0"/>
    <b v="0"/>
    <b v="0"/>
    <m/>
    <n v="1"/>
    <x v="0"/>
    <s v="https://www.amazon.in/Seagate-Expansion-1TB-External-HDD/dp/B08ZJDWTJ1/ref=sr_1_44?qid=1672902996&amp;s=computers&amp;sr=1-44"/>
  </r>
  <r>
    <s v="B08FTFXNNB"/>
    <s v="HP w100 480P 30 FPS Digital Webcam with Built-in Mic, Plug and Play Setup, Wide-Angle View for Video Calling on Skype, Zoom, Microsoft Teams and Other Apps (Black)"/>
    <s v="Electronics"/>
    <x v="1"/>
    <s v="Cameras&amp;Photography"/>
    <s v="VideoCameras"/>
    <n v="499"/>
    <n v="1999"/>
    <n v="75"/>
    <n v="3.7"/>
    <n v="3369"/>
    <n v="3.902929130152256"/>
    <s v="High (1,000+)"/>
    <x v="0"/>
    <n v="42.8"/>
    <s v="Below median"/>
    <b v="0"/>
    <b v="0"/>
    <b v="1"/>
    <m/>
    <n v="1"/>
    <x v="0"/>
    <s v="https://www.amazon.in/HP-Webcam-Wide-Angle-Calling-Microsoft/dp/B08FTFXNNB/ref=sr_1_45?qid=1672902996&amp;s=computers&amp;sr=1-45"/>
  </r>
  <r>
    <s v="B08YDFX7Y1"/>
    <s v="ZEBRONICS Zeb-Dash Plus 2.4GHz High Precision Wireless Mouse with up to 1600 DPI, Power Saving Mode, Nano Receiver and Plug &amp; Play Usage - USB"/>
    <s v="Computers&amp;Accessories"/>
    <x v="0"/>
    <s v="Accessories&amp;Peripherals"/>
    <s v="Mice"/>
    <n v="299"/>
    <n v="449"/>
    <n v="33"/>
    <n v="3.5"/>
    <n v="11827"/>
    <n v="3.641100682618482"/>
    <s v="High (1,000+)"/>
    <x v="0"/>
    <n v="20.2"/>
    <s v="Bottom 25%"/>
    <b v="0"/>
    <b v="0"/>
    <b v="1"/>
    <n v="0.52"/>
    <n v="1"/>
    <x v="0"/>
    <s v="https://www.amazon.in/ZEBRONICS-Zeb-Dash-Wireless-Receiver-Buttons/dp/B08YDFX7Y1/ref=sr_1_46?qid=1672902996&amp;s=computers&amp;sr=1-46"/>
  </r>
  <r>
    <s v="B08HDJ86NZ"/>
    <s v="boAt Deuce USB 300 2 in 1 Type-C &amp; Micro USB Stress Resistant, Tangle-Free, Sturdy Cable with 3A Fast Charging &amp; 480mbps Data Transmission, 10000+ Bends Lifespan and Extended 1.5m Length(Martian Red)"/>
    <s v="Computers&amp;Accessories"/>
    <x v="0"/>
    <s v="Accessories&amp;Peripherals"/>
    <s v="USBCables"/>
    <n v="329"/>
    <n v="699"/>
    <n v="53"/>
    <n v="4.2"/>
    <n v="94364"/>
    <n v="4.1955765169620944"/>
    <s v="High (1,000+)"/>
    <x v="0"/>
    <n v="67.5"/>
    <s v="Top 25%"/>
    <b v="0"/>
    <b v="0"/>
    <b v="0"/>
    <n v="1.1000000000000001"/>
    <n v="4"/>
    <x v="1"/>
    <s v="https://www.amazon.in/Deuce-300-Resistant-Tangle-Free-Transmission/dp/B08HDJ86NZ/ref=sr_1_47?qid=1672902996&amp;s=computers&amp;sr=1-47"/>
  </r>
  <r>
    <s v="B087FXHB6J"/>
    <s v="Zebronics Zeb-Companion 107 USB Wireless Keyboard and Mouse Set with Nano Receiver (Black)"/>
    <s v="Computers&amp;Accessories"/>
    <x v="0"/>
    <s v="Accessories&amp;Peripherals"/>
    <s v="Keyboard&amp;MouseSets"/>
    <n v="699"/>
    <n v="999"/>
    <n v="30"/>
    <n v="3.5"/>
    <n v="15295"/>
    <n v="3.615423801216362"/>
    <s v="High (1,000+)"/>
    <x v="2"/>
    <n v="12.9"/>
    <s v="Bottom 25%"/>
    <b v="0"/>
    <b v="0"/>
    <b v="1"/>
    <n v="0.53"/>
    <n v="1"/>
    <x v="0"/>
    <s v="https://www.amazon.in/Zebronics-Zeb-Companion-107-Wireless-Keyboard/dp/B087FXHB6J/ref=sr_1_48?qid=1672902996&amp;s=computers&amp;sr=1-48"/>
  </r>
  <r>
    <s v="B07N42JB4S"/>
    <s v="SYVO WT 3130 Aluminum Tripod (133CM), Universal Lightweight Tripod with Mobile Phone Holder Mount &amp; Carry Bag for All Smart Phones, Gopro, Cameras - Brown"/>
    <s v="Electronics"/>
    <x v="1"/>
    <s v="Cameras&amp;Photography"/>
    <s v="Tabletop&amp;TravelTripods"/>
    <n v="799"/>
    <n v="3990"/>
    <n v="80"/>
    <n v="4.3"/>
    <n v="27139"/>
    <n v="4.2737776189402066"/>
    <s v="High (1,000+)"/>
    <x v="2"/>
    <n v="81.599999999999994"/>
    <s v="Top 25%"/>
    <b v="0"/>
    <b v="0"/>
    <b v="0"/>
    <m/>
    <n v="1"/>
    <x v="0"/>
    <s v="https://www.amazon.in/Syvo-3130-Aluminum-Universal-Lightweight/dp/B07N42JB4S/ref=sr_1_49?qid=1672902997&amp;s=computers&amp;sr=1-49"/>
  </r>
  <r>
    <s v="B0B31BYXQQ"/>
    <s v="Boult Audio Airbass Z20 True Wireless, 40H Battery Life, Zen ENC Mic, Type-C Lightning Boult Fast Charging (10Mins=100Mins), BoomX Tech Bass, ENC, IPX5 in Ear Earbuds with mic (Green)"/>
    <s v="Electronics"/>
    <x v="1"/>
    <s v="Headphones,Earbuds&amp;Accessories"/>
    <s v="In-Ear"/>
    <n v="1399"/>
    <n v="5499"/>
    <n v="75"/>
    <n v="3.9"/>
    <n v="9504"/>
    <n v="3.9523641572140971"/>
    <s v="High (1,000+)"/>
    <x v="4"/>
    <n v="38.200000000000003"/>
    <s v="Bottom 25%"/>
    <b v="0"/>
    <b v="0"/>
    <b v="0"/>
    <n v="1.47"/>
    <n v="1"/>
    <x v="0"/>
    <s v="https://www.amazon.in/Boult-Audio-Lightning-Environmental-Cancellation/dp/B0B31BYXQQ/ref=sr_1_50?qid=1672902997&amp;s=computers&amp;sr=1-50"/>
  </r>
  <r>
    <s v="B07SLMR1K6"/>
    <s v="SanDisk Ultra Flair 64GB USB 3.0 Pen Drive, Multicolor"/>
    <s v="Computers&amp;Accessories"/>
    <x v="0"/>
    <s v="ExternalDevices&amp;DataStorage"/>
    <s v="PenDrives"/>
    <n v="519"/>
    <n v="1350"/>
    <n v="62"/>
    <n v="4.3"/>
    <n v="30058"/>
    <n v="4.2760408359332596"/>
    <s v="High (1,000+)"/>
    <x v="2"/>
    <n v="79"/>
    <s v="Top 25%"/>
    <b v="0"/>
    <b v="0"/>
    <b v="0"/>
    <n v="0.95"/>
    <n v="1"/>
    <x v="0"/>
    <s v="https://www.amazon.in/SanDisk-Ultra-Flair-USB-64GB/dp/B07SLMR1K6/ref=sr_1_52?qid=1672902997&amp;s=computers&amp;sr=1-52"/>
  </r>
  <r>
    <s v="B094YFFSMY"/>
    <s v="Tygot Bluetooth Extendable Selfie Sticks with Wireless Remote and Tripod Stand, 3-in-1 Multifunctional Selfie Stick with Tripod Stand Compatible with iPhone/OnePlus/Samsung/Oppo/Vivo and All Phones"/>
    <s v="Electronics"/>
    <x v="1"/>
    <s v="Mobiles&amp;Accessories"/>
    <s v="SelfieSticks"/>
    <n v="399"/>
    <n v="1999"/>
    <n v="80"/>
    <n v="4"/>
    <n v="3382"/>
    <n v="4.0445712214543796"/>
    <s v="High (1,000+)"/>
    <x v="0"/>
    <n v="59.4"/>
    <s v="Above median"/>
    <b v="0"/>
    <b v="0"/>
    <b v="0"/>
    <m/>
    <n v="1"/>
    <x v="0"/>
    <s v="https://www.amazon.in/Tygot-Bluetooth-Extendable-Multifunctional-Compatible/dp/B094YFFSMY/ref=sr_1_54?qid=1672902997&amp;s=computers&amp;sr=1-54"/>
  </r>
  <r>
    <s v="B092X94QNQ"/>
    <s v="boAt Rockerz 330 in-Ear Bluetooth Neckband with Upto 30 Hours Playtime, ASAP  Charge, Signature Sound, Dual Pairing &amp; IPX5 with Mic (Active Black)"/>
    <s v="Electronics"/>
    <x v="1"/>
    <s v="Headphones,Earbuds&amp;Accessories"/>
    <s v="In-Ear"/>
    <n v="1499"/>
    <n v="3990"/>
    <n v="62"/>
    <n v="4.0999999999999996"/>
    <n v="109864"/>
    <n v="4.0994912198446736"/>
    <s v="High (1,000+)"/>
    <x v="4"/>
    <n v="56.2"/>
    <s v="Above median"/>
    <b v="0"/>
    <b v="0"/>
    <b v="0"/>
    <n v="1.58"/>
    <n v="1"/>
    <x v="0"/>
    <s v="https://www.amazon.in/boAt-Rockerz-330-Bluetooth-Assistant/dp/B092X94QNQ/ref=sr_1_55?qid=1672902997&amp;s=computers&amp;sr=1-55"/>
  </r>
  <r>
    <s v="B0846D5CBP"/>
    <s v="Casio FX-991ES Plus-2nd Edition Scientific Calculator, Black"/>
    <s v="OfficeProducts"/>
    <x v="2"/>
    <s v="OfficeElectronics"/>
    <s v="Scientific"/>
    <n v="1295"/>
    <n v="1295"/>
    <n v="0"/>
    <n v="4.5"/>
    <n v="5760"/>
    <n v="4.3358822884411463"/>
    <s v="High (1,000+)"/>
    <x v="4"/>
    <n v="52"/>
    <s v="Above median"/>
    <b v="0"/>
    <b v="0"/>
    <b v="0"/>
    <m/>
    <n v="1"/>
    <x v="0"/>
    <s v="https://www.amazon.in/Casio-FX-991ES-Plus-2nd-Scientific-Calculator/dp/B0846D5CBP/ref=sr_1_56?qid=1672902997&amp;s=computers&amp;sr=1-56"/>
  </r>
  <r>
    <s v="B00KXULGJQ"/>
    <s v="TP-Link AC750 Wifi Range Extender | Up to 750Mbps | Dual Band WiFi Extender, Repeater, Wifi Signal Booster, Access Point| Easy Set-Up | Extends Wifi to Smart Home &amp; Alexa Devices (RE200)"/>
    <s v="Computers&amp;Accessories"/>
    <x v="0"/>
    <s v="NetworkingDevices"/>
    <s v="Repeaters&amp;Extenders"/>
    <n v="1889"/>
    <n v="5499"/>
    <n v="66"/>
    <n v="4.2"/>
    <n v="49551"/>
    <n v="4.1918583302855907"/>
    <s v="High (1,000+)"/>
    <x v="4"/>
    <n v="69.599999999999994"/>
    <s v="Top 25%"/>
    <b v="0"/>
    <b v="0"/>
    <b v="0"/>
    <m/>
    <n v="1"/>
    <x v="0"/>
    <s v="https://www.amazon.in/Tp-Link-300Mbps-AC750-Range-Extender/dp/B00KXULGJQ/ref=sr_1_57?qid=1672902997&amp;s=computers&amp;sr=1-57"/>
  </r>
  <r>
    <s v="B08H9Z3XQW"/>
    <s v="boAt Bassheads 242 in Ear Wired Earphones with Mic(Blue)"/>
    <s v="Electronics"/>
    <x v="1"/>
    <s v="Headphones,Earbuds&amp;Accessories"/>
    <s v="In-Ear"/>
    <n v="455"/>
    <n v="1490"/>
    <n v="69"/>
    <n v="4.0999999999999996"/>
    <n v="161677"/>
    <n v="4.0996505616354062"/>
    <s v="High (1,000+)"/>
    <x v="0"/>
    <n v="68.3"/>
    <s v="Top 25%"/>
    <b v="0"/>
    <b v="0"/>
    <b v="0"/>
    <n v="0.48"/>
    <n v="2"/>
    <x v="1"/>
    <s v="https://www.amazon.in/boAt-Bassheads-242-Wired-Earphones/dp/B08H9Z3XQW/ref=sr_1_58?qid=1672902997&amp;s=computers&amp;sr=1-58"/>
  </r>
  <r>
    <s v="B08LPJZSSW"/>
    <s v="DIGITEK® (DTR 260 GT) Gorilla Tripod/Mini 33 cm (13 Inch) Tripod for Mobile Phone with Phone Mount &amp; Remote, Flexible Gorilla Stand for DSLR &amp; Action Cameras"/>
    <s v="Electronics"/>
    <x v="1"/>
    <s v="Cameras&amp;Photography"/>
    <s v="TripodLegs"/>
    <n v="399"/>
    <n v="995"/>
    <n v="60"/>
    <n v="3.9"/>
    <n v="21372"/>
    <n v="3.9276388665651121"/>
    <s v="High (1,000+)"/>
    <x v="0"/>
    <n v="39.799999999999997"/>
    <s v="Below median"/>
    <b v="0"/>
    <b v="0"/>
    <b v="0"/>
    <m/>
    <n v="1"/>
    <x v="0"/>
    <s v="https://www.amazon.in/DIGITEK%C2%AE-DTR-260-GT-Flexible/dp/B08LPJZSSW/ref=sr_1_59?qid=1672902997&amp;s=computers&amp;sr=1-59"/>
  </r>
  <r>
    <s v="B08CYPB15D"/>
    <s v="HP 805 Black Original Ink Cartridge"/>
    <s v="Computers&amp;Accessories"/>
    <x v="0"/>
    <s v="Printers,Inks&amp;Accessories"/>
    <s v="InkjetInkCartridges"/>
    <n v="717"/>
    <n v="761"/>
    <n v="6"/>
    <n v="4"/>
    <n v="7199"/>
    <n v="4.0290506857346911"/>
    <s v="High (1,000+)"/>
    <x v="2"/>
    <n v="23.2"/>
    <s v="Bottom 25%"/>
    <b v="0"/>
    <b v="0"/>
    <b v="0"/>
    <m/>
    <n v="1"/>
    <x v="0"/>
    <s v="https://www.amazon.in/805-Black-Original-Ink-Cartridge/dp/B08CYPB15D/ref=sr_1_62?qid=1672902997&amp;s=computers&amp;sr=1-62"/>
  </r>
  <r>
    <s v="B00MFPCY5C"/>
    <s v="GIZGA essentials Universal Silicone Keyboard Protector Skin for 15.6-inches Laptop (5 x 6 x 3 inches)"/>
    <s v="Computers&amp;Accessories"/>
    <x v="0"/>
    <s v="Accessories&amp;Peripherals"/>
    <s v="DustCovers"/>
    <n v="39"/>
    <n v="299"/>
    <n v="87"/>
    <n v="3.5"/>
    <n v="15233"/>
    <n v="3.6158005365313262"/>
    <s v="High (1,000+)"/>
    <x v="0"/>
    <n v="49.6"/>
    <s v="Below median"/>
    <b v="0"/>
    <b v="0"/>
    <b v="1"/>
    <m/>
    <n v="1"/>
    <x v="0"/>
    <s v="https://www.amazon.in/Universal-Silicone-Keyboard-Protector-15-6-inch/dp/B00MFPCY5C/ref=sr_1_65?qid=1672902997&amp;s=computers&amp;sr=1-65"/>
  </r>
  <r>
    <s v="B07JJFSG2B"/>
    <s v="SanDisk Ultra 128 GB USB 3.0 Pen Drive (Black)"/>
    <s v="Computers&amp;Accessories"/>
    <x v="0"/>
    <s v="ExternalDevices&amp;DataStorage"/>
    <s v="PenDrives"/>
    <n v="889"/>
    <n v="2500"/>
    <n v="64"/>
    <n v="4.3"/>
    <n v="55747"/>
    <n v="4.2863835033344388"/>
    <s v="High (1,000+)"/>
    <x v="2"/>
    <n v="76"/>
    <s v="Top 25%"/>
    <b v="0"/>
    <b v="0"/>
    <b v="0"/>
    <n v="1.62"/>
    <n v="1"/>
    <x v="0"/>
    <s v="https://www.amazon.in/SanDisk-Ultra-128-Drive-Black/dp/B07JJFSG2B/ref=sr_1_66?qid=1672902997&amp;s=computers&amp;sr=1-66"/>
  </r>
  <r>
    <s v="B09NR6G588"/>
    <s v="Boult Audio ZCharge Bluetooth Wireless in Ear Earphones with Mic, 40H Playtime and Super Fast Charging, Environmental Noise Cancellation for Pro+ Calling and IPX5 Water Resistant (Black)"/>
    <s v="Electronics"/>
    <x v="1"/>
    <s v="Headphones,Earbuds&amp;Accessories"/>
    <s v="In-Ear"/>
    <n v="1199"/>
    <n v="4999"/>
    <n v="76"/>
    <n v="3.8"/>
    <n v="14961"/>
    <n v="3.8571975908179992"/>
    <s v="High (1,000+)"/>
    <x v="4"/>
    <n v="36.6"/>
    <s v="Bottom 25%"/>
    <b v="0"/>
    <b v="0"/>
    <b v="1"/>
    <n v="1.26"/>
    <n v="1"/>
    <x v="0"/>
    <s v="https://www.amazon.in/Boult-Audio-Bluetooth-Environmental-Cancellation/dp/B09NR6G588/ref=sr_1_67?qid=1672902997&amp;s=computers&amp;sr=1-67"/>
  </r>
  <r>
    <s v="B07JPX9CR7"/>
    <s v="Dell WM118 Wireless Mouse, 2.4 Ghz with USB Nano Receiver, Optical Tracking, 12-Months Battery Life, Ambidextrous, Pc/Mac/Laptop - Black."/>
    <s v="Computers&amp;Accessories"/>
    <x v="0"/>
    <s v="Accessories&amp;Peripherals"/>
    <s v="Mice"/>
    <n v="569"/>
    <n v="1299"/>
    <n v="56"/>
    <n v="4.4000000000000004"/>
    <n v="9275"/>
    <n v="4.3089886168115683"/>
    <s v="High (1,000+)"/>
    <x v="2"/>
    <n v="71.400000000000006"/>
    <s v="Top 25%"/>
    <b v="0"/>
    <b v="0"/>
    <b v="0"/>
    <n v="0.99"/>
    <n v="1"/>
    <x v="0"/>
    <s v="https://www.amazon.in/DELL-WM118-Wireless-Optical-Mouse/dp/B07JPX9CR7/ref=sr_1_68?qid=1672902997&amp;s=computers&amp;sr=1-68"/>
  </r>
  <r>
    <s v="B08D11DZ2W"/>
    <s v="Boult Audio AirBass PowerBuds with Inbuilt Powerbank, 120H Total Playtime, IPX7 Fully Waterproof, Lightning Boult Type-C Fast Charging, Low Latency Gaming, TWS Earbuds with Pro+ Calling Mic (Black)"/>
    <s v="Electronics"/>
    <x v="1"/>
    <s v="Headphones,Earbuds&amp;Accessories"/>
    <s v="In-Ear"/>
    <n v="1499"/>
    <n v="8999"/>
    <n v="83"/>
    <n v="3.7"/>
    <n v="28324"/>
    <n v="3.7451027407688851"/>
    <s v="High (1,000+)"/>
    <x v="4"/>
    <n v="36"/>
    <s v="Bottom 25%"/>
    <b v="0"/>
    <b v="0"/>
    <b v="1"/>
    <n v="1.58"/>
    <n v="1"/>
    <x v="0"/>
    <s v="https://www.amazon.in/Boult-Audio-PowerBuds-Wireless-Waterproof/dp/B08D11DZ2W/ref=sr_1_69?qid=1672902997&amp;s=computers&amp;sr=1-69"/>
  </r>
  <r>
    <s v="B07Q7561HD"/>
    <s v="Eveready 1015 Carbon Zinc AA Battery - 10 Pieces"/>
    <s v="Electronics"/>
    <x v="1"/>
    <s v="GeneralPurposeBatteries&amp;BatteryChargers"/>
    <s v="DisposableBatteries"/>
    <n v="149"/>
    <n v="180"/>
    <n v="17"/>
    <n v="4.4000000000000004"/>
    <n v="644"/>
    <n v="4.1307248591128598"/>
    <s v="Medium (100-999)"/>
    <x v="0"/>
    <n v="48.5"/>
    <s v="Below median"/>
    <b v="0"/>
    <b v="0"/>
    <b v="0"/>
    <m/>
    <n v="1"/>
    <x v="0"/>
    <s v="https://www.amazon.in/Eveready-1015-Carbon-Zinc-Battery/dp/B07Q7561HD/ref=sr_1_70?qid=1672902997&amp;s=computers&amp;sr=1-70"/>
  </r>
  <r>
    <s v="B0819HZPXL"/>
    <s v="Zebronics Zeb-Transformer-M Optical USB Gaming Mouse with LED Effect(Black)"/>
    <s v="Computers&amp;Accessories"/>
    <x v="0"/>
    <s v="Accessories&amp;Peripherals"/>
    <s v="GamingMice"/>
    <n v="399"/>
    <n v="549"/>
    <n v="27"/>
    <n v="4.4000000000000004"/>
    <n v="18139"/>
    <n v="4.3458228473703091"/>
    <s v="High (1,000+)"/>
    <x v="0"/>
    <n v="61.7"/>
    <s v="Top 25%"/>
    <b v="0"/>
    <b v="0"/>
    <b v="0"/>
    <m/>
    <n v="1"/>
    <x v="0"/>
    <s v="https://www.amazon.in/Zebronics-Zeb-Transformer-M-Optical-Gaming-Effect/dp/B0819HZPXL/ref=sr_1_71?qid=1672902997&amp;s=computers&amp;sr=1-71"/>
  </r>
  <r>
    <s v="B00LXTFMRS"/>
    <s v="PIDILITE Fevicryl Acrylic Colours Sunflower Kit (10 Colors x 15 ml) DIY Paint, Rich Pigment, Non-Craking Paint for Canvas, Wood, Leather, Earthenware, Metal, Diwali Gifts for Diwali"/>
    <s v="Home&amp;Kitchen"/>
    <x v="3"/>
    <s v="CraftMaterials"/>
    <s v="Paints"/>
    <n v="191"/>
    <n v="225"/>
    <n v="15"/>
    <n v="4.4000000000000004"/>
    <n v="7203"/>
    <n v="4.2917914451398307"/>
    <s v="High (1,000+)"/>
    <x v="0"/>
    <n v="57.6"/>
    <s v="Above median"/>
    <b v="0"/>
    <b v="0"/>
    <b v="0"/>
    <m/>
    <n v="1"/>
    <x v="0"/>
    <s v="https://www.amazon.in/Fevicryl-Acrylic-colors-Sunflower-Shades/dp/B00LXTFMRS/ref=sr_1_72?qid=1672902997&amp;s=computers&amp;sr=1-72"/>
  </r>
  <r>
    <s v="B0B9LDCX89"/>
    <s v="STRIFF Mpad Mouse Mat 230X190X3mm Gaming Mouse Pad, Non-Slip Rubber Base, Waterproof Surface, Premium-Textured, Compatible with Laser and Optical Mice(Universe Black)"/>
    <s v="Computers&amp;Accessories"/>
    <x v="0"/>
    <s v="Accessories&amp;Peripherals"/>
    <s v="MousePads"/>
    <n v="129"/>
    <n v="999"/>
    <n v="87"/>
    <n v="4.2"/>
    <n v="491"/>
    <n v="4.0979520610510907"/>
    <s v="Medium (100-999)"/>
    <x v="0"/>
    <n v="73.400000000000006"/>
    <s v="Top 25%"/>
    <b v="0"/>
    <b v="0"/>
    <b v="0"/>
    <m/>
    <n v="1"/>
    <x v="0"/>
    <s v="https://www.amazon.in/STRIFF-230X190X3mm-Waterproof-Premium-Textured-Compatible/dp/B0B9LDCX89/ref=sr_1_73?qid=1672902998&amp;s=computers&amp;sr=1-73"/>
  </r>
  <r>
    <s v="B0765B3TH7"/>
    <s v="Gizga Essentials Hard Drive Case Shell, 6.35cm/2.5-inch, Portable Storage Organizer Bag for Earphone USB Cable Power Bank Mobile Charger Digital Gadget Hard Disk, Water Resistance Material, Black"/>
    <s v="Computers&amp;Accessories"/>
    <x v="0"/>
    <s v="Accessories&amp;Peripherals"/>
    <s v="HardDiskBags"/>
    <n v="199"/>
    <n v="599"/>
    <n v="67"/>
    <n v="4.5"/>
    <n v="13568"/>
    <n v="4.4098230917561994"/>
    <s v="High (1,000+)"/>
    <x v="0"/>
    <n v="87.9"/>
    <s v="Top 25%"/>
    <b v="1"/>
    <b v="0"/>
    <b v="0"/>
    <m/>
    <n v="1"/>
    <x v="0"/>
    <s v="https://www.amazon.in/GIZGA-inch-Hard-Drive-Black/dp/B0765B3TH7/ref=sr_1_74?qid=1672902998&amp;s=computers&amp;sr=1-74"/>
  </r>
  <r>
    <s v="B0B1F6GQPS"/>
    <s v="Boult Audio FXCharge with ENC, 32H Playtime, 5min=7H Type C Fast Charging, Zen ENC, 14.2 mm BoomX Rich Bass, IPX5, Bluetooth Wireless in Ear Earphones Neckband with mic (Black)"/>
    <s v="Electronics"/>
    <x v="1"/>
    <s v="Headphones,Earbuds&amp;Accessories"/>
    <s v="In-Ear"/>
    <n v="999"/>
    <n v="4499"/>
    <n v="78"/>
    <n v="3.8"/>
    <n v="3390"/>
    <n v="3.9497293382287051"/>
    <s v="High (1,000+)"/>
    <x v="2"/>
    <n v="41"/>
    <s v="Below median"/>
    <b v="0"/>
    <b v="0"/>
    <b v="1"/>
    <n v="1.05"/>
    <n v="1"/>
    <x v="0"/>
    <s v="https://www.amazon.in/Boult-Audio-Environmental-Cancellation-Bluetooth/dp/B0B1F6GQPS/ref=sr_1_75?qid=1672902998&amp;s=computers&amp;sr=1-75"/>
  </r>
  <r>
    <s v="B07LG59NPV"/>
    <s v="Boult Audio Probass Curve Bluetooth Wireless in Ear Earphones with Mic with Ipx5 Water Resistant, 12H Battery Life &amp; Extra Bass (Black)"/>
    <s v="Electronics"/>
    <x v="1"/>
    <s v="Headphones,Earbuds&amp;Accessories"/>
    <s v="In-Ear"/>
    <n v="899"/>
    <n v="4499"/>
    <n v="80"/>
    <n v="3.8"/>
    <n v="103052"/>
    <n v="3.8100261583556612"/>
    <s v="High (1,000+)"/>
    <x v="2"/>
    <n v="39.1"/>
    <s v="Below median"/>
    <b v="0"/>
    <b v="0"/>
    <b v="1"/>
    <n v="0.95"/>
    <n v="1"/>
    <x v="0"/>
    <s v="https://www.amazon.in/Boult-Audio-Curve-Sweatproof-Headphones/dp/B07LG59NPV/ref=sr_1_76?qid=1672902998&amp;s=computers&amp;sr=1-76"/>
  </r>
  <r>
    <s v="B08WRWPM22"/>
    <s v="boAt Micro USB 55 Tangle-free, Sturdy Micro USB Cable with 3A Fast Charging &amp; 480mbps Data Transmission (Black)"/>
    <s v="Computers&amp;Accessories"/>
    <x v="0"/>
    <s v="Accessories&amp;Peripherals"/>
    <s v="USBCables"/>
    <n v="176.63"/>
    <n v="499"/>
    <n v="65"/>
    <n v="4.0999999999999996"/>
    <n v="15189"/>
    <n v="4.0969495338986794"/>
    <s v="High (1,000+)"/>
    <x v="0"/>
    <n v="64.8"/>
    <s v="Top 25%"/>
    <b v="0"/>
    <b v="0"/>
    <b v="0"/>
    <n v="0.59"/>
    <n v="1"/>
    <x v="0"/>
    <s v="https://www.amazon.in/boAt-Micro-USB-Tangle-Free-Transmission/dp/B08WRWPM22/ref=sr_1_78?qid=1672902998&amp;s=computers&amp;sr=1-78"/>
  </r>
  <r>
    <s v="B00AXHBBXU"/>
    <s v="Casio FX-82MS 2nd Gen Non-Programmable Scientific Calculator, 240 Functions and 2-line Display, Black"/>
    <s v="OfficeProducts"/>
    <x v="2"/>
    <s v="OfficeElectronics"/>
    <s v="Scientific"/>
    <n v="522"/>
    <n v="550"/>
    <n v="5"/>
    <n v="4.4000000000000004"/>
    <n v="12179"/>
    <n v="4.3255678005006324"/>
    <s v="High (1,000+)"/>
    <x v="2"/>
    <n v="58.3"/>
    <s v="Above median"/>
    <b v="0"/>
    <b v="0"/>
    <b v="0"/>
    <m/>
    <n v="1"/>
    <x v="0"/>
    <s v="https://www.amazon.in/Casio-Non-Programmable-Scientific-Calculator-Functions/dp/B00AXHBBXU/ref=sr_1_79?qid=1672902998&amp;s=computers&amp;sr=1-79"/>
  </r>
  <r>
    <s v="B08MCD9JFY"/>
    <s v="Tygot 10 Inches Big LED Ring Light for Camera, Phone tiktok YouTube Video Shooting and Makeup, 10&quot; inch Ring Light with 7 Feet Long Foldable and Lightweight Tripod Stand"/>
    <s v="Electronics"/>
    <x v="1"/>
    <s v="Cameras&amp;Photography"/>
    <s v="Macro&amp;RinglightFlashes"/>
    <n v="799"/>
    <n v="1999"/>
    <n v="60"/>
    <n v="3.8"/>
    <n v="12958"/>
    <n v="3.8640494657265521"/>
    <s v="High (1,000+)"/>
    <x v="2"/>
    <n v="32.5"/>
    <s v="Bottom 25%"/>
    <b v="0"/>
    <b v="0"/>
    <b v="1"/>
    <m/>
    <n v="1"/>
    <x v="0"/>
    <s v="https://www.amazon.in/Tygot-YouTube-Shooting-Foldable-Lightweight/dp/B08MCD9JFY/ref=sr_1_80?qid=1672902998&amp;s=computers&amp;sr=1-80"/>
  </r>
  <r>
    <s v="B083RCTXLL"/>
    <s v="HP X200 Wireless Mouse with 2.4 GHz Wireless connectivity, Adjustable DPI up to 1600, ambidextrous Design, and 18-Month Long Battery Life. 3-Years Warranty (6VY95AA)"/>
    <s v="Computers&amp;Accessories"/>
    <x v="0"/>
    <s v="Accessories&amp;Peripherals"/>
    <s v="Mice"/>
    <n v="681"/>
    <n v="1199"/>
    <n v="43"/>
    <n v="4.2"/>
    <n v="8258"/>
    <n v="4.1638899456495837"/>
    <s v="High (1,000+)"/>
    <x v="2"/>
    <n v="52.2"/>
    <s v="Above median"/>
    <b v="0"/>
    <b v="0"/>
    <b v="0"/>
    <n v="1.19"/>
    <n v="1"/>
    <x v="0"/>
    <s v="https://www.amazon.in/HP-Wireless-Mouse-X200-6VY95AA/dp/B083RCTXLL/ref=sr_1_82?qid=1672902998&amp;s=computers&amp;sr=1-82"/>
  </r>
  <r>
    <s v="B08HLZ28QC"/>
    <s v="Oakter Mini UPS for 12V WiFi Router Broadband Modem | Backup Upto 4 Hours | WiFi Router UPS Power Backup During Power Cuts | UPS for 12V Router Broadband Modem | Current Surge &amp; Deep Discharge Protection"/>
    <s v="Computers&amp;Accessories"/>
    <x v="0"/>
    <s v="NetworkingDevices"/>
    <s v="NetworkingDevices"/>
    <n v="1199"/>
    <n v="3490"/>
    <n v="66"/>
    <n v="4.0999999999999996"/>
    <n v="11716"/>
    <n v="4.0962650832884844"/>
    <s v="High (1,000+)"/>
    <x v="4"/>
    <n v="59.7"/>
    <s v="Above median"/>
    <b v="0"/>
    <b v="0"/>
    <b v="0"/>
    <m/>
    <n v="1"/>
    <x v="0"/>
    <s v="https://www.amazon.in/Mini-UPS-Router-WiFi-12V/dp/B08HLZ28QC/ref=sr_1_83?qid=1672902998&amp;s=computers&amp;sr=1-83"/>
  </r>
  <r>
    <s v="B07GVR9TG7"/>
    <s v="TP-Link Archer AC1200 Archer C6 Wi-Fi Speed Up to 867 Mbps/5 GHz + 400 Mbps/2.4 GHz, 5 Gigabit Ports, 4 External Antennas, MU-MIMO, Dual Band, WiFi Coverage with Access Point Mode, Black"/>
    <s v="Computers&amp;Accessories"/>
    <x v="0"/>
    <s v="NetworkingDevices"/>
    <s v="Routers"/>
    <n v="2499"/>
    <n v="4999"/>
    <n v="50"/>
    <n v="4.4000000000000004"/>
    <n v="35024"/>
    <n v="4.3694078891284551"/>
    <s v="High (1,000+)"/>
    <x v="4"/>
    <n v="68.900000000000006"/>
    <s v="Top 25%"/>
    <b v="0"/>
    <b v="0"/>
    <b v="0"/>
    <m/>
    <n v="1"/>
    <x v="0"/>
    <s v="https://www.amazon.in/TP-Link-Archer-C6-Wireless-MU-MIMO/dp/B07GVR9TG7/ref=sr_1_84?qid=1672902998&amp;s=computers&amp;sr=1-84"/>
  </r>
  <r>
    <s v="B0856HY85J"/>
    <s v="boAt Rockerz 550 Over Ear Bluetooth Headphones with Upto 20 Hours Playback, 50MM Drivers, Soft Padded Ear Cushions and Physical Noise Isolation, Without Mic (Black)"/>
    <s v="Electronics"/>
    <x v="1"/>
    <s v="Headphones,Earbuds&amp;Accessories"/>
    <s v="Over-Ear"/>
    <n v="1799"/>
    <n v="4999"/>
    <n v="64"/>
    <n v="4.0999999999999996"/>
    <n v="55192"/>
    <n v="4.0990193978692178"/>
    <s v="High (1,000+)"/>
    <x v="4"/>
    <n v="56.2"/>
    <s v="Above median"/>
    <b v="0"/>
    <b v="0"/>
    <b v="0"/>
    <m/>
    <n v="1"/>
    <x v="0"/>
    <s v="https://www.amazon.in/Boat-Rockerz-550-Headphone-Aesthetics/dp/B0856HY85J/ref=sr_1_85?qid=1672902998&amp;s=computers&amp;sr=1-85"/>
  </r>
  <r>
    <s v="B07CD2BN46"/>
    <s v="Xiaomi Mi Wired in Ear Earphones with Mic Basic with Ultra Deep Bass &amp; Aluminum Alloy Sound Chamber (Black)"/>
    <s v="Electronics"/>
    <x v="1"/>
    <s v="Headphones,Earbuds&amp;Accessories"/>
    <s v="In-Ear"/>
    <n v="429"/>
    <n v="599"/>
    <n v="28"/>
    <n v="4.0999999999999996"/>
    <n v="119466"/>
    <n v="4.0995308641400392"/>
    <s v="High (1,000+)"/>
    <x v="0"/>
    <n v="49.9"/>
    <s v="Below median"/>
    <b v="0"/>
    <b v="0"/>
    <b v="0"/>
    <n v="0.45"/>
    <n v="1"/>
    <x v="0"/>
    <s v="https://www.amazon.in/Mi-Earphones-Basic-Mic-Black/dp/B07CD2BN46/ref=sr_1_87?qid=1672902998&amp;s=computers&amp;sr=1-87"/>
  </r>
  <r>
    <s v="B07PLHTTB4"/>
    <s v="Zodo 8. 5 inch LCD E-Writer Electronic Writing Pad/Tablet Drawing Board (Paperless Memo Digital Tablet)"/>
    <s v="Computers&amp;Accessories"/>
    <x v="0"/>
    <s v="Accessories&amp;Peripherals"/>
    <s v="GraphicTablets"/>
    <n v="100"/>
    <n v="499"/>
    <n v="80"/>
    <n v="3.5"/>
    <n v="9638"/>
    <n v="3.6641497773725469"/>
    <s v="High (1,000+)"/>
    <x v="0"/>
    <n v="46.8"/>
    <s v="Below median"/>
    <b v="0"/>
    <b v="0"/>
    <b v="1"/>
    <n v="0.35"/>
    <n v="1"/>
    <x v="0"/>
    <s v="https://www.amazon.in/ZODO-Writer-Electronic-Writing-Paperless/dp/B07PLHTTB4/ref=sr_1_88_mod_primary_new?qid=1672902998&amp;s=computers&amp;sbo=RZvfv%2F%2FHxDF%2BO5021pAnSA%3D%3D&amp;sr=1-88"/>
  </r>
  <r>
    <s v="B077T3BG5L"/>
    <s v="Zebronics ZEB-KM2100 Multimedia USB Keyboard Comes with 114 Keys Including 12 Dedicated Multimedia Keys &amp; with Rupee Key"/>
    <s v="Computers&amp;Accessories"/>
    <x v="0"/>
    <s v="Accessories&amp;Peripherals"/>
    <s v="Keyboards"/>
    <n v="329"/>
    <n v="399"/>
    <n v="18"/>
    <n v="3.6"/>
    <n v="33735"/>
    <n v="3.6486282843304441"/>
    <s v="High (1,000+)"/>
    <x v="0"/>
    <n v="14.4"/>
    <s v="Bottom 25%"/>
    <b v="0"/>
    <b v="0"/>
    <b v="1"/>
    <m/>
    <n v="1"/>
    <x v="0"/>
    <s v="https://www.amazon.in/Zebronics-Km2100-Multimedia-USB-Keyboard/dp/B077T3BG5L/ref=sr_1_89?qid=1672902998&amp;s=computers&amp;sr=1-89"/>
  </r>
  <r>
    <s v="B08DDRGWTJ"/>
    <s v="MI Usb Type-C Cable Smartphone (Black)"/>
    <s v="Computers&amp;Accessories"/>
    <x v="0"/>
    <s v="Accessories&amp;Peripherals"/>
    <s v="USBCables"/>
    <n v="229"/>
    <n v="299"/>
    <n v="23"/>
    <n v="4.3"/>
    <n v="30411"/>
    <n v="4.2762883255060444"/>
    <s v="High (1,000+)"/>
    <x v="0"/>
    <n v="62.4"/>
    <s v="Top 25%"/>
    <b v="0"/>
    <b v="0"/>
    <b v="0"/>
    <n v="0.77"/>
    <n v="2"/>
    <x v="1"/>
    <s v="https://www.amazon.in/MI-MTCY001IN-USB-Type-C-Cable/dp/B08DDRGWTJ/ref=sr_1_90?qid=1672902998&amp;s=computers&amp;sr=1-90"/>
  </r>
  <r>
    <s v="B079Y6JZC8"/>
    <s v="ZEBRONICS Zeb-Comfort Wired USB Mouse, 3-Button, 1000 DPI Optical Sensor, Plug &amp; Play, for Windows/Mac, Black"/>
    <s v="Computers&amp;Accessories"/>
    <x v="0"/>
    <s v="Accessories&amp;Peripherals"/>
    <s v="Mice"/>
    <n v="139"/>
    <n v="299"/>
    <n v="54"/>
    <n v="3.8"/>
    <n v="3044"/>
    <n v="3.9573406437494771"/>
    <s v="High (1,000+)"/>
    <x v="0"/>
    <n v="39.799999999999997"/>
    <s v="Below median"/>
    <b v="0"/>
    <b v="0"/>
    <b v="1"/>
    <n v="0.24"/>
    <n v="1"/>
    <x v="0"/>
    <s v="https://www.amazon.in/Zebronics-Wired-Optical-Mouse-Black/dp/B079Y6JZC8/ref=sr_1_91?qid=1672902998&amp;s=computers&amp;sr=1-91"/>
  </r>
  <r>
    <s v="B0856HNMR7"/>
    <s v="boAt Rockerz 370 On Ear Bluetooth Headphones with Upto 12 Hours Playtime, Cozy Padded Earcups and Bluetooth v5.0, with Mic (Buoyant Black)"/>
    <s v="Electronics"/>
    <x v="1"/>
    <s v="Headphones,Earbuds&amp;Accessories"/>
    <s v="On-Ear"/>
    <n v="1199"/>
    <n v="2499"/>
    <n v="52"/>
    <n v="4"/>
    <n v="33584"/>
    <n v="4.0085266113740463"/>
    <s v="High (1,000+)"/>
    <x v="4"/>
    <n v="31.6"/>
    <s v="Bottom 25%"/>
    <b v="0"/>
    <b v="0"/>
    <b v="0"/>
    <m/>
    <n v="1"/>
    <x v="0"/>
    <s v="https://www.amazon.in/Rockerz-370-Headphone-Bluetooth-Lightweight/dp/B0856HNMR7/ref=sr_1_92?qid=1672902998&amp;s=computers&amp;sr=1-92"/>
  </r>
  <r>
    <s v="B0B12K5BPM"/>
    <s v="ZEBRONICS Zeb-Astra 20 Wireless BT v5.0 Portable Speaker with 10W RMS Output, TWS, 10H Backup Approx, Built in Rechargeable Battery FM Radio, AUX, mSD, USB, Call Function and Dual 52mm Drivers Multi"/>
    <s v="Electronics"/>
    <x v="1"/>
    <s v="HomeAudio"/>
    <s v="BluetoothSpeakers"/>
    <n v="1049"/>
    <n v="2299"/>
    <n v="54"/>
    <n v="3.9"/>
    <n v="1779"/>
    <n v="4.0253612003394057"/>
    <s v="High (1,000+)"/>
    <x v="4"/>
    <n v="37.200000000000003"/>
    <s v="Bottom 25%"/>
    <b v="0"/>
    <b v="0"/>
    <b v="0"/>
    <m/>
    <n v="1"/>
    <x v="0"/>
    <s v="https://www.amazon.in/ZEBRONICS-Zeb-Astra-20-Wireless-Rechargeable/dp/B0B12K5BPM/ref=sr_1_93?qid=1672902998&amp;s=computers&amp;sr=1-93"/>
  </r>
  <r>
    <s v="B08MTCKDYN"/>
    <s v="Gizga Essentials Spiral Cable Protector Cord Saver for Mac Charger, iPhone Charger, Wire Protector, Lightweight Durable Flexible Wire Winder for Charging Cables, Data Cables, Earphones, Pack of 10"/>
    <s v="Electronics"/>
    <x v="1"/>
    <s v="Mobiles&amp;Accessories"/>
    <s v="D√©cor"/>
    <n v="119"/>
    <n v="299"/>
    <n v="60"/>
    <n v="4.0999999999999996"/>
    <n v="5999"/>
    <n v="4.0940776613922871"/>
    <s v="High (1,000+)"/>
    <x v="0"/>
    <n v="65.2"/>
    <s v="Top 25%"/>
    <b v="0"/>
    <b v="0"/>
    <b v="0"/>
    <m/>
    <n v="1"/>
    <x v="0"/>
    <s v="https://www.amazon.in/GIZGA-Protector-Charging-Protective-G55/dp/B08MTCKDYN/ref=sr_1_94?qid=1672902998&amp;s=computers&amp;sr=1-94"/>
  </r>
  <r>
    <s v="B08CF3D7QR"/>
    <s v="Portronics Konnect L POR-1081 Fast Charging 3A Type-C Cable 1.2Meter with Charge &amp; Sync Function for All Type-C Devices (Grey)"/>
    <s v="Computers&amp;Accessories"/>
    <x v="0"/>
    <s v="Accessories&amp;Peripherals"/>
    <s v="USBCables"/>
    <n v="154"/>
    <n v="339"/>
    <n v="55"/>
    <n v="4.3"/>
    <n v="13391"/>
    <n v="4.2527611911085677"/>
    <s v="High (1,000+)"/>
    <x v="0"/>
    <n v="77"/>
    <s v="Top 25%"/>
    <b v="0"/>
    <b v="0"/>
    <b v="0"/>
    <n v="0.52"/>
    <n v="1"/>
    <x v="0"/>
    <s v="https://www.amazon.in/Portronics-POR-1081-Charging-1-2Meter-Function/dp/B08CF3D7QR/ref=sr_1_95?qid=1672902998&amp;s=computers&amp;sr=1-95"/>
  </r>
  <r>
    <s v="B00LVMTA2A"/>
    <s v="Panasonic CR-2032/5BE Lithium Coin Battery - Pack of 5"/>
    <s v="Electronics"/>
    <x v="1"/>
    <s v="GeneralPurposeBatteries&amp;BatteryChargers"/>
    <s v="GeneralPurposeBatteries&amp;BatteryChargers"/>
    <n v="225"/>
    <n v="250"/>
    <n v="10"/>
    <n v="4.4000000000000004"/>
    <n v="26556"/>
    <n v="4.3608634692244284"/>
    <s v="High (1,000+)"/>
    <x v="0"/>
    <n v="60.6"/>
    <s v="Top 25%"/>
    <b v="0"/>
    <b v="0"/>
    <b v="0"/>
    <m/>
    <n v="1"/>
    <x v="0"/>
    <s v="https://www.amazon.in/Panasonic-Lithium-CR2032-5BE-Battery/dp/B00LVMTA2A/ref=sr_1_97?qid=1672903000&amp;s=computers&amp;sr=1-97"/>
  </r>
  <r>
    <s v="B07TR5HSR9"/>
    <s v="MemeHo® Smart Standard Multi-Purpose Laptop Table with Dock Stand/Study Table/Bed Table/Foldable and Portable/Ergonomic &amp; Rounded Edges/Non-Slip Legs/Engineered Wood with Cup Holder (Black)"/>
    <s v="Computers&amp;Accessories"/>
    <x v="0"/>
    <s v="Accessories&amp;Peripherals"/>
    <s v="Lapdesks"/>
    <n v="656"/>
    <n v="1499"/>
    <n v="56"/>
    <n v="4.3"/>
    <n v="25903"/>
    <n v="4.2726850749753353"/>
    <s v="High (1,000+)"/>
    <x v="2"/>
    <n v="68.3"/>
    <s v="Top 25%"/>
    <b v="0"/>
    <b v="0"/>
    <b v="0"/>
    <n v="1.1399999999999999"/>
    <n v="1"/>
    <x v="0"/>
    <s v="https://www.amazon.in/Multi-Purpose-Foldable-Portable-Ergonomic-Non-Slip/dp/B07TR5HSR9/ref=sr_1_98?qid=1672903000&amp;s=computers&amp;sr=1-98"/>
  </r>
  <r>
    <s v="B0819ZZK5K"/>
    <s v="SanDisk Ultra Dual Drive Go USB Type C Pendrive for Mobile (Black, 128 GB, 5Y - SDDDC3-128G-I35)"/>
    <s v="Computers&amp;Accessories"/>
    <x v="0"/>
    <s v="ExternalDevices&amp;DataStorage"/>
    <s v="PenDrives"/>
    <n v="1109"/>
    <n v="2800"/>
    <n v="60"/>
    <n v="4.3"/>
    <n v="53464"/>
    <n v="4.2858402853866799"/>
    <s v="High (1,000+)"/>
    <x v="4"/>
    <n v="72.400000000000006"/>
    <s v="Top 25%"/>
    <b v="0"/>
    <b v="0"/>
    <b v="0"/>
    <n v="2.02"/>
    <n v="1"/>
    <x v="0"/>
    <s v="https://www.amazon.in/SanDisk-Ultra-Drive-Pendrive-Mobile/dp/B0819ZZK5K/ref=sr_1_99?qid=1672903000&amp;s=computers&amp;sr=1-99"/>
  </r>
  <r>
    <s v="B08QJJCY2Q"/>
    <s v="Tizum Mouse Pad/ Computer Mouse Mat with Anti-Slip Rubber Base | Smooth Mouse Control | Spill-Resistant Surface for Laptop, Notebook, MacBook, Gaming, Laser/ Optical Mouse, 9.4”x 7.9”, Multicolored"/>
    <s v="Computers&amp;Accessories"/>
    <x v="0"/>
    <s v="Accessories&amp;Peripherals"/>
    <s v="MousePads"/>
    <n v="169"/>
    <n v="299"/>
    <n v="43"/>
    <n v="4.4000000000000004"/>
    <n v="5176"/>
    <n v="4.267252793162255"/>
    <s v="High (1,000+)"/>
    <x v="0"/>
    <n v="71.599999999999994"/>
    <s v="Top 25%"/>
    <b v="0"/>
    <b v="0"/>
    <b v="0"/>
    <m/>
    <n v="1"/>
    <x v="0"/>
    <s v="https://www.amazon.in/Notebook-MacBook-Computer-Anti-Skid-Mousepad/dp/B08QJJCY2Q/ref=sr_1_101?qid=1672903000&amp;s=computers&amp;sr=1-101"/>
  </r>
  <r>
    <s v="B07L5L4GTB"/>
    <s v="Epson 003 65 ml for EcoTank L1110/L3100/L3101/L3110/L3115/L3116/L3150/L3151/L3152/L3156/L5190 Black Ink Bottle"/>
    <s v="Computers&amp;Accessories"/>
    <x v="0"/>
    <s v="Printers,Inks&amp;Accessories"/>
    <s v="InkjetInkCartridges"/>
    <n v="309"/>
    <n v="404"/>
    <n v="24"/>
    <n v="4.4000000000000004"/>
    <n v="8614"/>
    <n v="4.3041279110960948"/>
    <s v="High (1,000+)"/>
    <x v="0"/>
    <n v="67.7"/>
    <s v="Top 25%"/>
    <b v="0"/>
    <b v="0"/>
    <b v="0"/>
    <m/>
    <n v="1"/>
    <x v="0"/>
    <s v="https://www.amazon.in/Epson-003-Black-Ink-Bottle/dp/B07L5L4GTB/ref=sr_1_102?qid=1672903000&amp;s=computers&amp;sr=1-102"/>
  </r>
  <r>
    <s v="B07L8KNP5F"/>
    <s v="ZEBRONICS Zeb-Thunder Bluetooth Wireless Over Ear Headphone FM, mSD, 9 hrs Playback with Mic (Black)"/>
    <s v="Electronics"/>
    <x v="1"/>
    <s v="Headphones,Earbuds&amp;Accessories"/>
    <s v="On-Ear"/>
    <n v="599"/>
    <n v="1399"/>
    <n v="57"/>
    <n v="3.8"/>
    <n v="60026"/>
    <n v="3.8167889053933051"/>
    <s v="High (1,000+)"/>
    <x v="2"/>
    <n v="33.799999999999997"/>
    <s v="Bottom 25%"/>
    <b v="0"/>
    <b v="0"/>
    <b v="1"/>
    <m/>
    <n v="1"/>
    <x v="0"/>
    <s v="https://www.amazon.in/Zebronics-Zeb-Thunder-Bluetooth-Headphone-Input/dp/B07L8KNP5F/ref=sr_1_103?qid=1672903000&amp;s=computers&amp;sr=1-103"/>
  </r>
  <r>
    <s v="B08CF4SCNP"/>
    <s v="Quantum QHM-7406 Full-Sized Keyboard with ( ) Rupee Symbol, Hotkeys and 3-pieces LED function for Desktop/Laptop/Smart TV Spill-Resistant Wired USB Keyboard with 10 million keystrokes lifespan (Black)"/>
    <s v="Computers&amp;Accessories"/>
    <x v="0"/>
    <s v="Accessories&amp;Peripherals"/>
    <s v="Keyboards"/>
    <n v="299"/>
    <n v="599"/>
    <n v="50"/>
    <n v="3.8"/>
    <n v="3066"/>
    <n v="3.9568337250759051"/>
    <s v="High (1,000+)"/>
    <x v="0"/>
    <n v="32.6"/>
    <s v="Bottom 25%"/>
    <b v="0"/>
    <b v="0"/>
    <b v="1"/>
    <m/>
    <n v="1"/>
    <x v="0"/>
    <s v="https://www.amazon.in/Quantum-QHM-7406-Spill-Resistant-Wired-Keyboard/dp/B08CF4SCNP/ref=sr_1_104?qid=1672903000&amp;s=computers&amp;sr=1-104"/>
  </r>
  <r>
    <s v="B09XX51X2G"/>
    <s v="STRIFF Laptop Tabletop Stand, Fold-Up, Adjustable, Ventilated, Portable Holder for Desk, Aluminum Foldable Laptop Ergonomic Compatibility with up to 15.6-inch Laptop, All Mac, Tab, and Mobile (Silver)"/>
    <s v="Computers&amp;Accessories"/>
    <x v="0"/>
    <s v="Accessories&amp;Peripherals"/>
    <s v="Lapdesks"/>
    <n v="449"/>
    <n v="999"/>
    <n v="55"/>
    <n v="4"/>
    <n v="2102"/>
    <n v="4.0542994443994909"/>
    <s v="High (1,000+)"/>
    <x v="0"/>
    <n v="39.5"/>
    <s v="Below median"/>
    <b v="0"/>
    <b v="0"/>
    <b v="0"/>
    <n v="0.78"/>
    <n v="1"/>
    <x v="0"/>
    <s v="https://www.amazon.in/STRIFF-Adjustable-Ventilated-Ergonomic-Compatibility/dp/B09XX51X2G/ref=sr_1_105?qid=1672903000&amp;s=computers&amp;sr=1-105"/>
  </r>
  <r>
    <s v="B01M72LILF"/>
    <s v="Logitech M221 Wireless Mouse, Silent Buttons, 2.4 GHz with USB Mini Receiver, 1000 DPI Optical Tracking, 18-Month Battery Life, Ambidextrous PC / Mac / Laptop - Charcoal Grey"/>
    <s v="Computers&amp;Accessories"/>
    <x v="0"/>
    <s v="Accessories&amp;Peripherals"/>
    <s v="Mice"/>
    <n v="799"/>
    <n v="1295"/>
    <n v="38"/>
    <n v="4.4000000000000004"/>
    <n v="34852"/>
    <n v="4.3692716231384798"/>
    <s v="High (1,000+)"/>
    <x v="2"/>
    <n v="62.7"/>
    <s v="Top 25%"/>
    <b v="0"/>
    <b v="0"/>
    <b v="0"/>
    <n v="1.39"/>
    <n v="1"/>
    <x v="0"/>
    <s v="https://www.amazon.in/Logitech-Silent-Wireless-Mouse-Charcoal/dp/B01M72LILF/ref=sr_1_106?qid=1672903000&amp;s=computers&amp;sr=1-106"/>
  </r>
  <r>
    <s v="B00LZLQ624"/>
    <s v="Classmate Soft Cover 6 Subject Spiral Binding Notebook, Single Line, 300 Pages"/>
    <s v="OfficeProducts"/>
    <x v="2"/>
    <s v="OfficePaperProducts"/>
    <s v="WireboundNotebooks"/>
    <n v="157"/>
    <n v="160"/>
    <n v="2"/>
    <n v="4.5"/>
    <n v="8618"/>
    <n v="4.3737683527871098"/>
    <s v="High (1,000+)"/>
    <x v="0"/>
    <n v="59.1"/>
    <s v="Above median"/>
    <b v="0"/>
    <b v="0"/>
    <b v="0"/>
    <m/>
    <n v="1"/>
    <x v="0"/>
    <s v="https://www.amazon.in/Classmate-Premium-Subject-Notebook-Single/dp/B00LZLQ624/ref=sr_1_108?qid=1672903000&amp;s=computers&amp;sr=1-108"/>
  </r>
  <r>
    <s v="B09GB5B4BK"/>
    <s v="HP 150 Wireless USB Mouse with Ergonomic and ambidextrous Design, 1600 DPI Optical Tracking, 2.4 GHz Wireless connectivity, Dual-Function Scroll Wheel and 12 Month Long Battery Life. 3-Years Warranty."/>
    <s v="Computers&amp;Accessories"/>
    <x v="0"/>
    <s v="Accessories&amp;Peripherals"/>
    <s v="Mice"/>
    <n v="599"/>
    <n v="899"/>
    <n v="33"/>
    <n v="4"/>
    <n v="4018"/>
    <n v="4.0409278441849246"/>
    <s v="High (1,000+)"/>
    <x v="2"/>
    <n v="26.1"/>
    <s v="Bottom 25%"/>
    <b v="0"/>
    <b v="0"/>
    <b v="0"/>
    <n v="1.04"/>
    <n v="1"/>
    <x v="0"/>
    <s v="https://www.amazon.in/HP-150-Ambidextrous-Wireless-Mouse/dp/B09GB5B4BK/ref=sr_1_113?qid=1672903000&amp;s=computers&amp;sr=1-113"/>
  </r>
  <r>
    <s v="B015ZXUDD0"/>
    <s v="Duracell Rechargeable AA 1300mAh Batteries, 4Pcs"/>
    <s v="Electronics"/>
    <x v="1"/>
    <s v="GeneralPurposeBatteries&amp;BatteryChargers"/>
    <s v="RechargeableBatteries"/>
    <n v="479"/>
    <n v="599"/>
    <n v="20"/>
    <n v="4.3"/>
    <n v="11687"/>
    <n v="4.2475509946393606"/>
    <s v="High (1,000+)"/>
    <x v="0"/>
    <n v="51.7"/>
    <s v="Above median"/>
    <b v="0"/>
    <b v="0"/>
    <b v="0"/>
    <m/>
    <n v="1"/>
    <x v="0"/>
    <s v="https://www.amazon.in/Duracell-5000174-Rechargeable-Batteries-Green/dp/B015ZXUDD0/ref=sr_1_114?qid=1672903000&amp;s=computers&amp;sr=1-114"/>
  </r>
  <r>
    <s v="B09PL79D2X"/>
    <s v="boAt Airdopes 181 in-Ear True Wireless Earbuds with ENx  Tech, Beast  Mode(Low Latency Upto 60ms) for Gaming, with Mic, ASAP  Charge, 20H Playtime, Bluetooth v5.2, IPX4 &amp; IWP (Cool Grey)"/>
    <s v="Electronics"/>
    <x v="1"/>
    <s v="Headphones,Earbuds&amp;Accessories"/>
    <s v="In-Ear"/>
    <n v="1598"/>
    <n v="2990"/>
    <n v="47"/>
    <n v="3.8"/>
    <n v="11015"/>
    <n v="3.8724709248303708"/>
    <s v="High (1,000+)"/>
    <x v="4"/>
    <n v="22"/>
    <s v="Bottom 25%"/>
    <b v="0"/>
    <b v="0"/>
    <b v="1"/>
    <n v="1.68"/>
    <n v="1"/>
    <x v="0"/>
    <s v="https://www.amazon.in/Airdopes-181-Playtime-Bluetooth-Wireless/dp/B09PL79D2X/ref=sr_1_116?qid=1672903000&amp;s=computers&amp;sr=1-116"/>
  </r>
  <r>
    <s v="B098K3H92Z"/>
    <s v="TP-Link USB Bluetooth Adapter for PC, 5.0 Bluetooth Dongle Receiver (UB500) Supports Windows 11/10/8.1/7 for Desktop, Laptop, Mouse, Keyboard, Printers, Headsets, Speakers, PS4/ Xbox Controllers"/>
    <s v="Computers&amp;Accessories"/>
    <x v="0"/>
    <s v="NetworkingDevices"/>
    <s v="BluetoothAdapters"/>
    <n v="599"/>
    <n v="899"/>
    <n v="33"/>
    <n v="4.3"/>
    <n v="95116"/>
    <n v="4.2918049838102386"/>
    <s v="High (1,000+)"/>
    <x v="2"/>
    <n v="68.8"/>
    <s v="Top 25%"/>
    <b v="0"/>
    <b v="0"/>
    <b v="0"/>
    <m/>
    <n v="1"/>
    <x v="0"/>
    <s v="https://www.amazon.in/TP-Link-Bluetooth-Receiver-UB500-Controllers/dp/B098K3H92Z/ref=sr_1_117?qid=1672903000&amp;s=computers&amp;sr=1-117"/>
  </r>
  <r>
    <s v="B084PJSSQ1"/>
    <s v="SanDisk Ultra Dual Drive Luxe USB Type C Flash Drive (Silver, 128 GB, 5Y - SDDDC4-128G-I35)"/>
    <s v="Computers&amp;Accessories"/>
    <x v="0"/>
    <s v="ExternalDevices&amp;DataStorage"/>
    <s v="PenDrives"/>
    <n v="1299"/>
    <n v="3000"/>
    <n v="57"/>
    <n v="4.3"/>
    <n v="23022"/>
    <n v="4.2697470212877153"/>
    <s v="High (1,000+)"/>
    <x v="4"/>
    <n v="68.7"/>
    <s v="Top 25%"/>
    <b v="0"/>
    <b v="0"/>
    <b v="0"/>
    <n v="2.37"/>
    <n v="1"/>
    <x v="0"/>
    <s v="https://www.amazon.in/SanDisk-Ultra-Drive-Flash-128GB/dp/B084PJSSQ1/ref=sr_1_119?qid=1672903000&amp;s=computers&amp;sr=1-119"/>
  </r>
  <r>
    <s v="B097R25DP7"/>
    <s v="Noise ColorFit Pulse Smartwatch with 3.56 cm (1.4&quot;) Full Touch HD Display, SpO2, Heart Rate, Sleep Monitors &amp; 10-Day Battery - Jet Black"/>
    <s v="Electronics"/>
    <x v="1"/>
    <s v="WearableTechnology"/>
    <s v="SmartWatches"/>
    <n v="1599"/>
    <n v="4999"/>
    <n v="68"/>
    <n v="4"/>
    <n v="67951"/>
    <n v="4.0044404343907471"/>
    <s v="High (1,000+)"/>
    <x v="4"/>
    <n v="43.9"/>
    <s v="Below median"/>
    <b v="0"/>
    <b v="0"/>
    <b v="0"/>
    <n v="0.73"/>
    <n v="1"/>
    <x v="0"/>
    <s v="https://www.amazon.in/Noise-ColorFit-Smartwatch-Monitoring-Waterproof/dp/B097R25DP7/ref=sr_1_120?qid=1672903000&amp;s=computers&amp;sr=1-120"/>
  </r>
  <r>
    <s v="B097C564GC"/>
    <s v="rts [2 Pack] Mini USB C Type C Adapter Plug, Type C Female to USB A Male Charger Charging Cable Adapter Converter compatible for iPhone, Samsung S20 ultra/S21/S10/S8/S9/MacBook Pro iPad Silver"/>
    <s v="Computers&amp;Accessories"/>
    <x v="0"/>
    <s v="Accessories&amp;Peripherals"/>
    <s v="USBtoUSBAdapters"/>
    <n v="294"/>
    <n v="4999"/>
    <n v="94"/>
    <n v="4.3"/>
    <n v="4426"/>
    <n v="4.2010428151286332"/>
    <s v="High (1,000+)"/>
    <x v="0"/>
    <n v="81.599999999999994"/>
    <s v="Top 25%"/>
    <b v="0"/>
    <b v="0"/>
    <b v="0"/>
    <m/>
    <n v="1"/>
    <x v="0"/>
    <s v="https://www.amazon.in/rts-Adapter-Charging-Converter-compatible/dp/B097C564GC/ref=sr_1_121?qid=1672903001&amp;s=computers&amp;sr=1-121"/>
  </r>
  <r>
    <s v="B08CYNJ5KY"/>
    <s v="HP 682 Black Original Ink Cartridge"/>
    <s v="Computers&amp;Accessories"/>
    <x v="0"/>
    <s v="Printers,Inks&amp;Accessories"/>
    <s v="InkjetInkCartridges"/>
    <n v="828"/>
    <n v="861"/>
    <n v="4"/>
    <n v="4.2"/>
    <n v="4567"/>
    <n v="4.147888719812812"/>
    <s v="High (1,000+)"/>
    <x v="2"/>
    <n v="44.2"/>
    <s v="Below median"/>
    <b v="0"/>
    <b v="0"/>
    <b v="0"/>
    <m/>
    <n v="1"/>
    <x v="0"/>
    <s v="https://www.amazon.in/682-Black-Original-Ink-Cartridge/dp/B08CYNJ5KY/ref=sr_1_122?qid=1672903001&amp;s=computers&amp;sr=1-122"/>
  </r>
  <r>
    <s v="B00Y4ORQ46"/>
    <s v="Logitech H111 Wired On Ear Headphones With Mic Black"/>
    <s v="Electronics"/>
    <x v="1"/>
    <s v="Headphones,Earbuds&amp;Accessories"/>
    <s v="On-Ear"/>
    <n v="745"/>
    <n v="795"/>
    <n v="6"/>
    <n v="4"/>
    <n v="13797"/>
    <n v="4.0181348609972272"/>
    <s v="High (1,000+)"/>
    <x v="2"/>
    <n v="21.4"/>
    <s v="Bottom 25%"/>
    <b v="0"/>
    <b v="0"/>
    <b v="0"/>
    <m/>
    <n v="1"/>
    <x v="0"/>
    <s v="https://www.amazon.in/Logitech-H111-Stero-Headset-Black/dp/B00Y4ORQ46/ref=sr_1_123?qid=1672903001&amp;s=computers&amp;sr=1-123"/>
  </r>
  <r>
    <s v="B074CWD7MS"/>
    <s v="Digitek DTR 550 LW (67 Inch) Tripod For DSLR, Camera |Operating Height: 5.57 Feet | Maximum Load Capacity up to 4.5kg | Portable Lightweight Aluminum Tripod with 360 Degree Ball Head | Carry Bag Included (Black) (DTR 550LW)"/>
    <s v="Electronics"/>
    <x v="1"/>
    <s v="Cameras&amp;Photography"/>
    <s v="CompleteTripodUnits"/>
    <n v="1549"/>
    <n v="2495"/>
    <n v="38"/>
    <n v="4.4000000000000004"/>
    <n v="15137"/>
    <n v="4.3372173386428647"/>
    <s v="High (1,000+)"/>
    <x v="4"/>
    <n v="62"/>
    <s v="Top 25%"/>
    <b v="0"/>
    <b v="0"/>
    <b v="0"/>
    <m/>
    <n v="1"/>
    <x v="0"/>
    <s v="https://www.amazon.in/Digitek-DTR-550-LW-Tripod/dp/B074CWD7MS/ref=sr_1_124?qid=1672903001&amp;s=computers&amp;sr=1-124"/>
  </r>
  <r>
    <s v="B09C6HXFC1"/>
    <s v="Duracell USB Lightning Apple Certified (Mfi) Braided Sync &amp; Charge Cable For Iphone, Ipad And Ipod. Fast Charging Lightning Cable, 3.9 Feet (1.2M) - Black"/>
    <s v="Computers&amp;Accessories"/>
    <x v="0"/>
    <s v="Accessories&amp;Peripherals"/>
    <s v="USBCables"/>
    <n v="970"/>
    <n v="1799"/>
    <n v="46"/>
    <n v="4.5"/>
    <n v="815"/>
    <n v="4.1585885508860327"/>
    <s v="Medium (100-999)"/>
    <x v="2"/>
    <n v="52"/>
    <s v="Above median"/>
    <b v="0"/>
    <b v="0"/>
    <b v="0"/>
    <n v="3.24"/>
    <n v="1"/>
    <x v="0"/>
    <s v="https://www.amazon.in/DURACELL-Lightning-Certified-braided-Devices/dp/B09C6HXFC1/ref=sr_1_126?qid=1672903001&amp;s=computers&amp;sr=1-126"/>
  </r>
  <r>
    <s v="B00A0VCJPI"/>
    <s v="TP-Link TL-WA850RE Single_Band 300Mbps RJ45 Wireless Range Extender, Broadband/Wi-Fi Extender, Wi-Fi Booster/Hotspot with 1 Ethernet Port, Plug and Play, Built-in Access Point Mode, White"/>
    <s v="Computers&amp;Accessories"/>
    <x v="0"/>
    <s v="NetworkingDevices"/>
    <s v="Repeaters&amp;Extenders"/>
    <n v="1469"/>
    <n v="2499"/>
    <n v="41"/>
    <n v="4.2"/>
    <n v="156638"/>
    <n v="4.1972938930469734"/>
    <s v="High (1,000+)"/>
    <x v="4"/>
    <n v="59.2"/>
    <s v="Above median"/>
    <b v="0"/>
    <b v="0"/>
    <b v="0"/>
    <m/>
    <n v="1"/>
    <x v="0"/>
    <s v="https://www.amazon.in/TP-Link-TL-WA850RE-300Mbps-Universal-Extender/dp/B00A0VCJPI/ref=sr_1_127?qid=1672903001&amp;s=computers&amp;sr=1-127"/>
  </r>
  <r>
    <s v="B00UGZWM2I"/>
    <s v="COI Note Pad/Memo Book with Sticky Notes &amp; Clip Holder with Pen for Gifting"/>
    <s v="OfficeProducts"/>
    <x v="2"/>
    <s v="OfficePaperProducts"/>
    <s v="Notepads&amp;MemoBooks"/>
    <n v="198"/>
    <n v="800"/>
    <n v="75"/>
    <n v="4.0999999999999996"/>
    <n v="9344"/>
    <n v="4.0955891421570074"/>
    <s v="High (1,000+)"/>
    <x v="0"/>
    <n v="59.8"/>
    <s v="Above median"/>
    <b v="0"/>
    <b v="0"/>
    <b v="0"/>
    <m/>
    <n v="1"/>
    <x v="0"/>
    <s v="https://www.amazon.in/COI-Sticky-Notes-Holder-Gifting/dp/B00UGZWM2I/ref=sr_1_128?qid=1672903001&amp;s=computers&amp;sr=1-128"/>
  </r>
  <r>
    <s v="B00R1P3B4O"/>
    <s v="Fujifilm Instax Mini Single Pack 10 Sheets Instant Film for Fuji Instant Cameras"/>
    <s v="Electronics"/>
    <x v="1"/>
    <s v="Cameras&amp;Photography"/>
    <s v="Film"/>
    <n v="549"/>
    <n v="549"/>
    <n v="0"/>
    <n v="4.5"/>
    <n v="4875"/>
    <n v="4.3190667544637709"/>
    <s v="High (1,000+)"/>
    <x v="2"/>
    <n v="59.6"/>
    <s v="Above median"/>
    <b v="0"/>
    <b v="0"/>
    <b v="0"/>
    <m/>
    <n v="1"/>
    <x v="0"/>
    <s v="https://www.amazon.in/Fujifilm-Instax-Instant-Fuji-Cameras/dp/B00R1P3B4O/ref=sr_1_129?qid=1672903001&amp;s=computers&amp;sr=1-129"/>
  </r>
  <r>
    <s v="B0B3MWYCHQ"/>
    <s v="Fire-Boltt Ring 3 Smart Watch 1.8 Biggest Display with Advanced Bluetooth Calling Chip, Voice Assistance,118 Sports Modes, in Built Calculator &amp; Games, SpO2, Heart Rate Monitoring"/>
    <s v="Electronics"/>
    <x v="1"/>
    <s v="WearableTechnology"/>
    <s v="SmartWatches"/>
    <n v="2999"/>
    <n v="9999"/>
    <n v="70"/>
    <n v="4.2"/>
    <n v="20881"/>
    <n v="4.182386393640547"/>
    <s v="High (1,000+)"/>
    <x v="3"/>
    <n v="69"/>
    <s v="Top 25%"/>
    <b v="0"/>
    <b v="0"/>
    <b v="0"/>
    <n v="1.36"/>
    <n v="1"/>
    <x v="0"/>
    <s v="https://www.amazon.in/Fire-Boltt-Bluetooth-Assistance-Calculator-Monitoring/dp/B0B3MWYCHQ/ref=sr_1_130?qid=1672903001&amp;s=computers&amp;sr=1-130"/>
  </r>
  <r>
    <s v="B09DG9VNWB"/>
    <s v="Samsung Galaxy Watch4 Bluetooth(4.4 cm, Black, Compatible with Android only)"/>
    <s v="Electronics"/>
    <x v="1"/>
    <s v="WearableTechnology"/>
    <s v="SmartWatches"/>
    <n v="12000"/>
    <n v="29999"/>
    <n v="60"/>
    <n v="4.3"/>
    <n v="4744"/>
    <n v="4.2047421491425174"/>
    <s v="High (1,000+)"/>
    <x v="1"/>
    <n v="63.6"/>
    <s v="Top 25%"/>
    <b v="0"/>
    <b v="0"/>
    <b v="0"/>
    <n v="5.46"/>
    <n v="1"/>
    <x v="0"/>
    <s v="https://www.amazon.in/Samsung-Galaxy-Bluetooth-Compatible-Android/dp/B09DG9VNWB/ref=sr_1_131?qid=1672903001&amp;s=computers&amp;sr=1-131"/>
  </r>
  <r>
    <s v="B09Y5MP7C4"/>
    <s v="Noise Buds Vs104 Bluetooth Truly Wireless in Ear Earbuds with Mic, 30-Hours of Playtime, Instacharge, 13Mm Driver and Hyper Sync (Charcoal Black)"/>
    <s v="Electronics"/>
    <x v="1"/>
    <s v="Headphones,Earbuds&amp;Accessories"/>
    <s v="In-Ear"/>
    <n v="1299"/>
    <n v="3499"/>
    <n v="63"/>
    <n v="3.9"/>
    <n v="12452"/>
    <n v="3.9428436949446981"/>
    <s v="High (1,000+)"/>
    <x v="4"/>
    <n v="34.1"/>
    <s v="Bottom 25%"/>
    <b v="0"/>
    <b v="0"/>
    <b v="0"/>
    <n v="1.37"/>
    <n v="1"/>
    <x v="0"/>
    <s v="https://www.amazon.in/Noise-Bluetooth-Wireless-30-Hours-Instacharge/dp/B09Y5MP7C4/ref=sr_1_132?qid=1672903001&amp;s=computers&amp;sr=1-132"/>
  </r>
  <r>
    <s v="B01DJJVFPC"/>
    <s v="Duracell Ultra Alkaline AAA Battery, 8 Pcs"/>
    <s v="Electronics"/>
    <x v="1"/>
    <s v="GeneralPurposeBatteries&amp;BatteryChargers"/>
    <s v="DisposableBatteries"/>
    <n v="269"/>
    <n v="315"/>
    <n v="15"/>
    <n v="4.5"/>
    <n v="17810"/>
    <n v="4.4275554104383268"/>
    <s v="High (1,000+)"/>
    <x v="0"/>
    <n v="60.9"/>
    <s v="Top 25%"/>
    <b v="0"/>
    <b v="0"/>
    <b v="0"/>
    <m/>
    <n v="1"/>
    <x v="0"/>
    <s v="https://www.amazon.in/Duracell-Alkaline-Battery-Duralock-Technology/dp/B01DJJVFPC/ref=sr_1_133?qid=1672903001&amp;s=computers&amp;sr=1-133"/>
  </r>
  <r>
    <s v="B07DFYJRQV"/>
    <s v="JBL C200SI, Premium in Ear Wired Earphones with Mic, Signature Sound, One Button Multi-Function Remote, Angled Earbuds for Comfort fit (Blue)"/>
    <s v="Electronics"/>
    <x v="1"/>
    <s v="Headphones,Earbuds&amp;Accessories"/>
    <s v="In-Ear"/>
    <n v="799"/>
    <n v="1499"/>
    <n v="47"/>
    <n v="4.0999999999999996"/>
    <n v="53648"/>
    <n v="4.0989930255211293"/>
    <s v="High (1,000+)"/>
    <x v="2"/>
    <n v="52.7"/>
    <s v="Above median"/>
    <b v="0"/>
    <b v="0"/>
    <b v="0"/>
    <n v="0.84"/>
    <n v="1"/>
    <x v="0"/>
    <s v="https://www.amazon.in/JBL-C200SI-Ear-Headphones-Mystic/dp/B07DFYJRQV/ref=sr_1_134?qid=1672903001&amp;s=computers&amp;sr=1-134"/>
  </r>
  <r>
    <s v="B08L879JSN"/>
    <s v="Acer EK220Q 21.5 Inch (54.61 cm) Full HD (1920x1080) VA Panel LCD Monitor with LED Back Light I 250 Nits I HDMI, VGA Ports I Eye Care Features Like Bluelight Shield, Flickerless &amp; Comfy View (Black)"/>
    <s v="Computers&amp;Accessories"/>
    <x v="0"/>
    <s v="Monitors"/>
    <s v="Monitors"/>
    <n v="6299"/>
    <n v="13750"/>
    <n v="54"/>
    <n v="4.2"/>
    <n v="2014"/>
    <n v="4.1248574554974136"/>
    <s v="High (1,000+)"/>
    <x v="3"/>
    <n v="60.9"/>
    <s v="Top 25%"/>
    <b v="0"/>
    <b v="0"/>
    <b v="0"/>
    <m/>
    <n v="1"/>
    <x v="0"/>
    <s v="https://www.amazon.in/Acer-Features-Bluelight-Flickerless-Comfyview/dp/B08L879JSN/ref=sr_1_135?qid=1672903001&amp;s=computers&amp;sr=1-135"/>
  </r>
  <r>
    <s v="B08TDJNM3G"/>
    <s v="E-COSMOS 5V 1.2W Portable Flexible USB LED Light (Colors May Vary, Small) - Set of 2 Pieces"/>
    <s v="Computers&amp;Accessories"/>
    <x v="0"/>
    <s v="Accessories&amp;Peripherals"/>
    <s v="Lamps"/>
    <n v="59"/>
    <n v="59"/>
    <n v="0"/>
    <n v="3.8"/>
    <n v="5958"/>
    <n v="3.9101732515488719"/>
    <s v="High (1,000+)"/>
    <x v="0"/>
    <n v="22.5"/>
    <s v="Bottom 25%"/>
    <b v="0"/>
    <b v="0"/>
    <b v="1"/>
    <m/>
    <n v="1"/>
    <x v="0"/>
    <s v="https://www.amazon.in/COSMOS-Portable-Flexible-Light-Colours/dp/B08TDJNM3G/ref=sr_1_136?qid=1672903001&amp;s=computers&amp;sr=1-136"/>
  </r>
  <r>
    <s v="B06XSK3XL6"/>
    <s v="boAt Dual Port Rapid Car Charger (Qualcomm Certified) with Quick Charge 3.0 + Free Micro USB Cable - (Black)"/>
    <s v="Electronics"/>
    <x v="1"/>
    <s v="Mobiles&amp;Accessories"/>
    <s v="AutomobileChargers"/>
    <n v="571"/>
    <n v="999"/>
    <n v="43"/>
    <n v="4.3"/>
    <n v="38221"/>
    <n v="4.2806993007176821"/>
    <s v="High (1,000+)"/>
    <x v="2"/>
    <n v="74.7"/>
    <s v="Top 25%"/>
    <b v="0"/>
    <b v="0"/>
    <b v="0"/>
    <m/>
    <n v="1"/>
    <x v="0"/>
    <s v="https://www.amazon.in/Dual-Charger-Qualcomm-Certified-Charge/dp/B06XSK3XL6/ref=sr_1_137?qid=1672903001&amp;s=computers&amp;sr=1-137"/>
  </r>
  <r>
    <s v="B07YNTJ8ZM"/>
    <s v="Zebronics ZEB-COUNTY 3W Wireless Bluetooth Portable Speaker With Supporting Carry Handle, USB, SD Card, AUX, FM &amp; Call Function. (Green)"/>
    <s v="Electronics"/>
    <x v="1"/>
    <s v="HomeAudio"/>
    <s v="BluetoothSpeakers"/>
    <n v="549"/>
    <n v="999"/>
    <n v="45"/>
    <n v="3.9"/>
    <n v="64705"/>
    <n v="3.9101462605131019"/>
    <s v="High (1,000+)"/>
    <x v="2"/>
    <n v="31.1"/>
    <s v="Bottom 25%"/>
    <b v="0"/>
    <b v="0"/>
    <b v="0"/>
    <m/>
    <n v="1"/>
    <x v="0"/>
    <s v="https://www.amazon.in/Zebronics-Zeb-County-Bluetooth-Speaker-Function/dp/B07YNTJ8ZM/ref=sr_1_138?qid=1672903001&amp;s=computers&amp;sr=1-138"/>
  </r>
  <r>
    <s v="B08DPLCM6T"/>
    <s v="LG 80 cm (32 inches) HD Ready Smart LED TV 32LM563BPTC (Dark Iron Gray)"/>
    <s v="Electronics"/>
    <x v="1"/>
    <s v="HomeTheater,TV&amp;Video"/>
    <s v="SmartTelevisions"/>
    <n v="13490"/>
    <n v="21990"/>
    <n v="39"/>
    <n v="4.3"/>
    <n v="11976"/>
    <n v="4.2485140954780203"/>
    <s v="High (1,000+)"/>
    <x v="1"/>
    <n v="53.9"/>
    <s v="Above median"/>
    <b v="0"/>
    <b v="0"/>
    <b v="0"/>
    <n v="0.71"/>
    <n v="1"/>
    <x v="0"/>
    <s v="https://www.amazon.in/LG-inches-Ready-Smart-32LM563BPTC/dp/B08DPLCM6T/ref=sr_1_140?qid=1672903001&amp;s=computers&amp;sr=1-140"/>
  </r>
  <r>
    <s v="B07KR5P3YD"/>
    <s v="Zebronics Wired Keyboard and Mouse Combo with 104 Keys and a USB Mouse with 1200 DPI - JUDWAA 750"/>
    <s v="Computers&amp;Accessories"/>
    <x v="0"/>
    <s v="Accessories&amp;Peripherals"/>
    <s v="Keyboard&amp;MouseSets"/>
    <n v="448"/>
    <n v="699"/>
    <n v="36"/>
    <n v="3.9"/>
    <n v="17348"/>
    <n v="3.9329072779745058"/>
    <s v="High (1,000+)"/>
    <x v="0"/>
    <n v="21.1"/>
    <s v="Bottom 25%"/>
    <b v="0"/>
    <b v="0"/>
    <b v="0"/>
    <n v="0.34"/>
    <n v="1"/>
    <x v="0"/>
    <s v="https://www.amazon.in/Zebronics-Zeb-JUDWAA-750-Wired-Keyboard/dp/B07KR5P3YD/ref=sr_1_141?qid=1672903001&amp;s=computers&amp;sr=1-141"/>
  </r>
  <r>
    <s v="B08FB2LNSZ"/>
    <s v="JBL Tune 215BT, 16 Hrs Playtime with Quick Charge, in Ear Bluetooth Wireless Earphones with Mic, 12.5mm Premium Earbuds with Pure Bass, BT 5.0, Dual Pairing, Type C &amp; Voice Assistant Support (Black)"/>
    <s v="Electronics"/>
    <x v="1"/>
    <s v="Headphones,Earbuds&amp;Accessories"/>
    <s v="In-Ear"/>
    <n v="1499"/>
    <n v="2999"/>
    <n v="50"/>
    <n v="3.7"/>
    <n v="87798"/>
    <n v="3.7158058233810518"/>
    <s v="High (1,000+)"/>
    <x v="4"/>
    <n v="22.6"/>
    <s v="Bottom 25%"/>
    <b v="0"/>
    <b v="0"/>
    <b v="1"/>
    <n v="1.58"/>
    <n v="1"/>
    <x v="0"/>
    <s v="https://www.amazon.in/JBL-Playtime-Bluetooth-Earphones-Assistant/dp/B08FB2LNSZ/ref=sr_1_142?qid=1672903001&amp;s=computers&amp;sr=1-142"/>
  </r>
  <r>
    <s v="B01IBRHE3E"/>
    <s v="Gizga Essentials Professional 3-in-1 Cleaning Kit for Camera, Lens, Binocular, Laptop, TV, Monitor, Smartphone, Tablet (Includes: Cleaning Liquid 100ml, Plush Microfiber Cloth, Dust Removal Brush)"/>
    <s v="Electronics"/>
    <x v="1"/>
    <s v="Cameras&amp;Photography"/>
    <s v="CleaningKits"/>
    <n v="299"/>
    <n v="499"/>
    <n v="40"/>
    <n v="4.2"/>
    <n v="24432"/>
    <n v="4.1846047665920949"/>
    <s v="High (1,000+)"/>
    <x v="0"/>
    <n v="64.8"/>
    <s v="Top 25%"/>
    <b v="0"/>
    <b v="0"/>
    <b v="0"/>
    <m/>
    <n v="1"/>
    <x v="0"/>
    <s v="https://www.amazon.in/Essentials-Gz-Ck-101-Professional-Micro-Fiber-Antibacterial/dp/B01IBRHE3E/ref=sr_1_144?qid=1672903001&amp;s=computers&amp;sr=1-144"/>
  </r>
  <r>
    <s v="B01N6LU1VF"/>
    <s v="SanDisk Ultra Dual 64 GB USB 3.0 OTG Pen Drive (Black)"/>
    <s v="Computers&amp;Accessories"/>
    <x v="0"/>
    <s v="ExternalDevices&amp;DataStorage"/>
    <s v="PenDrives"/>
    <n v="579"/>
    <n v="1400"/>
    <n v="59"/>
    <n v="4.3"/>
    <n v="189104"/>
    <n v="4.2957985917288939"/>
    <s v="High (1,000+)"/>
    <x v="2"/>
    <n v="77.599999999999994"/>
    <s v="Top 25%"/>
    <b v="0"/>
    <b v="0"/>
    <b v="0"/>
    <n v="1.05"/>
    <n v="1"/>
    <x v="0"/>
    <s v="https://www.amazon.in/SanDisk-Ultra-Dual-64GB-Drive/dp/B01N6LU1VF/ref=sr_1_145?qid=1672903002&amp;s=computers&amp;sr=1-145"/>
  </r>
  <r>
    <s v="B07XLML2YS"/>
    <s v="TP-Link Tapo 360° 2MP 1080p Full HD Pan/Tilt Home Security Wi-Fi Smart Camera| Alexa Enabled| 2-Way Audio| Night Vision| Motion Detection| Sound and Light Alarm| Indoor CCTV (Tapo C200) White"/>
    <s v="Electronics"/>
    <x v="1"/>
    <s v="Cameras&amp;Photography"/>
    <s v="DomeCameras"/>
    <n v="2499"/>
    <n v="3299"/>
    <n v="24"/>
    <n v="4.2"/>
    <n v="93112"/>
    <n v="4.1955193481430184"/>
    <s v="High (1,000+)"/>
    <x v="4"/>
    <n v="47.8"/>
    <s v="Below median"/>
    <b v="0"/>
    <b v="0"/>
    <b v="0"/>
    <m/>
    <n v="1"/>
    <x v="0"/>
    <s v="https://www.amazon.in/TP-Link-Wireless-Security-Tapo-C200/dp/B07XLML2YS/ref=sr_1_146?qid=1672903002&amp;s=computers&amp;sr=1-146"/>
  </r>
  <r>
    <s v="B086WMSCN3"/>
    <s v="boAt Airdopes 171 in Ear Bluetooth True Wireless Earbuds with Upto 13 Hours Battery, IPX4, Bluetooth v5.0, Dual Tone Finish with Mic (Mysterious Blue)"/>
    <s v="Electronics"/>
    <x v="1"/>
    <s v="Headphones,Earbuds&amp;Accessories"/>
    <s v="In-Ear"/>
    <n v="1199"/>
    <n v="5999"/>
    <n v="80"/>
    <n v="3.9"/>
    <n v="47521"/>
    <n v="3.9135460546117331"/>
    <s v="High (1,000+)"/>
    <x v="4"/>
    <n v="38.9"/>
    <s v="Below median"/>
    <b v="0"/>
    <b v="0"/>
    <b v="0"/>
    <n v="1.26"/>
    <n v="1"/>
    <x v="0"/>
    <s v="https://www.amazon.in/Boat-Airdopes-171-Functionality-Resistance/dp/B086WMSCN3/ref=sr_1_147?qid=1672903002&amp;s=computers&amp;sr=1-147"/>
  </r>
  <r>
    <s v="B003B00484"/>
    <s v="Duracell Plus AAA Rechargeable Batteries (750 mAh) Pack of 4"/>
    <s v="Electronics"/>
    <x v="1"/>
    <s v="GeneralPurposeBatteries&amp;BatteryChargers"/>
    <s v="RechargeableBatteries"/>
    <n v="399"/>
    <n v="499"/>
    <n v="20"/>
    <n v="4.3"/>
    <n v="27201"/>
    <n v="4.2738301255245954"/>
    <s v="High (1,000+)"/>
    <x v="0"/>
    <n v="54.3"/>
    <s v="Above median"/>
    <b v="0"/>
    <b v="0"/>
    <b v="0"/>
    <m/>
    <n v="1"/>
    <x v="0"/>
    <s v="https://www.amazon.in/Duracell-AAA-750mAh-Rechargeable-Batteries/dp/B003B00484/ref=sr_1_148?qid=1672903002&amp;s=computers&amp;sr=1-148"/>
  </r>
  <r>
    <s v="B085194JFL"/>
    <s v="tizum HDMI to VGA Adapter Cable 1080P for Projector, Computer, Laptop, TV, Projectors &amp; TV"/>
    <s v="Electronics"/>
    <x v="1"/>
    <s v="HomeTheater,TV&amp;Video"/>
    <s v="HDMICables"/>
    <n v="279"/>
    <n v="499"/>
    <n v="44"/>
    <n v="3.7"/>
    <n v="10962"/>
    <n v="3.7982844301457308"/>
    <s v="High (1,000+)"/>
    <x v="0"/>
    <n v="32.700000000000003"/>
    <s v="Bottom 25%"/>
    <b v="0"/>
    <b v="0"/>
    <b v="1"/>
    <n v="0.73"/>
    <n v="1"/>
    <x v="0"/>
    <s v="https://www.amazon.in/Adapter-Projector-Computer-Laptop-Projectors/dp/B085194JFL/ref=sr_1_149?qid=1672903002&amp;s=computers&amp;sr=1-149"/>
  </r>
  <r>
    <s v="B003L62T7W"/>
    <s v="Logitech B100 Wired USB Mouse, 3 yr Warranty, 800 DPI Optical Tracking, Ambidextrous PC/Mac/Laptop - Black"/>
    <s v="Computers&amp;Accessories"/>
    <x v="0"/>
    <s v="Accessories&amp;Peripherals"/>
    <s v="Mice"/>
    <n v="279"/>
    <n v="375"/>
    <n v="26"/>
    <n v="4.3"/>
    <n v="31534"/>
    <n v="4.2770427405459692"/>
    <s v="High (1,000+)"/>
    <x v="0"/>
    <n v="62.1"/>
    <s v="Top 25%"/>
    <b v="0"/>
    <b v="0"/>
    <b v="0"/>
    <n v="0.49"/>
    <n v="1"/>
    <x v="0"/>
    <s v="https://www.amazon.in/Logitech-B100-Optical-Mouse-Black/dp/B003L62T7W/ref=sr_1_151?qid=1672903002&amp;s=computers&amp;sr=1-151"/>
  </r>
  <r>
    <s v="B09P18XVW6"/>
    <s v="Noise Pulse Buzz 1.69&quot; Bluetooth Calling Smart Watch with Call Function, 150 Watch Faces, 60 Sports Modes, Spo2 &amp; Heart Rate Monitoring, Calling Smart Watch for Men &amp; Women - Jet Black"/>
    <s v="Electronics"/>
    <x v="1"/>
    <s v="WearableTechnology"/>
    <s v="SmartWatches"/>
    <n v="2499"/>
    <n v="4999"/>
    <n v="50"/>
    <n v="3.9"/>
    <n v="7571"/>
    <n v="3.961295194924852"/>
    <s v="High (1,000+)"/>
    <x v="4"/>
    <n v="29.4"/>
    <s v="Bottom 25%"/>
    <b v="0"/>
    <b v="0"/>
    <b v="0"/>
    <n v="1.1399999999999999"/>
    <n v="2"/>
    <x v="1"/>
    <s v="https://www.amazon.in/Noise-ColorFit-Bluetooth-Monitoring-SmartWatch/dp/B09P18XVW6/ref=sr_1_152?qid=1672903002&amp;s=computers&amp;sr=1-152"/>
  </r>
  <r>
    <s v="B00LZLPYHW"/>
    <s v="Classmate 2100117 Soft Cover 6 Subject Spiral Binding Notebook, Single Line, 300 Pages"/>
    <s v="OfficeProducts"/>
    <x v="2"/>
    <s v="OfficePaperProducts"/>
    <s v="WireboundNotebooks"/>
    <n v="137"/>
    <n v="160"/>
    <n v="14"/>
    <n v="4.4000000000000004"/>
    <n v="6537"/>
    <n v="4.2847943193049014"/>
    <s v="High (1,000+)"/>
    <x v="0"/>
    <n v="58.5"/>
    <s v="Above median"/>
    <b v="0"/>
    <b v="0"/>
    <b v="0"/>
    <m/>
    <n v="1"/>
    <x v="0"/>
    <s v="https://www.amazon.in/Classmate-Premium-Subject-Notebook-Single/dp/B00LZLPYHW/ref=sr_1_153?qid=1672903002&amp;s=computers&amp;sr=1-153"/>
  </r>
  <r>
    <s v="B00NNQMYNE"/>
    <s v="AirCase Rugged Hard Drive Case for 2.5-inch Western Digital, Seagate, Toshiba, Portable Storage Shell for Gadget Hard Disk USB Cable Power Bank Mobile Charger Earphone, Waterproof (Black)"/>
    <s v="Computers&amp;Accessories"/>
    <x v="0"/>
    <s v="Accessories&amp;Peripherals"/>
    <s v="HardDiskBags"/>
    <n v="299"/>
    <n v="499"/>
    <n v="40"/>
    <n v="4.5"/>
    <n v="21010"/>
    <n v="4.4369134763015774"/>
    <s v="High (1,000+)"/>
    <x v="0"/>
    <n v="71.400000000000006"/>
    <s v="Top 25%"/>
    <b v="0"/>
    <b v="0"/>
    <b v="0"/>
    <m/>
    <n v="1"/>
    <x v="0"/>
    <s v="https://www.amazon.in/AirCase-External-Drive-2-5-Inch-Black/dp/B00NNQMYNE/ref=sr_1_155?qid=1672903002&amp;s=computers&amp;sr=1-155"/>
  </r>
  <r>
    <s v="B0B217Z5VK"/>
    <s v="Noise Buds VS402 Truly Wireless in Ear Earbuds, 35-Hours of Playtime, Instacharge, Quad Mic with ENC, Hyper Sync, Low Latency, 10mm Driver, Bluetooth v5.3 and Breathing LED Lights (Neon Black)"/>
    <s v="Electronics"/>
    <x v="1"/>
    <s v="Headphones,Earbuds&amp;Accessories"/>
    <s v="In-Ear"/>
    <n v="1799"/>
    <n v="3999"/>
    <n v="55"/>
    <n v="3.9"/>
    <n v="3517"/>
    <n v="3.9954308800990201"/>
    <s v="High (1,000+)"/>
    <x v="4"/>
    <n v="30"/>
    <s v="Bottom 25%"/>
    <b v="0"/>
    <b v="0"/>
    <b v="0"/>
    <n v="1.9"/>
    <n v="1"/>
    <x v="0"/>
    <s v="https://www.amazon.in/Noise-Wireless-Instacharge-Bluetooth-Breathing/dp/B0B217Z5VK/ref=sr_1_157?qid=1672903002&amp;s=computers&amp;sr=1-157"/>
  </r>
  <r>
    <s v="B07B88KQZ8"/>
    <s v="JBL Go 2, Wireless Portable Bluetooth Speaker with Mic, JBL Signature Sound, Vibrant Color Options with IPX7 Waterproof &amp; AUX (Blue)"/>
    <s v="Electronics"/>
    <x v="1"/>
    <s v="HomeAudio"/>
    <s v="BluetoothSpeakers"/>
    <n v="1999"/>
    <n v="2999"/>
    <n v="33"/>
    <n v="4.3"/>
    <n v="63899"/>
    <n v="4.2880240475260054"/>
    <s v="High (1,000+)"/>
    <x v="4"/>
    <n v="58.6"/>
    <s v="Above median"/>
    <b v="0"/>
    <b v="0"/>
    <b v="0"/>
    <m/>
    <n v="1"/>
    <x v="0"/>
    <s v="https://www.amazon.in/JBL-Portable-Waterproof-Bluetooth-Speaker/dp/B07B88KQZ8/ref=sr_1_158?qid=1672903002&amp;s=computers&amp;sr=1-158"/>
  </r>
  <r>
    <s v="B07Z3K96FR"/>
    <s v="Robustrion Tempered Glass Screen Protector for iPad 10.2 inch 9th Gen Generation 2021 8th Gen 2020 7th Gen 2019"/>
    <s v="Computers&amp;Accessories"/>
    <x v="0"/>
    <s v="Accessories&amp;Peripherals"/>
    <s v="ScreenProtectors"/>
    <n v="399"/>
    <n v="1499"/>
    <n v="73"/>
    <n v="4.0999999999999996"/>
    <n v="5730"/>
    <n v="4.0939098332031403"/>
    <s v="High (1,000+)"/>
    <x v="0"/>
    <n v="58.9"/>
    <s v="Above median"/>
    <b v="0"/>
    <b v="0"/>
    <b v="0"/>
    <n v="1.03"/>
    <n v="1"/>
    <x v="0"/>
    <s v="https://www.amazon.in/Robustrion-Anti-Scratch-iPad-10-2-inch/dp/B07Z3K96FR/ref=sr_1_160?qid=1672903002&amp;s=computers&amp;sr=1-160"/>
  </r>
  <r>
    <s v="B0756CLQWL"/>
    <s v="Redgear Pro Wireless Gamepad with 2.4GHz Wireless Technology, Integrated Dual Intensity Motor, Illuminated Keys for PC(Compatible with Windows 7/8/8.1/10 only)"/>
    <s v="Computers&amp;Accessories"/>
    <x v="0"/>
    <s v="Accessories&amp;Peripherals"/>
    <s v="Gamepads"/>
    <n v="1699"/>
    <n v="3999"/>
    <n v="58"/>
    <n v="4.2"/>
    <n v="25488"/>
    <n v="4.1851605644922589"/>
    <s v="High (1,000+)"/>
    <x v="4"/>
    <n v="59.9"/>
    <s v="Above median"/>
    <b v="0"/>
    <b v="0"/>
    <b v="0"/>
    <m/>
    <n v="1"/>
    <x v="0"/>
    <s v="https://www.amazon.in/Redgear-Pro-Wireless-Gamepad-Black/dp/B0756CLQWL/ref=sr_1_162?qid=1672903002&amp;s=computers&amp;sr=1-162"/>
  </r>
  <r>
    <s v="B004IO5BMQ"/>
    <s v="Logitech M235 Wireless Mouse, 1000 DPI Optical Tracking, 12 Month Life Battery, Compatible with Windows, Mac, Chromebook/PC/Laptop"/>
    <s v="Computers&amp;Accessories"/>
    <x v="0"/>
    <s v="Accessories&amp;Peripherals"/>
    <s v="Mice"/>
    <n v="699"/>
    <n v="995"/>
    <n v="30"/>
    <n v="4.5"/>
    <n v="54405"/>
    <n v="4.4731325756080427"/>
    <s v="High (1,000+)"/>
    <x v="2"/>
    <n v="62.2"/>
    <s v="Top 25%"/>
    <b v="0"/>
    <b v="0"/>
    <b v="0"/>
    <n v="1.22"/>
    <n v="1"/>
    <x v="0"/>
    <s v="https://www.amazon.in/Logitech-M235-Wireless-Mouse-Grey/dp/B004IO5BMQ/ref=sr_1_163?qid=1672903002&amp;s=computers&amp;sr=1-163"/>
  </r>
  <r>
    <s v="B09Z6WH2N1"/>
    <s v="STRIFF 12 Pieces Highly Flexible Silicone Micro USB Protector, Mouse Cable Protector, Suit for All Cell Phones, Computers and Chargers (White)"/>
    <s v="Electronics"/>
    <x v="1"/>
    <s v="Mobiles&amp;Accessories"/>
    <s v="D√©cor"/>
    <n v="95"/>
    <n v="499"/>
    <n v="81"/>
    <n v="4.2"/>
    <n v="1949"/>
    <n v="4.1240022921615713"/>
    <s v="High (1,000+)"/>
    <x v="0"/>
    <n v="79.8"/>
    <s v="Top 25%"/>
    <b v="0"/>
    <b v="0"/>
    <b v="0"/>
    <m/>
    <n v="2"/>
    <x v="1"/>
    <s v="https://www.amazon.in/STRIFF-Flexible-Silicone-Protector-Computers/dp/B09Z6WH2N1/ref=sr_1_164?qid=1672903002&amp;s=computers&amp;sr=1-164"/>
  </r>
  <r>
    <s v="B01HGCLUH6"/>
    <s v="TP-link N300 WiFi Wireless Router TL-WR845N | 300Mbps Wi-Fi Speed | Three 5dBi high gain Antennas | IPv6 Compatible | AP/RE/WISP Mode | Parental Control | Guest Network"/>
    <s v="Computers&amp;Accessories"/>
    <x v="0"/>
    <s v="NetworkingDevices"/>
    <s v="Routers"/>
    <n v="1149"/>
    <n v="1699"/>
    <n v="32"/>
    <n v="4.2"/>
    <n v="122478"/>
    <n v="4.1965616350670416"/>
    <s v="High (1,000+)"/>
    <x v="4"/>
    <n v="58"/>
    <s v="Above median"/>
    <b v="0"/>
    <b v="0"/>
    <b v="0"/>
    <m/>
    <n v="1"/>
    <x v="0"/>
    <s v="https://www.amazon.in/TP-Link-TL-WR845N-300Mbps-Wireless-N-Router/dp/B01HGCLUH6/ref=sr_1_165?qid=1672903002&amp;s=computers&amp;sr=1-165"/>
  </r>
  <r>
    <s v="B01N4EV2TL"/>
    <s v="Logitech MK240 Nano Wireless USB Keyboard and Mouse Set, 12 Function Keys 2.4GHz Wireless, 1000DPI, Spill-Resistant Design, PC/Mac, Black/Chartreuse Yellow"/>
    <s v="Computers&amp;Accessories"/>
    <x v="0"/>
    <s v="Accessories&amp;Peripherals"/>
    <s v="Keyboard&amp;MouseSets"/>
    <n v="1495"/>
    <n v="1995"/>
    <n v="25"/>
    <n v="4.3"/>
    <n v="7241"/>
    <n v="4.2263588032608546"/>
    <s v="High (1,000+)"/>
    <x v="4"/>
    <n v="49.7"/>
    <s v="Below median"/>
    <b v="0"/>
    <b v="0"/>
    <b v="0"/>
    <n v="1.1299999999999999"/>
    <n v="1"/>
    <x v="0"/>
    <s v="https://www.amazon.in/Logitech-MK240-NANO-Mouse-Keyboard/dp/B01N4EV2TL/ref=sr_1_166?qid=1672903002&amp;s=computers&amp;sr=1-166"/>
  </r>
  <r>
    <s v="B08MZQBFLN"/>
    <s v="Callas Multipurpose Foldable Laptop Table with Cup Holder | Drawer | Mac Holder | Table Holder Study Table, Breakfast Table, Foldable and Portable/Ergonomic &amp; Rounded Edges/Non-Slip Legs (WA-27-Black)"/>
    <s v="Computers&amp;Accessories"/>
    <x v="0"/>
    <s v="Accessories&amp;Peripherals"/>
    <s v="Lapdesks"/>
    <n v="849"/>
    <n v="4999"/>
    <n v="83"/>
    <n v="4"/>
    <n v="20457"/>
    <n v="4.0131480456525033"/>
    <s v="High (1,000+)"/>
    <x v="2"/>
    <n v="41.8"/>
    <s v="Below median"/>
    <b v="0"/>
    <b v="0"/>
    <b v="0"/>
    <n v="1.48"/>
    <n v="1"/>
    <x v="0"/>
    <s v="https://www.amazon.in/Callas-Multipurpose-Breakfast-Ergonomic-WA-27-Black/dp/B08MZQBFLN/ref=sr_1_167?qid=1672903002&amp;s=computers&amp;sr=1-167"/>
  </r>
  <r>
    <s v="B0752LL57V"/>
    <s v="Casio MJ-12D 150 Steps Check and Correct Desktop Calculator"/>
    <s v="OfficeProducts"/>
    <x v="2"/>
    <s v="OfficeElectronics"/>
    <s v="Basic"/>
    <n v="440"/>
    <n v="440"/>
    <n v="0"/>
    <n v="4.5"/>
    <n v="8610"/>
    <n v="4.3736867320008743"/>
    <s v="High (1,000+)"/>
    <x v="0"/>
    <n v="60.3"/>
    <s v="Above median"/>
    <b v="0"/>
    <b v="0"/>
    <b v="0"/>
    <m/>
    <n v="1"/>
    <x v="0"/>
    <s v="https://www.amazon.in/Casio-MJ-12D-Desktop-Calculator-Grey/dp/B0752LL57V/ref=sr_1_168?qid=1672903002&amp;s=computers&amp;sr=1-168"/>
  </r>
  <r>
    <s v="B09Z28BQZT"/>
    <s v="Amazon Basics Multipurpose Foldable Laptop Table with Cup Holder, Brown"/>
    <s v="Computers&amp;Accessories"/>
    <x v="0"/>
    <s v="Accessories&amp;Peripherals"/>
    <s v="Lapdesks"/>
    <n v="599"/>
    <n v="3999"/>
    <n v="85"/>
    <n v="3.9"/>
    <n v="1087"/>
    <n v="4.0432496322674121"/>
    <s v="High (1,000+)"/>
    <x v="2"/>
    <n v="47.4"/>
    <s v="Below median"/>
    <b v="0"/>
    <b v="0"/>
    <b v="0"/>
    <n v="1.04"/>
    <n v="1"/>
    <x v="0"/>
    <s v="https://www.amazon.in/Amazon-Basics-Multipurpose-Foldable-Laptop/dp/B09Z28BQZT/ref=sr_1_170?qid=1672903004&amp;s=computers&amp;sr=1-170"/>
  </r>
  <r>
    <s v="B094DQWV9B"/>
    <s v="Kanget [2 Pack] Type C Female to USB A Male Charger | Charging Cable Adapter Converter compatible for iPhone 14, 13, 12,11 Pro Max/Mini/XR/XS/X/SE, Samsung S20 ultra/S21/S10/S8/S9/MacBook Pro iPad (Grey)"/>
    <s v="Computers&amp;Accessories"/>
    <x v="0"/>
    <s v="Accessories&amp;Peripherals"/>
    <s v="USBtoUSBAdapters"/>
    <n v="149"/>
    <n v="399"/>
    <n v="63"/>
    <n v="4"/>
    <n v="1540"/>
    <n v="4.0600545198832281"/>
    <s v="High (1,000+)"/>
    <x v="0"/>
    <n v="53.1"/>
    <s v="Above median"/>
    <b v="0"/>
    <b v="0"/>
    <b v="0"/>
    <m/>
    <n v="1"/>
    <x v="0"/>
    <s v="https://www.amazon.in/Kanget-Female-Adapter-Standard-Interface/dp/B094DQWV9B/ref=sr_1_171?qid=1672903004&amp;s=computers&amp;sr=1-171"/>
  </r>
  <r>
    <s v="B0BBMPH39N"/>
    <s v="Amazon Basics Magic Slate 8.5-inch LCD Writing Tablet with Stylus Pen, for Drawing, Playing, Noting by Kids &amp; Adults, Black"/>
    <s v="Computers&amp;Accessories"/>
    <x v="0"/>
    <s v="Accessories&amp;Peripherals"/>
    <s v="GraphicTablets"/>
    <n v="289"/>
    <n v="999"/>
    <n v="71"/>
    <n v="4.0999999999999996"/>
    <n v="401"/>
    <n v="4.0861148292736438"/>
    <s v="Medium (100-999)"/>
    <x v="0"/>
    <n v="57.4"/>
    <s v="Above median"/>
    <b v="0"/>
    <b v="0"/>
    <b v="0"/>
    <n v="1"/>
    <n v="1"/>
    <x v="0"/>
    <s v="https://www.amazon.in/Amazon-Basics-8-5-inch-Writing-Drawing/dp/B0BBMPH39N/ref=sr_1_173?qid=1672903004&amp;s=computers&amp;sr=1-173"/>
  </r>
  <r>
    <s v="B097JQ1J5G"/>
    <s v="Zebronics ZEB-90HB USB Hub, 4 Ports, Pocket Sized, Plug &amp; Play, for Laptop &amp; Computers"/>
    <s v="Computers&amp;Accessories"/>
    <x v="0"/>
    <s v="Accessories&amp;Peripherals"/>
    <s v="USBHubs"/>
    <n v="179"/>
    <n v="499"/>
    <n v="64"/>
    <n v="3.4"/>
    <n v="9385"/>
    <n v="3.5959261526283179"/>
    <s v="High (1,000+)"/>
    <x v="0"/>
    <n v="38.700000000000003"/>
    <s v="Below median"/>
    <b v="0"/>
    <b v="0"/>
    <b v="1"/>
    <m/>
    <n v="1"/>
    <x v="0"/>
    <s v="https://www.amazon.in/Zebronics-ZEB-90HB-Pocket-Laptop-Computers/dp/B097JQ1J5G/ref=sr_1_174?qid=1672903004&amp;s=computers&amp;sr=1-174"/>
  </r>
  <r>
    <s v="B07YY1BY5B"/>
    <s v="Noise ColorFit Pro 2 Full Touch Control Smart Watch with 35g Weight &amp; Upgraded LCD Display,IP68 Waterproof,Heart Rate Monitor,Sleep &amp; Step Tracker,Call &amp; Message Alerts &amp; Long Battery Life (Jet Black)"/>
    <s v="Electronics"/>
    <x v="1"/>
    <s v="WearableTechnology"/>
    <s v="SmartWatches"/>
    <n v="1499"/>
    <n v="4999"/>
    <n v="70"/>
    <n v="4"/>
    <n v="92588"/>
    <n v="4.0033050071528518"/>
    <s v="High (1,000+)"/>
    <x v="4"/>
    <n v="44.9"/>
    <s v="Below median"/>
    <b v="0"/>
    <b v="0"/>
    <b v="0"/>
    <n v="0.68"/>
    <n v="2"/>
    <x v="1"/>
    <s v="https://www.amazon.in/Noise-Colorfit-Pro-Touch-Control/dp/B07YY1BY5B/ref=sr_1_175?qid=1672903004&amp;s=computers&amp;sr=1-175"/>
  </r>
  <r>
    <s v="B08VRMK55F"/>
    <s v="Zebronics Zeb Buds C2 in Ear Type C Wired Earphones with Mic, Braided 1.2 Metre Cable, Metallic Design, 10mm Drivers, in Line Mic &amp; Volume Controller (Blue)"/>
    <s v="Electronics"/>
    <x v="1"/>
    <s v="Headphones,Earbuds&amp;Accessories"/>
    <s v="In-Ear"/>
    <n v="399"/>
    <n v="699"/>
    <n v="43"/>
    <n v="3.4"/>
    <n v="3454"/>
    <n v="3.7569513048819809"/>
    <s v="High (1,000+)"/>
    <x v="0"/>
    <n v="29.2"/>
    <s v="Bottom 25%"/>
    <b v="0"/>
    <b v="0"/>
    <b v="1"/>
    <n v="0.42"/>
    <n v="1"/>
    <x v="0"/>
    <s v="https://www.amazon.in/Zeb-Buds-C2-Controller-Blue/dp/B08VRMK55F/ref=sr_1_176?qid=1672903004&amp;s=computers&amp;sr=1-176"/>
  </r>
  <r>
    <s v="B08CHZ3ZQ7"/>
    <s v="Redgear A-15 Wired Gaming Mouse with Upto 6400 DPI, RGB &amp; Driver Customization for PC(Black)"/>
    <s v="Computers&amp;Accessories"/>
    <x v="0"/>
    <s v="Accessories&amp;Peripherals"/>
    <s v="GamingMice"/>
    <n v="599"/>
    <n v="799"/>
    <n v="25"/>
    <n v="4.3"/>
    <n v="15790"/>
    <n v="4.2585571712916916"/>
    <s v="High (1,000+)"/>
    <x v="2"/>
    <n v="54.4"/>
    <s v="Above median"/>
    <b v="0"/>
    <b v="0"/>
    <b v="0"/>
    <m/>
    <n v="1"/>
    <x v="0"/>
    <s v="https://www.amazon.in/Redgear-Gaming-Semi-Honeycomb-Windows-Gamers/dp/B08CHZ3ZQ7/ref=sr_1_177?qid=1672903004&amp;s=computers&amp;sr=1-177"/>
  </r>
  <r>
    <s v="B08SCCG9D4"/>
    <s v="JBL Commercial CSLM20B Auxiliary Omnidirectional Lavalier Microphone with Battery for Content Creation, Voiceover/Dubbing, Recording (Black,Small)"/>
    <s v="Computers&amp;Accessories"/>
    <x v="0"/>
    <s v="Accessories&amp;Peripherals"/>
    <s v="PCMicrophones"/>
    <n v="949"/>
    <n v="2000"/>
    <n v="53"/>
    <n v="3.9"/>
    <n v="14969"/>
    <n v="3.9370866770776942"/>
    <s v="High (1,000+)"/>
    <x v="2"/>
    <n v="25.8"/>
    <s v="Bottom 25%"/>
    <b v="0"/>
    <b v="0"/>
    <b v="0"/>
    <m/>
    <n v="1"/>
    <x v="0"/>
    <s v="https://www.amazon.in/JBL-Commercial-Omnidirectional-Microphone-Recording/dp/B08SCCG9D4/ref=sr_1_179?qid=1672903004&amp;s=computers&amp;sr=1-179"/>
  </r>
  <r>
    <s v="B0972BQ2RS"/>
    <s v="Fire-Boltt India's No 1 Smartwatch Brand Ring Bluetooth Calling with SpO2 &amp; 1.7” Metal Body with Blood Oxygen Monitoring, Continuous Heart Rate, Full Touch &amp; Multiple Watch Faces"/>
    <s v="Electronics"/>
    <x v="1"/>
    <s v="WearableTechnology"/>
    <s v="SmartWatches"/>
    <n v="2499"/>
    <n v="9999"/>
    <n v="75"/>
    <n v="4.0999999999999996"/>
    <n v="42139"/>
    <n v="4.0987405442454126"/>
    <s v="High (1,000+)"/>
    <x v="4"/>
    <n v="62.4"/>
    <s v="Top 25%"/>
    <b v="0"/>
    <b v="0"/>
    <b v="0"/>
    <n v="1.1399999999999999"/>
    <n v="1"/>
    <x v="0"/>
    <s v="https://www.amazon.in/Fire-Boltt-Smartwatch-Monitoring-Continuous-BSW005/dp/B0972BQ2RS/ref=sr_1_180?qid=1672903004&amp;s=computers&amp;sr=1-180"/>
  </r>
  <r>
    <s v="B00ZRBWPA0"/>
    <s v="Eveready Red 1012 AAA Batteries - Pack of 10"/>
    <s v="Electronics"/>
    <x v="1"/>
    <s v="GeneralPurposeBatteries&amp;BatteryChargers"/>
    <s v="DisposableBatteries"/>
    <n v="159"/>
    <n v="180"/>
    <n v="12"/>
    <n v="4.3"/>
    <n v="989"/>
    <n v="4.1294620839063061"/>
    <s v="Medium (100-999)"/>
    <x v="0"/>
    <n v="47.1"/>
    <s v="Below median"/>
    <b v="0"/>
    <b v="0"/>
    <b v="0"/>
    <m/>
    <n v="1"/>
    <x v="0"/>
    <s v="https://www.amazon.in/Eveready-Alkaline-Batteries-1012-Battery/dp/B00ZRBWPA0/ref=sr_1_181?qid=1672903004&amp;s=computers&amp;sr=1-181"/>
  </r>
  <r>
    <s v="B0B2DD66GS"/>
    <s v="SanDisk Extreme microSD UHS I Card 128GB for 4K Video on Smartphones,Action Cams 190MB/s Read,90MB/s Write"/>
    <s v="Electronics"/>
    <x v="1"/>
    <s v="Accessories"/>
    <s v="MicroSD"/>
    <n v="1329"/>
    <n v="2900"/>
    <n v="54"/>
    <n v="4.5"/>
    <n v="19624"/>
    <n v="4.4331746559630902"/>
    <s v="High (1,000+)"/>
    <x v="4"/>
    <n v="72"/>
    <s v="Top 25%"/>
    <b v="0"/>
    <b v="0"/>
    <b v="0"/>
    <m/>
    <n v="1"/>
    <x v="0"/>
    <s v="https://www.amazon.in/SanDisk-Extreme-microSD-Smartphones-Action/dp/B0B2DD66GS/ref=sr_1_182?qid=1672903004&amp;s=computers&amp;sr=1-182"/>
  </r>
  <r>
    <s v="B09M869Z5V"/>
    <s v="Portronics MPORT 31C 4-in-1 USB Hub (Type C to 4 USB-A Ports) with Fast Data Transfer"/>
    <s v="Computers&amp;Accessories"/>
    <x v="0"/>
    <s v="Accessories&amp;Peripherals"/>
    <s v="USBHubs"/>
    <n v="570"/>
    <n v="999"/>
    <n v="43"/>
    <n v="4.2"/>
    <n v="3201"/>
    <n v="4.1376662729490654"/>
    <s v="High (1,000+)"/>
    <x v="2"/>
    <n v="50.8"/>
    <s v="Above median"/>
    <b v="0"/>
    <b v="0"/>
    <b v="0"/>
    <m/>
    <n v="1"/>
    <x v="0"/>
    <s v="https://www.amazon.in/Portronics-MPORT-Type-Ports-Transfer/dp/B09M869Z5V/ref=sr_1_183?qid=1672903004&amp;s=computers&amp;sr=1-183"/>
  </r>
  <r>
    <s v="B07W6VWZ8C"/>
    <s v="Infinity (JBL Fuze Pint, Wireless Ultra Portable Mini Speaker with Mic, Deep Bass, Dual Equalizer, Bluetooth 5.0 with Voice Assistant Support for Mobiles (Black)"/>
    <s v="Electronics"/>
    <x v="1"/>
    <s v="HomeAudio"/>
    <s v="OutdoorSpeakers"/>
    <n v="899"/>
    <n v="1999"/>
    <n v="55"/>
    <n v="4.0999999999999996"/>
    <n v="30469"/>
    <n v="4.0983111780576609"/>
    <s v="High (1,000+)"/>
    <x v="2"/>
    <n v="56.8"/>
    <s v="Above median"/>
    <b v="0"/>
    <b v="0"/>
    <b v="0"/>
    <m/>
    <n v="1"/>
    <x v="0"/>
    <s v="https://www.amazon.in/Infinity-Fuze-Pint-Portable-Wireless/dp/B07W6VWZ8C/ref=sr_1_184?qid=1672903004&amp;s=computers&amp;sr=1-184"/>
  </r>
  <r>
    <s v="B07Z1X6VFC"/>
    <s v="AirCase Protective Laptop Bag Sleeve fits Upto 13.3&quot; Laptop/ MacBook, Wrinkle Free, Padded, Waterproof Light Neoprene case Cover Pouch, for Men &amp; Women, Black- 6 Months Warranty"/>
    <s v="Computers&amp;Accessories"/>
    <x v="0"/>
    <s v="Accessories&amp;Peripherals"/>
    <s v="LaptopSleeves&amp;Slipcases"/>
    <n v="449"/>
    <n v="999"/>
    <n v="55"/>
    <n v="4.4000000000000004"/>
    <n v="9940"/>
    <n v="4.3134055166342513"/>
    <s v="High (1,000+)"/>
    <x v="0"/>
    <n v="72.3"/>
    <s v="Top 25%"/>
    <b v="0"/>
    <b v="0"/>
    <b v="0"/>
    <m/>
    <n v="1"/>
    <x v="0"/>
    <s v="https://www.amazon.in/AirCase-13-Inch-13-3-Inch-MacBook-Neoprene/dp/B07Z1X6VFC/ref=sr_1_185?qid=1672903004&amp;s=computers&amp;sr=1-185"/>
  </r>
  <r>
    <s v="B07YL54NVJ"/>
    <s v="Brand Conquer 6 in 1 with OTG, SD Card Reader, USB Type C, USB 3.0 and Micro USB, for Memory Card | Portable Card Reader | Compatible with TF, SD, Micro SD, SDHC, SDXC, MMC, RS-MMC, Micro SDXC"/>
    <s v="Computers&amp;Accessories"/>
    <x v="0"/>
    <s v="ExternalDevices&amp;DataStorage"/>
    <s v="ExternalMemoryCardReaders"/>
    <n v="549"/>
    <n v="999"/>
    <n v="45"/>
    <n v="4.3"/>
    <n v="7758"/>
    <n v="4.2296635642273177"/>
    <s v="High (1,000+)"/>
    <x v="2"/>
    <n v="66.900000000000006"/>
    <s v="Top 25%"/>
    <b v="0"/>
    <b v="0"/>
    <b v="0"/>
    <m/>
    <n v="1"/>
    <x v="0"/>
    <s v="https://www.amazon.in/Brand-Conquer-Reader-Adapter-Portable/dp/B07YL54NVJ/ref=sr_1_186?qid=1672903004&amp;s=computers&amp;sr=1-186"/>
  </r>
  <r>
    <s v="B0759QMF85"/>
    <s v="TP-Link AC750 Dual Band Wireless Cable Router, 4 10/100 LAN + 10/100 WAN Ports, Support Guest Network and Parental Control, 750Mbps Speed Wi-Fi, 3 Antennas (Archer C20) Blue, 2.4 GHz"/>
    <s v="Computers&amp;Accessories"/>
    <x v="0"/>
    <s v="NetworkingDevices"/>
    <s v="Routers"/>
    <n v="1529"/>
    <n v="2399"/>
    <n v="36"/>
    <n v="4.3"/>
    <n v="68409"/>
    <n v="4.2887724252881094"/>
    <s v="High (1,000+)"/>
    <x v="4"/>
    <n v="62"/>
    <s v="Top 25%"/>
    <b v="0"/>
    <b v="0"/>
    <b v="0"/>
    <m/>
    <n v="1"/>
    <x v="0"/>
    <s v="https://www.amazon.in/TP-Link-Archer-C20-Wireless-Router/dp/B0759QMF85/ref=sr_1_187?qid=1672903004&amp;s=computers&amp;sr=1-187"/>
  </r>
  <r>
    <s v="B00LM4X0KU"/>
    <s v="Parker Quink Ink Bottle, Blue"/>
    <s v="OfficeProducts"/>
    <x v="2"/>
    <s v="OfficePaperProducts"/>
    <s v="BottledInk"/>
    <n v="100"/>
    <n v="100"/>
    <n v="0"/>
    <n v="4.3"/>
    <n v="3095"/>
    <n v="4.1818358135881608"/>
    <s v="High (1,000+)"/>
    <x v="0"/>
    <n v="50.7"/>
    <s v="Above median"/>
    <b v="0"/>
    <b v="0"/>
    <b v="0"/>
    <m/>
    <n v="1"/>
    <x v="0"/>
    <s v="https://www.amazon.in/Parker-Quink-Ink-Bottle-Blue/dp/B00LM4X0KU/ref=sr_1_188?qid=1672903004&amp;s=computers&amp;sr=1-188"/>
  </r>
  <r>
    <s v="B08PFSZ7FH"/>
    <s v="STRIFF Laptop Stand Adjustable Laptop Computer Stand Multi-Angle Stand Phone Stand Portable Foldable Laptop Riser Notebook Holder Stand Compatible for 9 to 15.6” Laptops Black(Black)"/>
    <s v="Computers&amp;Accessories"/>
    <x v="0"/>
    <s v="Accessories&amp;Peripherals"/>
    <s v="NotebookComputerStands"/>
    <n v="299"/>
    <n v="1499"/>
    <n v="80"/>
    <n v="4.2"/>
    <n v="903"/>
    <n v="4.1069636891396017"/>
    <s v="Medium (100-999)"/>
    <x v="0"/>
    <n v="69.400000000000006"/>
    <s v="Top 25%"/>
    <b v="0"/>
    <b v="0"/>
    <b v="0"/>
    <m/>
    <n v="1"/>
    <x v="0"/>
    <s v="https://www.amazon.in/STRIFF-Adjustable-Computer-Multi-Angle-Compatible/dp/B08PFSZ7FH/ref=sr_1_189?qid=1672903004&amp;s=computers&amp;sr=1-189"/>
  </r>
  <r>
    <s v="B012MQS060"/>
    <s v="Logitech MK215 Wireless Keyboard and Mouse Combo for Windows, 2.4 GHz Wireless, Compact Design, 2-Year Battery Life(Keyboard),5 Month Battery Life(Mouse) PC/Laptop- Black"/>
    <s v="Computers&amp;Accessories"/>
    <x v="0"/>
    <s v="Accessories&amp;Peripherals"/>
    <s v="Keyboard&amp;MouseSets"/>
    <n v="1295"/>
    <n v="1795"/>
    <n v="28"/>
    <n v="4.0999999999999996"/>
    <n v="25771"/>
    <n v="4.0980425310810027"/>
    <s v="High (1,000+)"/>
    <x v="4"/>
    <n v="36.9"/>
    <s v="Bottom 25%"/>
    <b v="0"/>
    <b v="0"/>
    <b v="0"/>
    <n v="0.98"/>
    <n v="1"/>
    <x v="0"/>
    <s v="https://www.amazon.in/Logitech-MK215-Wireless-Keyboard-Mouse/dp/B012MQS060/ref=sr_1_190?qid=1672903004&amp;s=computers&amp;sr=1-190"/>
  </r>
  <r>
    <s v="B01MF8MB65"/>
    <s v="boAt Bassheads 225 in Ear Wired Earphones with Mic(Blue)"/>
    <s v="Electronics"/>
    <x v="1"/>
    <s v="Headphones,Earbuds&amp;Accessories"/>
    <s v="In-Ear"/>
    <n v="699"/>
    <n v="999"/>
    <n v="30"/>
    <n v="4.0999999999999996"/>
    <n v="273189"/>
    <n v="4.0997912598114858"/>
    <s v="High (1,000+)"/>
    <x v="2"/>
    <n v="47.7"/>
    <s v="Below median"/>
    <b v="0"/>
    <b v="0"/>
    <b v="0"/>
    <n v="0.74"/>
    <n v="1"/>
    <x v="0"/>
    <s v="https://www.amazon.in/boAt-BassHeads-225-Special-Headphones/dp/B01MF8MB65/ref=sr_1_191?qid=1672903004&amp;s=computers&amp;sr=1-191"/>
  </r>
  <r>
    <s v="B00LHZWD0C"/>
    <s v="Luxor 5 Subject Single Ruled Notebook - A4, 70 GSM, 300 pages"/>
    <s v="OfficeProducts"/>
    <x v="2"/>
    <s v="OfficePaperProducts"/>
    <s v="CompositionNotebooks"/>
    <n v="252"/>
    <n v="315"/>
    <n v="20"/>
    <n v="4.5"/>
    <n v="3785"/>
    <n v="4.29293661367086"/>
    <s v="High (1,000+)"/>
    <x v="0"/>
    <n v="55.4"/>
    <s v="Above median"/>
    <b v="0"/>
    <b v="0"/>
    <b v="0"/>
    <m/>
    <n v="1"/>
    <x v="0"/>
    <s v="https://www.amazon.in/Luxor-Subject-Single-Ruled-Notebook/dp/B00LHZWD0C/ref=sr_1_193?qid=1672903005&amp;s=computers&amp;sr=1-193"/>
  </r>
  <r>
    <s v="B08QDPB1SL"/>
    <s v="Duracell Chhota Power AA Battery Set of 10 Pcs"/>
    <s v="Electronics"/>
    <x v="1"/>
    <s v="GeneralPurposeBatteries&amp;BatteryChargers"/>
    <s v="DisposableBatteries"/>
    <n v="190"/>
    <n v="220"/>
    <n v="14"/>
    <n v="4.4000000000000004"/>
    <n v="2866"/>
    <n v="4.2209910374414754"/>
    <s v="High (1,000+)"/>
    <x v="0"/>
    <n v="55.9"/>
    <s v="Above median"/>
    <b v="0"/>
    <b v="0"/>
    <b v="0"/>
    <m/>
    <n v="1"/>
    <x v="0"/>
    <s v="https://www.amazon.in/Duracell-Chhota-Power-Battery-Set/dp/B08QDPB1SL/ref=sr_1_194?qid=1672903005&amp;s=computers&amp;sr=1-194"/>
  </r>
  <r>
    <s v="B07BRKK9JQ"/>
    <s v="Zebronics Zeb-Transformer Gaming Keyboard and Mouse Combo (USB, Braided Cable)"/>
    <s v="Computers&amp;Accessories"/>
    <x v="0"/>
    <s v="Accessories&amp;Peripherals"/>
    <s v="Keyboard&amp;MouseSets"/>
    <n v="1299"/>
    <n v="1599"/>
    <n v="19"/>
    <n v="4.3"/>
    <n v="27223"/>
    <n v="4.2738487063846264"/>
    <s v="High (1,000+)"/>
    <x v="4"/>
    <n v="50.9"/>
    <s v="Above median"/>
    <b v="0"/>
    <b v="0"/>
    <b v="0"/>
    <n v="0.98"/>
    <n v="1"/>
    <x v="0"/>
    <s v="https://www.amazon.in/Zebronics-Transformer-Gaming-Multimedia-Keyboard/dp/B07BRKK9JQ/ref=sr_1_195?qid=1672903005&amp;s=computers&amp;sr=1-195"/>
  </r>
  <r>
    <s v="B01EZ0X3L8"/>
    <s v="SanDisk Ultra 64 GB USB Pen Drives (SDDDC2-064G-I35, Black, Silver)"/>
    <s v="Computers&amp;Accessories"/>
    <x v="0"/>
    <s v="ExternalDevices&amp;DataStorage"/>
    <s v="PenDrives"/>
    <n v="729"/>
    <n v="1650"/>
    <n v="56"/>
    <n v="4.3"/>
    <n v="82356"/>
    <n v="4.29059074521364"/>
    <s v="High (1,000+)"/>
    <x v="2"/>
    <n v="73.3"/>
    <s v="Top 25%"/>
    <b v="0"/>
    <b v="0"/>
    <b v="0"/>
    <n v="1.33"/>
    <n v="1"/>
    <x v="0"/>
    <s v="https://www.amazon.in/SanDisk-Ultra-SDDDC2-064G-G46-Drives-Silver/dp/B01EZ0X3L8/ref=sr_1_196?qid=1672903005&amp;s=computers&amp;sr=1-196"/>
  </r>
  <r>
    <s v="B00LM4W1N2"/>
    <s v="Parker Classic Gold Gold Trim Ball Pen"/>
    <s v="OfficeProducts"/>
    <x v="2"/>
    <s v="OfficePaperProducts"/>
    <s v="RetractableBallpointPens"/>
    <n v="480"/>
    <n v="600"/>
    <n v="20"/>
    <n v="4.3"/>
    <n v="5719"/>
    <n v="4.2145376883067884"/>
    <s v="High (1,000+)"/>
    <x v="0"/>
    <n v="48.2"/>
    <s v="Below median"/>
    <b v="0"/>
    <b v="0"/>
    <b v="0"/>
    <m/>
    <n v="1"/>
    <x v="0"/>
    <s v="https://www.amazon.in/Parker-Classic-Gold-Ball-Pen/dp/B00LM4W1N2/ref=sr_1_197?qid=1672903005&amp;s=computers&amp;sr=1-197"/>
  </r>
  <r>
    <s v="B08YD264ZS"/>
    <s v="Tarkan Portable Folding Laptop Desk for Bed, Lapdesk with Handle, Drawer, Cup &amp; Mobile/Tablet Holder for Study, Eating, Work (Black)"/>
    <s v="Computers&amp;Accessories"/>
    <x v="0"/>
    <s v="Accessories&amp;Peripherals"/>
    <s v="Lapdesks"/>
    <n v="999"/>
    <n v="2499"/>
    <n v="60"/>
    <n v="4.3"/>
    <n v="1690"/>
    <n v="4.1513872703678709"/>
    <s v="High (1,000+)"/>
    <x v="2"/>
    <n v="58.6"/>
    <s v="Above median"/>
    <b v="0"/>
    <b v="0"/>
    <b v="0"/>
    <n v="1.74"/>
    <n v="1"/>
    <x v="0"/>
    <s v="https://www.amazon.in/Tarkan-Portable-Folding-Laptop-Lapdesk/dp/B08YD264ZS/ref=sr_1_200?qid=1672903005&amp;s=computers&amp;sr=1-200"/>
  </r>
  <r>
    <s v="B094JNXNPV"/>
    <s v="Ambrane Unbreakable 3 in 1 Fast Charging Braided Multipurpose Cable for Speaker with 2.1 A Speed - 1.25 meter, Black"/>
    <s v="Computers&amp;Accessories"/>
    <x v="0"/>
    <s v="Accessories&amp;Peripherals"/>
    <s v="USBCables"/>
    <n v="299"/>
    <n v="399"/>
    <n v="25"/>
    <n v="4"/>
    <n v="2766"/>
    <n v="4.0487767621476314"/>
    <s v="High (1,000+)"/>
    <x v="0"/>
    <n v="29.8"/>
    <s v="Bottom 25%"/>
    <b v="0"/>
    <b v="0"/>
    <b v="0"/>
    <n v="1"/>
    <n v="1"/>
    <x v="0"/>
    <s v="https://www.amazon.in/Ambrane-Unbreakable-Charging-Braided-Multipurpose/dp/B094JNXNPV/ref=sr_1_201?qid=1672903005&amp;s=computers&amp;sr=1-201"/>
  </r>
  <r>
    <s v="B00GZLB57U"/>
    <s v="Quantum RJ45 Ethernet Patch Cable/LAN Router Cable with Heavy Duty Gold Plated Connectors Supports Hi-Speed Gigabit Upto 1000Mbps, Waterproof and Durable,1-Year Warranty-32.8 Feet (10 Meters)(White)"/>
    <s v="Computers&amp;Accessories"/>
    <x v="0"/>
    <s v="Accessories&amp;Peripherals"/>
    <s v="EthernetCables"/>
    <n v="238"/>
    <n v="699"/>
    <n v="66"/>
    <n v="4.4000000000000004"/>
    <n v="8372"/>
    <n v="4.3022159208604247"/>
    <s v="High (1,000+)"/>
    <x v="0"/>
    <n v="83.3"/>
    <s v="Top 25%"/>
    <b v="1"/>
    <b v="0"/>
    <b v="0"/>
    <m/>
    <n v="1"/>
    <x v="0"/>
    <s v="https://www.amazon.in/Quantum-Ethernet-Patch-Straight-Category/dp/B00GZLB57U/ref=sr_1_202?qid=1672903005&amp;s=computers&amp;sr=1-202"/>
  </r>
  <r>
    <s v="B07V82W5CN"/>
    <s v="HP USB Wireless Spill Resistance Keyboard and Mouse Set with 10m Working Range 2.4G Wireless Technology / 3 Years Warranty (4SC12PA), Black"/>
    <s v="Computers&amp;Accessories"/>
    <x v="0"/>
    <s v="Accessories&amp;Peripherals"/>
    <s v="Keyboard&amp;MouseSets"/>
    <n v="1349"/>
    <n v="2198"/>
    <n v="39"/>
    <n v="4"/>
    <n v="7113"/>
    <n v="4.0292804093311396"/>
    <s v="High (1,000+)"/>
    <x v="4"/>
    <n v="24.4"/>
    <s v="Bottom 25%"/>
    <b v="0"/>
    <b v="0"/>
    <b v="0"/>
    <n v="1.02"/>
    <n v="1"/>
    <x v="0"/>
    <s v="https://www.amazon.in/HP-Multimedia-Wireless-Keyboard-4SC12PA/dp/B07V82W5CN/ref=sr_1_203?qid=1672903005&amp;s=computers&amp;sr=1-203"/>
  </r>
  <r>
    <s v="B077Z65HSD"/>
    <s v="boAt A400 USB Type-C to USB-A 2.0 Male Data Cable, 2 Meter (Black)"/>
    <s v="Computers&amp;Accessories"/>
    <x v="0"/>
    <s v="Accessories&amp;Peripherals"/>
    <s v="USBCables"/>
    <n v="299"/>
    <n v="999"/>
    <n v="70"/>
    <n v="4.3"/>
    <n v="20850"/>
    <n v="4.2670772612160812"/>
    <s v="High (1,000+)"/>
    <x v="0"/>
    <n v="80.599999999999994"/>
    <s v="Top 25%"/>
    <b v="0"/>
    <b v="0"/>
    <b v="0"/>
    <n v="1"/>
    <n v="3"/>
    <x v="1"/>
    <s v="https://www.amazon.in/A400-Type-C-Cable-Meter-Black/dp/B077Z65HSD/ref=sr_1_204?qid=1672903005&amp;s=computers&amp;sr=1-204"/>
  </r>
  <r>
    <s v="B08HD7JQHX"/>
    <s v="HUMBLE Dynamic Lapel Collar Mic Voice Recording Filter Microphone for Singing Youtube SmartPhones, Black"/>
    <s v="Computers&amp;Accessories"/>
    <x v="0"/>
    <s v="Accessories&amp;Peripherals"/>
    <s v="PCMicrophones"/>
    <n v="199"/>
    <n v="499"/>
    <n v="60"/>
    <n v="3.3"/>
    <n v="2804"/>
    <n v="3.7495833536405718"/>
    <s v="High (1,000+)"/>
    <x v="0"/>
    <n v="36.6"/>
    <s v="Bottom 25%"/>
    <b v="0"/>
    <b v="0"/>
    <b v="1"/>
    <m/>
    <n v="1"/>
    <x v="0"/>
    <s v="https://www.amazon.in/HUMBLE-Dynamic-Recording-Microphone-SmartPhones/dp/B08HD7JQHX/ref=sr_1_205?qid=1672903005&amp;s=computers&amp;sr=1-205"/>
  </r>
  <r>
    <s v="B0B31FR4Y2"/>
    <s v="Boult Audio Omega with 30dB ANC+ ENC, 32H Playtime, 45ms Latency Gaming Mode, Quad Mic Zen ENC, 3 Equalizer Modes, ANC, Type-C Fast Charging, IPX5 True Wireless in Ear Bluetooth Earbuds (Black)"/>
    <s v="Electronics"/>
    <x v="1"/>
    <s v="Headphones,Earbuds&amp;Accessories"/>
    <s v="In-Ear"/>
    <n v="1999"/>
    <n v="9999"/>
    <n v="80"/>
    <n v="3.7"/>
    <n v="1986"/>
    <n v="3.9517507335271498"/>
    <s v="High (1,000+)"/>
    <x v="4"/>
    <n v="38.200000000000003"/>
    <s v="Bottom 25%"/>
    <b v="0"/>
    <b v="0"/>
    <b v="1"/>
    <n v="2.11"/>
    <n v="1"/>
    <x v="0"/>
    <s v="https://www.amazon.in/Boult-Audio-Equalizer-Cancellation-Bluetooth/dp/B0B31FR4Y2/ref=sr_1_206?qid=1672903005&amp;s=computers&amp;sr=1-206"/>
  </r>
  <r>
    <s v="B09Y14JLP3"/>
    <s v="STRIFF UPH2W Multi Angle Tablet/Mobile Stand. Holder for iPhone, Android, Samsung, OnePlus, Xiaomi. Portable,Foldable Stand.Perfect for Bed,Office, Home,Gift and Desktop (White)"/>
    <s v="Electronics"/>
    <x v="1"/>
    <s v="Mobiles&amp;Accessories"/>
    <s v="Stands"/>
    <n v="99"/>
    <n v="499"/>
    <n v="80"/>
    <n v="4.0999999999999996"/>
    <n v="2451"/>
    <n v="4.0906959188349257"/>
    <s v="High (1,000+)"/>
    <x v="0"/>
    <n v="70.8"/>
    <s v="Top 25%"/>
    <b v="0"/>
    <b v="0"/>
    <b v="0"/>
    <m/>
    <n v="2"/>
    <x v="1"/>
    <s v="https://www.amazon.in/STRIFF-Android-Portable-Foldable-Stand-Perfect/dp/B09Y14JLP3/ref=sr_1_208?qid=1672903005&amp;s=computers&amp;sr=1-208"/>
  </r>
  <r>
    <s v="B09ZHCJDP1"/>
    <s v="Amazon Basics Wireless Mouse | 2.4 GHz Connection, 1600 DPI | Type - C Adapter | Upto 12 Months of Battery Life | Ambidextrous Design | Suitable for PC/Mac/Laptop"/>
    <s v="Computers&amp;Accessories"/>
    <x v="0"/>
    <s v="Accessories&amp;Peripherals"/>
    <s v="Mice"/>
    <n v="499"/>
    <n v="1000"/>
    <n v="50"/>
    <n v="5"/>
    <n v="23"/>
    <n v="4.0901965636457049"/>
    <s v="Low (&lt;100)"/>
    <x v="0"/>
    <n v="45"/>
    <s v="Below median"/>
    <b v="0"/>
    <b v="0"/>
    <b v="0"/>
    <n v="0.87"/>
    <n v="1"/>
    <x v="0"/>
    <s v="https://www.amazon.in/Wireless-Connection-Battery-Ambidextrous-Suitable/dp/B09ZHCJDP1/ref=sr_1_209?qid=1672903005&amp;s=computers&amp;sr=1-209"/>
  </r>
  <r>
    <s v="B08C4Z69LN"/>
    <s v="Crucial RAM 8GB DDR4 3200MHz CL22 (or 2933MHz or 2666MHz) Laptop Memory CT8G4SFRA32A"/>
    <s v="Computers&amp;Accessories"/>
    <x v="0"/>
    <s v="Components"/>
    <s v="Memory"/>
    <n v="1792"/>
    <n v="3500"/>
    <n v="49"/>
    <n v="4.5"/>
    <n v="26194"/>
    <n v="4.4478306575094164"/>
    <s v="High (1,000+)"/>
    <x v="4"/>
    <n v="74.2"/>
    <s v="Top 25%"/>
    <b v="0"/>
    <b v="0"/>
    <b v="0"/>
    <m/>
    <n v="1"/>
    <x v="0"/>
    <s v="https://www.amazon.in/Crucial-PC4-25600-SODIMM-260-Pin-Memory/dp/B08C4Z69LN/ref=sr_1_210?qid=1672903005&amp;s=computers&amp;sr=1-210"/>
  </r>
  <r>
    <s v="B016XVRKZM"/>
    <s v="APC Back-UPS BX600C-IN 600VA / 360W, 230V, UPS System, an Ideal Power Backup &amp; Protection for Home Office, Desktop PC &amp; Home Electronics"/>
    <s v="Computers&amp;Accessories"/>
    <x v="0"/>
    <s v="Accessories&amp;Peripherals"/>
    <s v="UninterruptedPowerSupplies"/>
    <n v="3299"/>
    <n v="4100"/>
    <n v="20"/>
    <n v="3.9"/>
    <n v="15783"/>
    <n v="3.93554214994146"/>
    <s v="High (1,000+)"/>
    <x v="3"/>
    <n v="9.1"/>
    <s v="Bottom 25%"/>
    <b v="0"/>
    <b v="0"/>
    <b v="0"/>
    <m/>
    <n v="1"/>
    <x v="0"/>
    <s v="https://www.amazon.in/APC-BX600C-600VA-230V-Back/dp/B016XVRKZM/ref=sr_1_211?qid=1672903005&amp;s=computers&amp;sr=1-211"/>
  </r>
  <r>
    <s v="B00LHZW3XY"/>
    <s v="Luxor 5 Subject Single Ruled Notebook - A5 Size, 70 GSM, 300 Pages"/>
    <s v="OfficeProducts"/>
    <x v="2"/>
    <s v="OfficePaperProducts"/>
    <s v="CompositionNotebooks"/>
    <n v="125"/>
    <n v="180"/>
    <n v="31"/>
    <n v="4.4000000000000004"/>
    <n v="8053"/>
    <n v="4.2995759038280914"/>
    <s v="High (1,000+)"/>
    <x v="0"/>
    <n v="65.2"/>
    <s v="Top 25%"/>
    <b v="0"/>
    <b v="0"/>
    <b v="0"/>
    <m/>
    <n v="1"/>
    <x v="0"/>
    <s v="https://www.amazon.in/Luxor-Subject-Single-Ruled-Notebook/dp/B00LHZW3XY/ref=sr_1_213_mod_primary_new?qid=1672903005&amp;s=computers&amp;sbo=RZvfv%2F%2FHxDF%2BO5021pAnSA%3D%3D&amp;sr=1-213"/>
  </r>
  <r>
    <s v="B098JYT4SY"/>
    <s v="Zebronics Zeb-Jaguar Wireless Mouse, 2.4GHz with USB Nano Receiver, High Precision Optical Tracking, 4 Buttons, Plug &amp; Play, Ambidextrous, for PC/Mac/Laptop (Black+Grey)"/>
    <s v="Computers&amp;Accessories"/>
    <x v="0"/>
    <s v="Accessories&amp;Peripherals"/>
    <s v="Mice"/>
    <n v="399"/>
    <n v="1190"/>
    <n v="66"/>
    <n v="4.0999999999999996"/>
    <n v="2809"/>
    <n v="4.0912027834863904"/>
    <s v="High (1,000+)"/>
    <x v="0"/>
    <n v="55.6"/>
    <s v="Above median"/>
    <b v="0"/>
    <b v="0"/>
    <b v="0"/>
    <n v="0.7"/>
    <n v="1"/>
    <x v="0"/>
    <s v="https://www.amazon.in/Zebronics-Zeb-Jaguar-Wireless-Precision-Ambidextrous/dp/B098JYT4SY/ref=sr_1_214?qid=1672903005&amp;s=computers&amp;sr=1-214"/>
  </r>
  <r>
    <s v="B08CFCK6CW"/>
    <s v="Boult Audio Truebuds with 30H Playtime, IPX7 Waterproof, Lightning Boult™ Type C Fast Charging (10 Min=100Mins), BoomX™ Tech Rich Bass, Pro+ Calling HD Mic, Touch Controls in Ear Earbuds TWS (Grey)"/>
    <s v="Electronics"/>
    <x v="1"/>
    <s v="Headphones,Earbuds&amp;Accessories"/>
    <s v="In-Ear"/>
    <n v="1199"/>
    <n v="7999"/>
    <n v="85"/>
    <n v="3.6"/>
    <n v="25910"/>
    <n v="3.6614521557563671"/>
    <s v="High (1,000+)"/>
    <x v="4"/>
    <n v="37.200000000000003"/>
    <s v="Bottom 25%"/>
    <b v="0"/>
    <b v="0"/>
    <b v="1"/>
    <n v="1.26"/>
    <n v="1"/>
    <x v="0"/>
    <s v="https://www.amazon.in/Boult-Audio-TrueBuds-Wireless-Waterproof/dp/B08CFCK6CW/ref=sr_1_215?qid=1672903005&amp;s=computers&amp;sr=1-215"/>
  </r>
  <r>
    <s v="B09P564ZTJ"/>
    <s v="Wembley LCD Writing Pad/Tab | Writing, Drawing, Reusable, Portable Pad with Colorful Letters | 9 Inch Graphic Tablet (Assorted)"/>
    <s v="Computers&amp;Accessories"/>
    <x v="0"/>
    <s v="Accessories&amp;Peripherals"/>
    <s v="GraphicTablets"/>
    <n v="235"/>
    <n v="1599"/>
    <n v="85"/>
    <n v="3.8"/>
    <n v="1173"/>
    <n v="4.0169869499910469"/>
    <s v="High (1,000+)"/>
    <x v="0"/>
    <n v="51.1"/>
    <s v="Above median"/>
    <b v="0"/>
    <b v="0"/>
    <b v="1"/>
    <n v="0.81"/>
    <n v="1"/>
    <x v="0"/>
    <s v="https://www.amazon.in/Wembley-LCD-Writing-Tablet-8-5/dp/B09P564ZTJ/ref=sr_1_216?qid=1672903005&amp;s=computers&amp;sr=1-216"/>
  </r>
  <r>
    <s v="B07MSLTW8Z"/>
    <s v="Gizga Essentials Multi-Purpose Portable &amp; Foldable Wooden Desk for Bed Tray, Laptop Table, Study Table (Black)"/>
    <s v="Computers&amp;Accessories"/>
    <x v="0"/>
    <s v="Accessories&amp;Peripherals"/>
    <s v="Lapdesks"/>
    <n v="549"/>
    <n v="1999"/>
    <n v="73"/>
    <n v="3.6"/>
    <n v="6422"/>
    <n v="3.779040609915147"/>
    <s v="High (1,000+)"/>
    <x v="2"/>
    <n v="34"/>
    <s v="Bottom 25%"/>
    <b v="0"/>
    <b v="0"/>
    <b v="1"/>
    <n v="0.96"/>
    <n v="1"/>
    <x v="0"/>
    <s v="https://www.amazon.in/Essentials-Multi-Purpose-Portable-Wooden-Laptop/dp/B07MSLTW8Z/ref=sr_1_217?qid=1672903006&amp;s=computers&amp;sr=1-217"/>
  </r>
  <r>
    <s v="B09N6TTHT6"/>
    <s v="E-COSMOS Plug in LED Night Light Mini USB LED Light Flexible USB LED Ambient Light Mini USB LED Light, LED Portable car Bulb, Indoor, Outdoor, Reading, Sleep (4 pcs)"/>
    <s v="Computers&amp;Accessories"/>
    <x v="0"/>
    <s v="Accessories&amp;Peripherals"/>
    <s v="Lamps"/>
    <n v="89"/>
    <n v="99"/>
    <n v="10"/>
    <n v="4.2"/>
    <n v="241"/>
    <n v="4.0915796407345608"/>
    <s v="Medium (100-999)"/>
    <x v="0"/>
    <n v="42.4"/>
    <s v="Below median"/>
    <b v="0"/>
    <b v="0"/>
    <b v="0"/>
    <m/>
    <n v="1"/>
    <x v="0"/>
    <s v="https://www.amazon.in/DASITON-Flexible-Ambient-Portable-Outdoor/dp/B09N6TTHT6/ref=sr_1_218?qid=1672903006&amp;s=computers&amp;sr=1-218"/>
  </r>
  <r>
    <s v="B09W5XR9RT"/>
    <s v="Duracell USB C To Lightning Apple Certified (Mfi) Braided Sync &amp; Charge Cable For Iphone, Ipad And Ipod. Fast Charging Lightning Cable, 3.9 Feet (1.2M) - Black"/>
    <s v="Computers&amp;Accessories"/>
    <x v="0"/>
    <s v="Accessories&amp;Peripherals"/>
    <s v="USBCables"/>
    <n v="970"/>
    <n v="1999"/>
    <n v="51"/>
    <n v="4.4000000000000004"/>
    <n v="184"/>
    <n v="4.0993384243458291"/>
    <s v="Medium (100-999)"/>
    <x v="2"/>
    <n v="48.8"/>
    <s v="Below median"/>
    <b v="0"/>
    <b v="1"/>
    <b v="0"/>
    <n v="3.24"/>
    <n v="1"/>
    <x v="0"/>
    <s v="https://www.amazon.in/Duracell-Lightning-Certified-Braided-Charging/dp/B09W5XR9RT/ref=sr_1_219?qid=1672903006&amp;s=computers&amp;sr=1-219"/>
  </r>
  <r>
    <s v="B098R25TGC"/>
    <s v="Noise Buds VS201 V2 in-Ear Truly Wireless Earbuds with Dual Equalizer | with Mic | Total 14-Hour Playtime | Full Touch Control | IPX5 Water Resistance and Bluetooth v5.1 (Olive Green)"/>
    <s v="Electronics"/>
    <x v="1"/>
    <s v="Headphones,Earbuds&amp;Accessories"/>
    <s v="In-Ear"/>
    <n v="1299"/>
    <n v="2999"/>
    <n v="57"/>
    <n v="3.8"/>
    <n v="14629"/>
    <n v="3.8582301112840609"/>
    <s v="High (1,000+)"/>
    <x v="4"/>
    <n v="28.1"/>
    <s v="Bottom 25%"/>
    <b v="0"/>
    <b v="0"/>
    <b v="1"/>
    <n v="1.37"/>
    <n v="1"/>
    <x v="0"/>
    <s v="https://www.amazon.in/Noise-Wireless-Equalizer-Resistance-Bluetooth/dp/B098R25TGC/ref=sr_1_220?qid=1672903006&amp;s=computers&amp;sr=1-220"/>
  </r>
  <r>
    <s v="B0B2PQL5N3"/>
    <s v="Lapster Gel Mouse pad with Wrist Rest , Gaming Mouse Pad with Lycra Cloth Nonslip for Laptop , Computer, , Home &amp; Office (Black)"/>
    <s v="Computers&amp;Accessories"/>
    <x v="0"/>
    <s v="Accessories&amp;Peripherals"/>
    <s v="MousePads"/>
    <n v="230"/>
    <n v="999"/>
    <n v="77"/>
    <n v="4.2"/>
    <n v="1528"/>
    <n v="4.1179546529970352"/>
    <s v="High (1,000+)"/>
    <x v="0"/>
    <n v="71.5"/>
    <s v="Top 25%"/>
    <b v="0"/>
    <b v="0"/>
    <b v="0"/>
    <m/>
    <n v="1"/>
    <x v="0"/>
    <s v="https://www.amazon.in/Lapster-Gaming-Nonslip-Laptop-Computer/dp/B0B2PQL5N3/ref=sr_1_221?qid=1672903006&amp;s=computers&amp;sr=1-221"/>
  </r>
  <r>
    <s v="B07DKZCZ89"/>
    <s v="Gizga Essentials Earphone Carrying Case, Multi-Purpose Pocket Storage Travel Organizer for Earphones, Headset, Pen Drives, SD Cards, Shock-Proof Ballistic Nylon, Soft Fabric, Mesh Pocket, Green"/>
    <s v="Electronics"/>
    <x v="1"/>
    <s v="Headphones,Earbuds&amp;Accessories"/>
    <s v="Cases"/>
    <n v="119"/>
    <n v="499"/>
    <n v="76"/>
    <n v="4.3"/>
    <n v="15032"/>
    <n v="4.2568857427269036"/>
    <s v="High (1,000+)"/>
    <x v="0"/>
    <n v="89.6"/>
    <s v="Top 25%"/>
    <b v="1"/>
    <b v="0"/>
    <b v="0"/>
    <m/>
    <n v="1"/>
    <x v="0"/>
    <s v="https://www.amazon.in/Essentials-G11-Earphone-Carrying-Earphones/dp/B07DKZCZ89/ref=sr_1_222?qid=1672903006&amp;s=computers&amp;sr=1-222"/>
  </r>
  <r>
    <s v="B08GYG6T12"/>
    <s v="SanDisk Ultra SDHC UHS-I Card 32GB 120MB/s R for DSLR Cameras, for Full HD Recording, 10Y Warranty"/>
    <s v="Electronics"/>
    <x v="1"/>
    <s v="Accessories"/>
    <s v="SecureDigitalCards"/>
    <n v="449"/>
    <n v="800"/>
    <n v="44"/>
    <n v="4.4000000000000004"/>
    <n v="69585"/>
    <n v="4.3838227491282016"/>
    <s v="High (1,000+)"/>
    <x v="0"/>
    <n v="74.5"/>
    <s v="Top 25%"/>
    <b v="0"/>
    <b v="0"/>
    <b v="0"/>
    <m/>
    <n v="1"/>
    <x v="0"/>
    <s v="https://www.amazon.in/SanDisk-Ultra-UHS-I-Memory-SDSDUN4-032G-GN6IN/dp/B08GYG6T12/ref=sr_1_223?qid=1672903006&amp;s=computers&amp;sr=1-223"/>
  </r>
  <r>
    <s v="B09BN2NPBD"/>
    <s v="DIGITEK® (DRL-14C) Professional (31cm) Dual Temperature LED Ring Light with Tripod Stand &amp; Mini Tripod for YouTube, Photo-Shoot, Video Shoot, Live Stream, Makeup, Vlogging &amp; More"/>
    <s v="Electronics"/>
    <x v="1"/>
    <s v="Mobiles&amp;Accessories"/>
    <s v="SelfieLights"/>
    <n v="1699"/>
    <n v="3495"/>
    <n v="51"/>
    <n v="4.0999999999999996"/>
    <n v="14371"/>
    <n v="4.0968119277404149"/>
    <s v="High (1,000+)"/>
    <x v="4"/>
    <n v="54"/>
    <s v="Above median"/>
    <b v="0"/>
    <b v="0"/>
    <b v="0"/>
    <m/>
    <n v="1"/>
    <x v="0"/>
    <s v="https://www.amazon.in/DIGITEK%C2%AE-DRL-14C-Temperature-Photo-Shoot-Vlogging/dp/B09BN2NPBD/ref=sr_1_224?qid=1672903006&amp;s=computers&amp;sr=1-224"/>
  </r>
  <r>
    <s v="B00J4YG0PC"/>
    <s v="Classmate Long Notebook - 140 Pages, Single Line, 297mm x 210mm (Pack of 12)"/>
    <s v="OfficeProducts"/>
    <x v="2"/>
    <s v="OfficePaperProducts"/>
    <s v="CompositionNotebooks"/>
    <n v="561"/>
    <n v="720"/>
    <n v="22"/>
    <n v="4.4000000000000004"/>
    <n v="3182"/>
    <n v="4.2291365961092691"/>
    <s v="High (1,000+)"/>
    <x v="2"/>
    <n v="49.3"/>
    <s v="Below median"/>
    <b v="0"/>
    <b v="0"/>
    <b v="0"/>
    <m/>
    <n v="1"/>
    <x v="0"/>
    <s v="https://www.amazon.in/Classmate-Long-Notebook-Cover-Single/dp/B00J4YG0PC/ref=sr_1_225?qid=1672903006&amp;s=computers&amp;sr=1-225"/>
  </r>
  <r>
    <s v="B073BRXPZX"/>
    <s v="Lenovo 300 Wired Plug &amp; Play USB Mouse, High Resolution 1600 DPI Optical Sensor, 3-Button Design with clickable Scroll Wheel, Ambidextrous, Ergonomic Mouse for Comfortable All-Day Grip (GX30M39704)"/>
    <s v="Computers&amp;Accessories"/>
    <x v="0"/>
    <s v="Accessories&amp;Peripherals"/>
    <s v="Mice"/>
    <n v="289"/>
    <n v="590"/>
    <n v="51"/>
    <n v="4.4000000000000004"/>
    <n v="25886"/>
    <n v="4.3599790576818664"/>
    <s v="High (1,000+)"/>
    <x v="0"/>
    <n v="76"/>
    <s v="Top 25%"/>
    <b v="0"/>
    <b v="0"/>
    <b v="0"/>
    <n v="0.5"/>
    <n v="1"/>
    <x v="0"/>
    <s v="https://www.amazon.in/Lenovo-GX30M39704-300-USB-Mouse/dp/B073BRXPZX/ref=sr_1_226?qid=1672903006&amp;s=computers&amp;sr=1-226"/>
  </r>
  <r>
    <s v="B08LHTJTBB"/>
    <s v="Dyazo 6 Angles Adjustable Aluminum Ergonomic Foldable Portable Tabletop Laptop/Desktop Riser Stand Holder Compatible for MacBook, HP, Dell, Lenovo &amp; All Other Notebook (Silver)"/>
    <s v="Computers&amp;Accessories"/>
    <x v="0"/>
    <s v="Accessories&amp;Peripherals"/>
    <s v="NotebookComputerStands"/>
    <n v="599"/>
    <n v="1999"/>
    <n v="70"/>
    <n v="4.4000000000000004"/>
    <n v="4736"/>
    <n v="4.2603799601907184"/>
    <s v="High (1,000+)"/>
    <x v="2"/>
    <n v="74.8"/>
    <s v="Top 25%"/>
    <b v="0"/>
    <b v="0"/>
    <b v="0"/>
    <m/>
    <n v="1"/>
    <x v="0"/>
    <s v="https://www.amazon.in/Dyazo-Computer-Adjustable-Ergonomic-Compatible/dp/B08LHTJTBB/ref=sr_1_228?qid=1672903006&amp;s=computers&amp;sr=1-228"/>
  </r>
  <r>
    <s v="B07VTFN6HM"/>
    <s v="Western Digital WD 2TB My Passport Portable Hard Disk Drive, USB 3.0 with  Automatic Backup, 256 Bit AES Hardware Encryption,Password Protection,Compatible with Windows and Mac, External HDD-Black"/>
    <s v="Computers&amp;Accessories"/>
    <x v="0"/>
    <s v="ExternalDevices&amp;DataStorage"/>
    <s v="ExternalHardDisks"/>
    <n v="5599"/>
    <n v="7350"/>
    <n v="24"/>
    <n v="4.4000000000000004"/>
    <n v="73005"/>
    <n v="4.3845434473140434"/>
    <s v="High (1,000+)"/>
    <x v="3"/>
    <n v="54.8"/>
    <s v="Above median"/>
    <b v="0"/>
    <b v="0"/>
    <b v="0"/>
    <m/>
    <n v="1"/>
    <x v="0"/>
    <s v="https://www.amazon.in/Passport-Portable-External-Drive-Black/dp/B07VTFN6HM/ref=sr_1_229?qid=1672903006&amp;s=computers&amp;sr=1-229"/>
  </r>
  <r>
    <s v="B008QS9J6Y"/>
    <s v="Logitech C270 Digital HD Webcam with Widescreen HD Video Calling, HD Light Correction, Noise-Reducing Mic, for Skype, FaceTime, Hangouts, WebEx, PC/Mac/Laptop/MacBook/Tablet - (Black, HD 720p/30fps)"/>
    <s v="Computers&amp;Accessories"/>
    <x v="0"/>
    <s v="Accessories&amp;Peripherals"/>
    <s v="Webcams"/>
    <n v="1990"/>
    <n v="2595"/>
    <n v="23"/>
    <n v="4.3"/>
    <n v="20398"/>
    <n v="4.2664613353068361"/>
    <s v="High (1,000+)"/>
    <x v="4"/>
    <n v="50.5"/>
    <s v="Below median"/>
    <b v="0"/>
    <b v="0"/>
    <b v="0"/>
    <m/>
    <n v="1"/>
    <x v="0"/>
    <s v="https://www.amazon.in/Logitech-C270-HD-Webcam-Black/dp/B008QS9J6Y/ref=sr_1_230?qid=1672903006&amp;s=computers&amp;sr=1-230"/>
  </r>
  <r>
    <s v="B09M8888DM"/>
    <s v="Portronics MPORT 31 4 Ports USB Hub (USB A to 4 USB-A Ports 4 in 1 Connector USB HUB(Grey)"/>
    <s v="Computers&amp;Accessories"/>
    <x v="0"/>
    <s v="Accessories&amp;Peripherals"/>
    <s v="USBHubs"/>
    <n v="499"/>
    <n v="799"/>
    <n v="38"/>
    <n v="4.3"/>
    <n v="2125"/>
    <n v="4.1623675739585249"/>
    <s v="High (1,000+)"/>
    <x v="0"/>
    <n v="51.4"/>
    <s v="Above median"/>
    <b v="0"/>
    <b v="0"/>
    <b v="0"/>
    <m/>
    <n v="1"/>
    <x v="0"/>
    <s v="https://www.amazon.in/Portronics-MPORT-Ports-USB-Connector/dp/B09M8888DM/ref=sr_1_231?qid=1672903006&amp;s=computers&amp;sr=1-231"/>
  </r>
  <r>
    <s v="B07Z1YVP72"/>
    <s v="AirCase Protective Laptop Bag Sleeve fits Upto 15.6&quot; Laptop/ MacBook, Wrinkle Free, Padded, Waterproof Light Neoprene case Cover Pouch, for Men &amp; Women, Black- 6 Months Warranty"/>
    <s v="Computers&amp;Accessories"/>
    <x v="0"/>
    <s v="Accessories&amp;Peripherals"/>
    <s v="LaptopSleeves&amp;Slipcases"/>
    <n v="449"/>
    <n v="999"/>
    <n v="55"/>
    <n v="4.3"/>
    <n v="11330"/>
    <n v="4.2463103588988442"/>
    <s v="High (1,000+)"/>
    <x v="0"/>
    <n v="68.400000000000006"/>
    <s v="Top 25%"/>
    <b v="0"/>
    <b v="0"/>
    <b v="0"/>
    <m/>
    <n v="1"/>
    <x v="0"/>
    <s v="https://www.amazon.in/AirCase-15-6-Inch-MacBook-Protective-Neoprene/dp/B07Z1YVP72/ref=sr_1_232?qid=1672903006&amp;s=computers&amp;sr=1-232"/>
  </r>
  <r>
    <s v="B082FTPRSK"/>
    <s v="Zinq Five Fan Cooling Pad and Laptop Stand with Dual Height Adjustment and Dual USB Port Extension (Black)"/>
    <s v="Computers&amp;Accessories"/>
    <x v="0"/>
    <s v="Accessories&amp;Peripherals"/>
    <s v="CoolingPads"/>
    <n v="999"/>
    <n v="1999"/>
    <n v="50"/>
    <n v="4.2"/>
    <n v="27441"/>
    <n v="4.1860893518893976"/>
    <s v="High (1,000+)"/>
    <x v="2"/>
    <n v="57.3"/>
    <s v="Above median"/>
    <b v="0"/>
    <b v="0"/>
    <b v="0"/>
    <m/>
    <n v="1"/>
    <x v="0"/>
    <s v="https://www.amazon.in/Zinq-Technologies-Cool-Slate-Five/dp/B082FTPRSK/ref=sr_1_233?qid=1672903006&amp;s=computers&amp;sr=1-233"/>
  </r>
  <r>
    <s v="B09RF2QXGX"/>
    <s v="Gizga Essentials Webcam Cover, Privacy Protector Webcam Cover Slide, Compatible with Laptop, Desktop, PC, Smartphone, Protect Your Privacy and Security, Strong Adhesive, Set of 3, Black"/>
    <s v="Computers&amp;Accessories"/>
    <x v="0"/>
    <s v="Accessories&amp;Peripherals"/>
    <s v="CameraPrivacyCovers"/>
    <n v="69"/>
    <n v="299"/>
    <n v="77"/>
    <n v="4.3"/>
    <n v="255"/>
    <n v="4.0983046899018838"/>
    <s v="Medium (100-999)"/>
    <x v="0"/>
    <n v="73.3"/>
    <s v="Top 25%"/>
    <b v="0"/>
    <b v="0"/>
    <b v="0"/>
    <m/>
    <n v="1"/>
    <x v="0"/>
    <s v="https://www.amazon.in/Gizga-Essentials-Compatible-Smartphone-Security/dp/B09RF2QXGX/ref=sr_1_234?qid=1672903006&amp;s=computers&amp;sr=1-234"/>
  </r>
  <r>
    <s v="B01KK0HU3Y"/>
    <s v="HP Z3700 Wireless Optical Mouse with USB Receiver and 2.4GHz Wireless Connection/ 1200DPI / 16 Months Long Battery Life /Ambidextrous and Slim Design (Modern Gold)"/>
    <s v="Computers&amp;Accessories"/>
    <x v="0"/>
    <s v="Accessories&amp;Peripherals"/>
    <s v="Mice"/>
    <n v="899"/>
    <n v="1499"/>
    <n v="40"/>
    <n v="4.2"/>
    <n v="23174"/>
    <n v="4.1838857717847828"/>
    <s v="High (1,000+)"/>
    <x v="2"/>
    <n v="52.3"/>
    <s v="Above median"/>
    <b v="0"/>
    <b v="0"/>
    <b v="0"/>
    <n v="1.57"/>
    <n v="1"/>
    <x v="0"/>
    <s v="https://www.amazon.in/HP-Z3700-Wireless-Mouse-Modern/dp/B01KK0HU3Y/ref=sr_1_236?qid=1672903006&amp;s=computers&amp;sr=1-236"/>
  </r>
  <r>
    <s v="B07JF9B592"/>
    <s v="MAONO AU-400 Lavalier Auxiliary Omnidirectional Microphone (Black)"/>
    <s v="MusicalInstruments"/>
    <x v="2"/>
    <s v="Microphones"/>
    <s v="Condenser"/>
    <n v="478"/>
    <n v="699"/>
    <n v="32"/>
    <n v="3.8"/>
    <n v="20218"/>
    <n v="3.8446587473856182"/>
    <s v="High (1,000+)"/>
    <x v="0"/>
    <n v="22"/>
    <s v="Bottom 25%"/>
    <b v="0"/>
    <b v="0"/>
    <b v="1"/>
    <m/>
    <n v="1"/>
    <x v="0"/>
    <s v="https://www.amazon.in/Maono-AU-400-Lavalier-Microphone-Black/dp/B07JF9B592/ref=sr_1_237?qid=1672903006&amp;s=computers&amp;sr=1-237"/>
  </r>
  <r>
    <s v="B086394NY5"/>
    <s v="TABLE MAGIC Multipurpose Laptop Table Mat Finish Top Work at Home Study Table (TM Regular- Black) (Alloy Steel)"/>
    <s v="Computers&amp;Accessories"/>
    <x v="0"/>
    <s v="Accessories&amp;Peripherals"/>
    <s v="LaptopAccessories"/>
    <n v="1399"/>
    <n v="2490"/>
    <n v="44"/>
    <n v="4.3"/>
    <n v="11074"/>
    <n v="4.2453839579200494"/>
    <s v="High (1,000+)"/>
    <x v="4"/>
    <n v="58.4"/>
    <s v="Above median"/>
    <b v="0"/>
    <b v="0"/>
    <b v="0"/>
    <m/>
    <n v="1"/>
    <x v="0"/>
    <s v="https://www.amazon.in/TABLE-MAGIC-Midnight-Adjustable-Multiple/dp/B086394NY5/ref=sr_1_238?qid=1672903006&amp;s=computers&amp;sr=1-238"/>
  </r>
  <r>
    <s v="B017PDR9N0"/>
    <s v="GIZGA Essentials Portable Tabletop Tablet Stand Mobile Holder, Desktop Stand, Cradle, Dock for iPad, Smartphone, Kindle, E-Reader, Fully Foldable, Adjustable Angle, Anti-Slip Pads, Black"/>
    <s v="Computers&amp;Accessories"/>
    <x v="0"/>
    <s v="Accessories&amp;Peripherals"/>
    <s v="Stands"/>
    <n v="149"/>
    <n v="499"/>
    <n v="70"/>
    <n v="4.0999999999999996"/>
    <n v="25607"/>
    <n v="4.0980316005271051"/>
    <s v="High (1,000+)"/>
    <x v="0"/>
    <n v="68.7"/>
    <s v="Top 25%"/>
    <b v="0"/>
    <b v="0"/>
    <b v="0"/>
    <m/>
    <n v="1"/>
    <x v="0"/>
    <s v="https://www.amazon.in/Generic-Multi-Angle-tablets-Samsung-paperwhite-Phablets/dp/B017PDR9N0/ref=sr_1_240?qid=1672903006&amp;s=computers&amp;sr=1-240"/>
  </r>
  <r>
    <s v="B07NC12T2R"/>
    <s v="boAt Stone 650 10W Bluetooth Speaker with Upto 7 Hours Playback, IPX5 and Integrated Controls (Blue)"/>
    <s v="Electronics"/>
    <x v="1"/>
    <s v="HomeAudio"/>
    <s v="BluetoothSpeakers"/>
    <n v="1799"/>
    <n v="4990"/>
    <n v="64"/>
    <n v="4.2"/>
    <n v="41226"/>
    <n v="4.1903517363699798"/>
    <s v="High (1,000+)"/>
    <x v="4"/>
    <n v="67.8"/>
    <s v="Top 25%"/>
    <b v="0"/>
    <b v="0"/>
    <b v="0"/>
    <m/>
    <n v="1"/>
    <x v="0"/>
    <s v="https://www.amazon.in/Stone-650-Wireless-Bluetooth-Speaker/dp/B07NC12T2R/ref=sr_1_241?qid=1672903007&amp;s=computers&amp;sr=1-241"/>
  </r>
  <r>
    <s v="B07WKBD37W"/>
    <s v="ESnipe Mart Worldwide Travel Adapter with Build in Dual USB Charger Ports with 125V 6A, 250V Protected Electrical Plug for Laptops, Cameras (White)"/>
    <s v="HomeImprovement"/>
    <x v="2"/>
    <s v="Electrical"/>
    <s v="Adapters&amp;Multi-Outlets"/>
    <n v="425"/>
    <n v="999"/>
    <n v="57"/>
    <n v="4"/>
    <n v="2581"/>
    <n v="4.0501992735368191"/>
    <s v="High (1,000+)"/>
    <x v="0"/>
    <n v="40.5"/>
    <s v="Below median"/>
    <b v="0"/>
    <b v="0"/>
    <b v="0"/>
    <m/>
    <n v="1"/>
    <x v="0"/>
    <s v="https://www.amazon.in/ESnipe-Mart-Worldwide-Protected-Electrical/dp/B07WKBD37W/ref=sr_1_242?qid=1672903007&amp;s=computers&amp;sr=1-242"/>
  </r>
  <r>
    <s v="B08JMC1988"/>
    <s v="boAt Stone 180 5W Bluetooth Speaker with Upto 10 Hours Playback, 1.75&quot; Driver, IPX7 &amp; TWS Feature(Black)"/>
    <s v="Electronics"/>
    <x v="1"/>
    <s v="HomeAudio"/>
    <s v="OutdoorSpeakers"/>
    <n v="999"/>
    <n v="2490"/>
    <n v="60"/>
    <n v="4.0999999999999996"/>
    <n v="18331"/>
    <n v="4.0973833521932157"/>
    <s v="High (1,000+)"/>
    <x v="2"/>
    <n v="57.6"/>
    <s v="Above median"/>
    <b v="0"/>
    <b v="0"/>
    <b v="0"/>
    <m/>
    <n v="1"/>
    <x v="0"/>
    <s v="https://www.amazon.in/boAt-Stone-Bluetooth-Speaker-Black/dp/B08JMC1988/ref=sr_1_243?qid=1672903007&amp;s=computers&amp;sr=1-243"/>
  </r>
  <r>
    <s v="B09GFN8WZL"/>
    <s v="Portronics Ruffpad 8.5M Multicolor LCD Writing Pad with Screen 21.5cm (8.5-inch) for Drawing, Playing, Handwriting Gifts for Kids &amp; Adults, India's first notepad to save and share your child's first creatives via Ruffpad app on your Smartphone(Black)"/>
    <s v="Computers&amp;Accessories"/>
    <x v="0"/>
    <s v="Accessories&amp;Peripherals"/>
    <s v="GraphicTablets"/>
    <n v="378"/>
    <n v="999"/>
    <n v="62"/>
    <n v="4.0999999999999996"/>
    <n v="1779"/>
    <n v="4.0895676426384213"/>
    <s v="High (1,000+)"/>
    <x v="0"/>
    <n v="53.1"/>
    <s v="Above median"/>
    <b v="0"/>
    <b v="0"/>
    <b v="0"/>
    <n v="1.31"/>
    <n v="1"/>
    <x v="0"/>
    <s v="https://www.amazon.in/Portronics-Ruffpad-Multicolor-8-5-inch-Handwriting/dp/B09GFN8WZL/ref=sr_1_244?qid=1672903007&amp;s=computers&amp;sr=1-244"/>
  </r>
  <r>
    <s v="B095X38CJS"/>
    <s v="BRUSTRO Copytinta Coloured Craft Paper A4 Size 80 GSM Mixed Bright Colour 40 Sheets Pack (10 cols X 4 Sheets) Double Side Color for Office Printing, Art and Craft."/>
    <s v="OfficeProducts"/>
    <x v="2"/>
    <s v="OfficePaperProducts"/>
    <s v="ColouredPaper"/>
    <n v="99"/>
    <n v="99"/>
    <n v="0"/>
    <n v="4.3"/>
    <n v="388"/>
    <n v="4.1047678813831618"/>
    <s v="Medium (100-999)"/>
    <x v="0"/>
    <n v="43.4"/>
    <s v="Below median"/>
    <b v="0"/>
    <b v="0"/>
    <b v="0"/>
    <m/>
    <n v="1"/>
    <x v="0"/>
    <s v="https://www.amazon.in/BRUSTRO-Copytinta-Coloured-Bright-Printing/dp/B095X38CJS/ref=sr_1_245?qid=1672903007&amp;s=computers&amp;sr=1-245"/>
  </r>
  <r>
    <s v="B07ZKD8T1Q"/>
    <s v="Cuzor 12V Mini ups for WiFi Router | Power Backup up to 4 Hours | Replaceable Battery | Ups for Wi-Fi Router and Modem | Ups for Router up to 2A | ups for uninterrupted wi-fi"/>
    <s v="Computers&amp;Accessories"/>
    <x v="0"/>
    <s v="NetworkingDevices"/>
    <s v="Routers"/>
    <n v="1499"/>
    <n v="2999"/>
    <n v="50"/>
    <n v="4.5"/>
    <n v="8656"/>
    <n v="4.3741546154270496"/>
    <s v="High (1,000+)"/>
    <x v="4"/>
    <n v="72"/>
    <s v="Top 25%"/>
    <b v="0"/>
    <b v="0"/>
    <b v="0"/>
    <m/>
    <n v="1"/>
    <x v="0"/>
    <s v="https://www.amazon.in/Cuzor-Router-Switching-Moisture-Resistant/dp/B07ZKD8T1Q/ref=sr_1_246?qid=1672903007&amp;s=computers&amp;sr=1-246"/>
  </r>
  <r>
    <s v="B07G3YNLJB"/>
    <s v="Crucial BX500 240GB 3D NAND SATA 6.35 cm (2.5-inch) SSD (CT240BX500SSD1)"/>
    <s v="Computers&amp;Accessories"/>
    <x v="0"/>
    <s v="Components"/>
    <s v="InternalSolidStateDrives"/>
    <n v="1815"/>
    <n v="3100"/>
    <n v="41"/>
    <n v="4.5"/>
    <n v="92925"/>
    <n v="4.4838364741221026"/>
    <s v="High (1,000+)"/>
    <x v="4"/>
    <n v="70.599999999999994"/>
    <s v="Top 25%"/>
    <b v="0"/>
    <b v="0"/>
    <b v="0"/>
    <m/>
    <n v="1"/>
    <x v="0"/>
    <s v="https://www.amazon.in/Crucial-BX500-240GB-2-5-inch-CT240BX500SSD1/dp/B07G3YNLJB/ref=sr_1_247?qid=1672903007&amp;s=computers&amp;sr=1-247"/>
  </r>
  <r>
    <s v="B00P93X2H6"/>
    <s v="Classmate Pulse Spiral Notebook - 240 mm x 180 mm, Soft Cover, 200 Pages, Unruled"/>
    <s v="OfficeProducts"/>
    <x v="2"/>
    <s v="OfficePaperProducts"/>
    <s v="CompositionNotebooks"/>
    <n v="67"/>
    <n v="75"/>
    <n v="11"/>
    <n v="4.0999999999999996"/>
    <n v="1269"/>
    <n v="4.0885102040506434"/>
    <s v="High (1,000+)"/>
    <x v="0"/>
    <n v="39"/>
    <s v="Below median"/>
    <b v="0"/>
    <b v="0"/>
    <b v="0"/>
    <m/>
    <n v="1"/>
    <x v="0"/>
    <s v="https://www.amazon.in/Classmate-Pulse-Spiral-Notebook-Unruled/dp/B00P93X2H6/ref=sr_1_248?qid=1672903007&amp;s=computers&amp;sr=1-248"/>
  </r>
  <r>
    <s v="B0798PJPCL"/>
    <s v="Portronics My buddy plus Adjustable Laptop cooling Table (Brown)"/>
    <s v="Computers&amp;Accessories"/>
    <x v="0"/>
    <s v="Accessories&amp;Peripherals"/>
    <s v="Lapdesks"/>
    <n v="1889"/>
    <n v="2699"/>
    <n v="30"/>
    <n v="4.3"/>
    <n v="17394"/>
    <n v="4.2616991984345622"/>
    <s v="High (1,000+)"/>
    <x v="4"/>
    <n v="53.1"/>
    <s v="Above median"/>
    <b v="0"/>
    <b v="0"/>
    <b v="0"/>
    <n v="3.29"/>
    <n v="1"/>
    <x v="0"/>
    <s v="https://www.amazon.in/Portronics-POR-895-Adjustable-Laptop-Table/dp/B0798PJPCL/ref=sr_1_249?qid=1672903007&amp;s=computers&amp;sr=1-249"/>
  </r>
  <r>
    <s v="B09GFWJDY1"/>
    <s v="ZEBRONICS Zeb-Evolve Wireless in Ear Neckband Earphone with Supporting Bluetooth v5.0, Voice Assistant, Rapid Charge, Call Function &amp; Magnetic Earpiece, with mic (Metallic Blue)"/>
    <s v="Electronics"/>
    <x v="1"/>
    <s v="Headphones,Earbuds&amp;Accessories"/>
    <s v="In-Ear"/>
    <n v="499"/>
    <n v="1499"/>
    <n v="67"/>
    <n v="3.6"/>
    <n v="9169"/>
    <n v="3.7410075468182979"/>
    <s v="High (1,000+)"/>
    <x v="0"/>
    <n v="39.700000000000003"/>
    <s v="Below median"/>
    <b v="0"/>
    <b v="0"/>
    <b v="1"/>
    <n v="0.53"/>
    <n v="1"/>
    <x v="0"/>
    <s v="https://www.amazon.in/ZEBRONICS-Zeb-Evolve-Supporting-Metallic-Blue/dp/B09GFWJDY1/ref=sr_1_250?qid=1672903007&amp;s=computers&amp;sr=1-250"/>
  </r>
  <r>
    <s v="B09MZ6WZ6V"/>
    <s v="INOVERA World Map Extended Anti Slip Rubber Gaming Stitched Mouse Pad Desk Mat for Computer Laptop (Black, 900L x 400B x 2H mm)"/>
    <s v="Computers&amp;Accessories"/>
    <x v="0"/>
    <s v="Accessories&amp;Peripherals"/>
    <s v="MousePads"/>
    <n v="499"/>
    <n v="999"/>
    <n v="50"/>
    <n v="4.4000000000000004"/>
    <n v="1030"/>
    <n v="4.1524129560106031"/>
    <s v="High (1,000+)"/>
    <x v="0"/>
    <n v="56.5"/>
    <s v="Above median"/>
    <b v="0"/>
    <b v="0"/>
    <b v="0"/>
    <m/>
    <n v="1"/>
    <x v="0"/>
    <s v="https://www.amazon.in/INOVERA-Extended-Rubber-Stitched-Computer/dp/B09MZ6WZ6V/ref=sr_1_251?qid=1672903007&amp;s=computers&amp;sr=1-251"/>
  </r>
  <r>
    <s v="B094QZLJQ6"/>
    <s v="Seagate One Touch 2TB External HDD with Password Protection – Black, for Windows and Mac, with 3 yr Data Recovery Services, and 4 Months Adobe CC Photography (STKY2000400)"/>
    <s v="Computers&amp;Accessories"/>
    <x v="0"/>
    <s v="ExternalDevices&amp;DataStorage"/>
    <s v="ExternalHardDisks"/>
    <n v="5799"/>
    <n v="7999"/>
    <n v="28"/>
    <n v="4.5"/>
    <n v="50273"/>
    <n v="4.4710780707438778"/>
    <s v="High (1,000+)"/>
    <x v="3"/>
    <n v="57.4"/>
    <s v="Above median"/>
    <b v="0"/>
    <b v="0"/>
    <b v="0"/>
    <m/>
    <n v="1"/>
    <x v="0"/>
    <s v="https://www.amazon.in/Seagate-Touch-External-Password-Protection/dp/B094QZLJQ6/ref=sr_1_252?qid=1672903007&amp;s=computers&amp;sr=1-252"/>
  </r>
  <r>
    <s v="B07L3NDN24"/>
    <s v="ZEBRONICS Zeb-Fame 5watts 2.0 Multi Media Speakers with AUX, USB and Volume Control (Black)"/>
    <s v="Electronics"/>
    <x v="1"/>
    <s v="HomeAudio"/>
    <s v="MultimediaSpeakerSystems"/>
    <n v="499"/>
    <n v="799"/>
    <n v="38"/>
    <n v="3.9"/>
    <n v="6742"/>
    <n v="3.9661325233643501"/>
    <s v="High (1,000+)"/>
    <x v="0"/>
    <n v="31.2"/>
    <s v="Bottom 25%"/>
    <b v="0"/>
    <b v="0"/>
    <b v="0"/>
    <m/>
    <n v="1"/>
    <x v="0"/>
    <s v="https://www.amazon.in/Zebronics-Zeb-Fame-Multi-Speakers-Control/dp/B07L3NDN24/ref=sr_1_253?qid=1672903007&amp;s=computers&amp;sr=1-253"/>
  </r>
  <r>
    <s v="B08WD18LJZ"/>
    <s v="TVARA LCD Writing Tablet 8.5 Inch E-Note Pad LCD Writing Tablet, Kids Drawing Pad 8.5 Inch Doodle Board, Toddler Boy and Girl Learning Gift for 3 4 5 6 Years Old, Black"/>
    <s v="Computers&amp;Accessories"/>
    <x v="0"/>
    <s v="Accessories&amp;Peripherals"/>
    <s v="GraphicTablets"/>
    <n v="249"/>
    <n v="600"/>
    <n v="59"/>
    <n v="4"/>
    <n v="1208"/>
    <n v="4.0640658065950754"/>
    <s v="High (1,000+)"/>
    <x v="0"/>
    <n v="48"/>
    <s v="Below median"/>
    <b v="0"/>
    <b v="0"/>
    <b v="0"/>
    <n v="0.86"/>
    <n v="1"/>
    <x v="0"/>
    <s v="https://www.amazon.in/TVARA-Writing-Tablet-Inch-Note/dp/B08WD18LJZ/ref=sr_1_254?qid=1672903007&amp;s=computers&amp;sr=1-254"/>
  </r>
  <r>
    <s v="B06XDKWLJH"/>
    <s v="Western Digital WD 1.5TB Elements Portable Hard Disk Drive, USB 3.0, Compatible with PC, PS4 and Xbox, External HDD (WDBU6Y0015BBK-WESN)"/>
    <s v="Computers&amp;Accessories"/>
    <x v="0"/>
    <s v="ExternalDevices&amp;DataStorage"/>
    <s v="ExternalHardDisks"/>
    <n v="4449"/>
    <n v="5734"/>
    <n v="22"/>
    <n v="4.4000000000000004"/>
    <n v="25006"/>
    <n v="4.3587548565855299"/>
    <s v="High (1,000+)"/>
    <x v="3"/>
    <n v="53.9"/>
    <s v="Above median"/>
    <b v="0"/>
    <b v="0"/>
    <b v="0"/>
    <m/>
    <n v="1"/>
    <x v="0"/>
    <s v="https://www.amazon.in/Elements-Portable-External-Drive-Black/dp/B06XDKWLJH/ref=sr_1_256?qid=1672903007&amp;s=computers&amp;sr=1-256"/>
  </r>
  <r>
    <s v="B01J1CFO5I"/>
    <s v="Redgear MP35 Speed-Type Gaming Mousepad (Black/Red)"/>
    <s v="Computers&amp;Accessories"/>
    <x v="0"/>
    <s v="Accessories&amp;Peripherals"/>
    <s v="Gamepads"/>
    <n v="299"/>
    <n v="550"/>
    <n v="46"/>
    <n v="4.5999999999999996"/>
    <n v="33434"/>
    <n v="4.5478698020426878"/>
    <s v="High (1,000+)"/>
    <x v="0"/>
    <n v="75.099999999999994"/>
    <s v="Top 25%"/>
    <b v="0"/>
    <b v="0"/>
    <b v="0"/>
    <m/>
    <n v="1"/>
    <x v="0"/>
    <s v="https://www.amazon.in/Redgear-MP35-Speed-Type-Gaming-Mousepad/dp/B01J1CFO5I/ref=sr_1_257?qid=1672903007&amp;s=computers&amp;sr=1-257"/>
  </r>
  <r>
    <s v="B07J2NGB69"/>
    <s v="Lenovo 400 Wireless Mouse, 1200DPI Optical Sensor, 2.4GHz Wireless Nano USB, 3-Button (Left,Right,Scroll) Upto 8M Left/Right &amp; 100K Scroll clicks &amp; 1yr Battery, Ambidextrous, Ergonomic GY50R91293"/>
    <s v="Computers&amp;Accessories"/>
    <x v="0"/>
    <s v="Accessories&amp;Peripherals"/>
    <s v="Mice"/>
    <n v="629"/>
    <n v="1390"/>
    <n v="55"/>
    <n v="4.4000000000000004"/>
    <n v="6301"/>
    <n v="4.2820926210245762"/>
    <s v="High (1,000+)"/>
    <x v="2"/>
    <n v="68.900000000000006"/>
    <s v="Top 25%"/>
    <b v="0"/>
    <b v="0"/>
    <b v="0"/>
    <n v="1.1000000000000001"/>
    <n v="1"/>
    <x v="0"/>
    <s v="https://www.amazon.in/Lenovo-GY50R91293-Wireless-Mouse-Black/dp/B07J2NGB69/ref=sr_1_258?qid=1672903007&amp;s=computers&amp;sr=1-258"/>
  </r>
  <r>
    <s v="B00MUTWLW4"/>
    <s v="Logitech K480 Wireless Multi-Device Keyboard for Windows, macOS, iPadOS, Android or Chrome OS, Bluetooth, Compact, Compatible with PC, Mac, Laptop, Smartphone, Tablet - Black"/>
    <s v="Computers&amp;Accessories"/>
    <x v="0"/>
    <s v="Accessories&amp;Peripherals"/>
    <s v="Keyboards"/>
    <n v="2595"/>
    <n v="3295"/>
    <n v="21"/>
    <n v="4.4000000000000004"/>
    <n v="22618"/>
    <n v="4.3550212881363439"/>
    <s v="High (1,000+)"/>
    <x v="3"/>
    <n v="53"/>
    <s v="Above median"/>
    <b v="0"/>
    <b v="0"/>
    <b v="0"/>
    <m/>
    <n v="1"/>
    <x v="0"/>
    <s v="https://www.amazon.in/Logitech-Multi-Device-Bluetooth-Keyboard-Black/dp/B00MUTWLW4/ref=sr_1_259?qid=1672903007&amp;s=computers&amp;sr=1-259"/>
  </r>
  <r>
    <s v="B017NC2IPM"/>
    <s v="RESONATE RouterUPS CRU12V2A | Zero Drop | UPS for WiFi Router | Mini UPS | Up to 4 Hours PowerBackup | Battery Replacement Program | Router UPS Compatible with 12V &lt;2A Routers, FTTH, Modem, Set Top Box, Alexa, Mini Camera"/>
    <s v="Computers&amp;Accessories"/>
    <x v="0"/>
    <s v="NetworkingDevices"/>
    <s v="Routers"/>
    <n v="1799"/>
    <n v="2911"/>
    <n v="38"/>
    <n v="4.3"/>
    <n v="20342"/>
    <n v="4.2663834176888464"/>
    <s v="High (1,000+)"/>
    <x v="4"/>
    <n v="60.2"/>
    <s v="Above median"/>
    <b v="0"/>
    <b v="0"/>
    <b v="0"/>
    <m/>
    <n v="1"/>
    <x v="0"/>
    <s v="https://www.amazon.in/Resonate-RouterUPS-CRU12V2-Backup-Router/dp/B017NC2IPM/ref=sr_1_261?qid=1672903007&amp;s=computers&amp;sr=1-261"/>
  </r>
  <r>
    <s v="B00N1U7JXM"/>
    <s v="3M Post-it Sticky Note Cube, 200 Sheets (4 Colors x 50 Sheets) | 3&quot; x 3&quot; Size | For notes, reminders, study, school and organizing"/>
    <s v="OfficeProducts"/>
    <x v="2"/>
    <s v="OfficePaperProducts"/>
    <s v="Notepads&amp;MemoBooks"/>
    <n v="90"/>
    <n v="175"/>
    <n v="49"/>
    <n v="4.4000000000000004"/>
    <n v="7429"/>
    <n v="4.2939765975678714"/>
    <s v="High (1,000+)"/>
    <x v="0"/>
    <n v="74.8"/>
    <s v="Top 25%"/>
    <b v="0"/>
    <b v="0"/>
    <b v="0"/>
    <m/>
    <n v="1"/>
    <x v="0"/>
    <s v="https://www.amazon.in/Post-Cubes-sheets-colours-inches/dp/B00N1U7JXM/ref=sr_1_262_mod_primary_new?qid=1672903007&amp;s=computers&amp;sbo=RZvfv%2F%2FHxDF%2BO5021pAnSA%3D%3D&amp;sr=1-262"/>
  </r>
  <r>
    <s v="B08HQL67D6"/>
    <s v="OFIXO Multi-Purpose Laptop Table/Study Table/Bed Table/Foldable and Portable Wooden/Writing Desk (Wooden)"/>
    <s v="Computers&amp;Accessories"/>
    <x v="0"/>
    <s v="Accessories&amp;Peripherals"/>
    <s v="Lapdesks"/>
    <n v="599"/>
    <n v="599"/>
    <n v="0"/>
    <n v="4"/>
    <n v="26423"/>
    <n v="4.010549405896235"/>
    <s v="High (1,000+)"/>
    <x v="2"/>
    <n v="14.3"/>
    <s v="Bottom 25%"/>
    <b v="0"/>
    <b v="0"/>
    <b v="0"/>
    <n v="1.04"/>
    <n v="1"/>
    <x v="0"/>
    <s v="https://www.amazon.in/OFIXO-Multi-Purpose-Foldable-Portable-Writing/dp/B08HQL67D6/ref=sr_1_264?qid=1672903007&amp;s=computers&amp;sr=1-264"/>
  </r>
  <r>
    <s v="B09RKFBCV7"/>
    <s v="Fire-Boltt Ninja Calling 1.69&quot; Bluetooth Calling Smart Watch, Dial Pad, Speaker, AI Voice Assistant with 450 NITS Peak Brightness, Wrist Gaming &amp; 100+ Watch Faces with SpO2, HR, Multiple Sports Mode"/>
    <s v="Electronics"/>
    <x v="1"/>
    <s v="WearableTechnology"/>
    <s v="SmartWatches"/>
    <n v="1999"/>
    <n v="7999"/>
    <n v="75"/>
    <n v="4.2"/>
    <n v="31305"/>
    <n v="4.1876221313661031"/>
    <s v="High (1,000+)"/>
    <x v="4"/>
    <n v="74.5"/>
    <s v="Top 25%"/>
    <b v="0"/>
    <b v="0"/>
    <b v="0"/>
    <n v="0.91"/>
    <n v="1"/>
    <x v="0"/>
    <s v="https://www.amazon.in/Fire-Boltt-Bluetooth-Smartwatch-Monitoring-Assistant/dp/B09RKFBCV7/ref=sr_1_265?qid=1672903008&amp;s=computers&amp;sr=1-265"/>
  </r>
  <r>
    <s v="B08KHM9VBJ"/>
    <s v="Airtel AMF-311WW Data Card (Black), 4g Hotspot Support with 2300 Mah Battery"/>
    <s v="Computers&amp;Accessories"/>
    <x v="0"/>
    <s v="NetworkingDevices"/>
    <s v="DataCards&amp;Dongles"/>
    <n v="2099"/>
    <n v="3250"/>
    <n v="35"/>
    <n v="3.8"/>
    <n v="11213"/>
    <n v="3.8715127435932559"/>
    <s v="High (1,000+)"/>
    <x v="4"/>
    <n v="17.100000000000001"/>
    <s v="Bottom 25%"/>
    <b v="0"/>
    <b v="0"/>
    <b v="1"/>
    <m/>
    <n v="1"/>
    <x v="0"/>
    <s v="https://www.amazon.in/Airtel-DigitalTV-Hotspot-Router-ongle/dp/B08KHM9VBJ/ref=sr_1_266?qid=1672903008&amp;s=computers&amp;sr=1-266"/>
  </r>
  <r>
    <s v="B01IOZUHRS"/>
    <s v="Gizga Essentials Laptop Power Cable Cord- 3 Pin Adapter Isi Certified(1 Meter/3.3 Feet)"/>
    <s v="Computers&amp;Accessories"/>
    <x v="0"/>
    <s v="Accessories&amp;Peripherals"/>
    <s v="LaptopChargers&amp;PowerSupplies"/>
    <n v="179"/>
    <n v="499"/>
    <n v="64"/>
    <n v="4.0999999999999996"/>
    <n v="10174"/>
    <n v="4.0958518345123096"/>
    <s v="High (1,000+)"/>
    <x v="0"/>
    <n v="63.6"/>
    <s v="Top 25%"/>
    <b v="0"/>
    <b v="0"/>
    <b v="0"/>
    <m/>
    <n v="1"/>
    <x v="0"/>
    <s v="https://www.amazon.in/Gizga-Essentials-Laptop-Adapter-Certified/dp/B01IOZUHRS/ref=sr_1_267?qid=1672903008&amp;s=computers&amp;sr=1-267"/>
  </r>
  <r>
    <s v="B00CEQEGPI"/>
    <s v="Logitech MK270r USB Wireless Keyboard and Mouse Set for Windows, 2.4 GHz Wireless, Spill-resistant Design, 8 Multimedia &amp; Shortcut Keys, 2-Year Battery Life, PC/Laptop- Black"/>
    <s v="Computers&amp;Accessories"/>
    <x v="0"/>
    <s v="Accessories&amp;Peripherals"/>
    <s v="Keyboard&amp;MouseSets"/>
    <n v="1345"/>
    <n v="2295"/>
    <n v="41"/>
    <n v="4.2"/>
    <n v="17413"/>
    <n v="4.1795017398257803"/>
    <s v="High (1,000+)"/>
    <x v="4"/>
    <n v="51.1"/>
    <s v="Above median"/>
    <b v="0"/>
    <b v="0"/>
    <b v="0"/>
    <n v="1.02"/>
    <n v="1"/>
    <x v="0"/>
    <s v="https://www.amazon.in/Logitech-Wireless-mk270r-Keyboard-Mouse/dp/B00CEQEGPI/ref=sr_1_268?qid=1672903008&amp;s=computers&amp;sr=1-268"/>
  </r>
  <r>
    <s v="B08B6XWQ1C"/>
    <s v="DIGITEK® (DTR-200MT) (18 CM) Portable &amp; Flexible Mini Tripod with Mobile Holder &amp; 360 Degree Ball Head, For Smart Phones, Compact Cameras, GoPro, Maximum Operating Height: 7.87 Inch, Maximum Load Upto: 1 kgs"/>
    <s v="Electronics"/>
    <x v="1"/>
    <s v="Cameras&amp;Photography"/>
    <s v="TripodLegs"/>
    <n v="349"/>
    <n v="995"/>
    <n v="65"/>
    <n v="4.2"/>
    <n v="6676"/>
    <n v="4.158417310119348"/>
    <s v="High (1,000+)"/>
    <x v="0"/>
    <n v="73.599999999999994"/>
    <s v="Top 25%"/>
    <b v="0"/>
    <b v="0"/>
    <b v="0"/>
    <m/>
    <n v="1"/>
    <x v="0"/>
    <s v="https://www.amazon.in/DIGITEK-Portable-Flexible-Compact-Operating/dp/B08B6XWQ1C/ref=sr_1_269?qid=1672903008&amp;s=computers&amp;sr=1-269"/>
  </r>
  <r>
    <s v="B01DGVKBC6"/>
    <s v="FEDUS Cat6 Ethernet Cable, 10 Meter High Speed 550MHZ / 10 Gigabit Speed UTP LAN Cable, Network Cable Internet Cable RJ45 Cable LAN Wire, Patch Computer Cord Gigabit Category 6 Wires for Modem, Router"/>
    <s v="Computers&amp;Accessories"/>
    <x v="0"/>
    <s v="Accessories&amp;Peripherals"/>
    <s v="EthernetCables"/>
    <n v="287"/>
    <n v="499"/>
    <n v="42"/>
    <n v="4.4000000000000004"/>
    <n v="8076"/>
    <n v="4.299771009138051"/>
    <s v="High (1,000+)"/>
    <x v="0"/>
    <n v="69.400000000000006"/>
    <s v="Top 25%"/>
    <b v="0"/>
    <b v="0"/>
    <b v="0"/>
    <m/>
    <n v="1"/>
    <x v="0"/>
    <s v="https://www.amazon.in/Technotech-Ethernet-Network-Patch-Cable/dp/B01DGVKBC6/ref=sr_1_270?qid=1672903008&amp;s=computers&amp;sr=1-270"/>
  </r>
  <r>
    <s v="B08JD36C6H"/>
    <s v="Kingston DataTraveler Exodia DTX/32 GB Pen Drive USB 3.2 Gen 1 (Multicolor)"/>
    <s v="Computers&amp;Accessories"/>
    <x v="0"/>
    <s v="ExternalDevices&amp;DataStorage"/>
    <s v="PenDrives"/>
    <n v="349"/>
    <n v="450"/>
    <n v="22"/>
    <n v="4.0999999999999996"/>
    <n v="18656"/>
    <n v="4.0974212856203946"/>
    <s v="High (1,000+)"/>
    <x v="0"/>
    <n v="45.8"/>
    <s v="Below median"/>
    <b v="0"/>
    <b v="0"/>
    <b v="0"/>
    <n v="0.64"/>
    <n v="1"/>
    <x v="0"/>
    <s v="https://www.amazon.in/Kingston-DataTraveler-Exodia-DTX-Flash/dp/B08JD36C6H/ref=sr_1_272?qid=1672903008&amp;s=computers&amp;sr=1-272"/>
  </r>
  <r>
    <s v="B00E3DVQFS"/>
    <s v="Duracell Rechargeable AA 2500mAh Batteries, 4 Pcs"/>
    <s v="Electronics"/>
    <x v="1"/>
    <s v="GeneralPurposeBatteries&amp;BatteryChargers"/>
    <s v="DisposableBatteries"/>
    <n v="879"/>
    <n v="1109"/>
    <n v="21"/>
    <n v="4.4000000000000004"/>
    <n v="31599"/>
    <n v="4.3664448366636268"/>
    <s v="High (1,000+)"/>
    <x v="2"/>
    <n v="55.4"/>
    <s v="Above median"/>
    <b v="0"/>
    <b v="0"/>
    <b v="0"/>
    <m/>
    <n v="1"/>
    <x v="0"/>
    <s v="https://www.amazon.in/Duracell-Ultra-5000688-Rechargeable-Batteries/dp/B00E3DVQFS/ref=sr_1_274?qid=1672903008&amp;s=computers&amp;sr=1-274"/>
  </r>
  <r>
    <s v="B00BN5SNF0"/>
    <s v="ENVIE® (AA10004PLNi-CD) AA Rechargeable Batteries, Low Self Discharge, AA 1000mAh Ni-CD (Pack of 4)"/>
    <s v="Electronics"/>
    <x v="1"/>
    <s v="GeneralPurposeBatteries&amp;BatteryChargers"/>
    <s v="RechargeableBatteries"/>
    <n v="250"/>
    <n v="250"/>
    <n v="0"/>
    <n v="3.9"/>
    <n v="13971"/>
    <n v="3.9391738287242122"/>
    <s v="High (1,000+)"/>
    <x v="0"/>
    <n v="15.4"/>
    <s v="Bottom 25%"/>
    <b v="0"/>
    <b v="0"/>
    <b v="0"/>
    <m/>
    <n v="1"/>
    <x v="0"/>
    <s v="https://www.amazon.in/Envie-1000-4PL-Ni-CD-Rechargeable/dp/B00BN5SNF0/ref=sr_1_276?qid=1672903008&amp;s=computers&amp;sr=1-276"/>
  </r>
  <r>
    <s v="B09SGGRKV8"/>
    <s v="ZEBRONICS Zeb-Buds 30 3.5Mm Stereo Wired in Ear Earphones with Mic for Calling, Volume Control, Multifunction Button, 14Mm Drivers, Stylish Eartip,1.2 Meter Durable Cable and Lightweight Design(Red)"/>
    <s v="Electronics"/>
    <x v="1"/>
    <s v="Headphones,Earbuds&amp;Accessories"/>
    <s v="In-Ear"/>
    <n v="199"/>
    <n v="499"/>
    <n v="60"/>
    <n v="3.6"/>
    <n v="2492"/>
    <n v="3.8915403456200841"/>
    <s v="High (1,000+)"/>
    <x v="0"/>
    <n v="42"/>
    <s v="Below median"/>
    <b v="0"/>
    <b v="0"/>
    <b v="1"/>
    <n v="0.21"/>
    <n v="1"/>
    <x v="0"/>
    <s v="https://www.amazon.in/Zebronics-Zeb-Buds-30-Multifunction-Lightweight/dp/B09SGGRKV8/ref=sr_1_278?qid=1672903008&amp;s=computers&amp;sr=1-278"/>
  </r>
  <r>
    <s v="B084BR3QX8"/>
    <s v="LAPSTER Accessories Power Cable Cord 2 Pin Laptop Adapter and Tape Recorder 1.5M"/>
    <s v="Computers&amp;Accessories"/>
    <x v="0"/>
    <s v="Accessories&amp;Peripherals"/>
    <s v="LaptopChargers&amp;PowerSupplies"/>
    <n v="149"/>
    <n v="999"/>
    <n v="85"/>
    <n v="3.5"/>
    <n v="2523"/>
    <n v="3.8499624678515341"/>
    <s v="High (1,000+)"/>
    <x v="0"/>
    <n v="47.4"/>
    <s v="Below median"/>
    <b v="0"/>
    <b v="0"/>
    <b v="1"/>
    <m/>
    <n v="1"/>
    <x v="0"/>
    <s v="https://www.amazon.in/LS-LAPSTER-Accessories-Adapter-Recorder/dp/B084BR3QX8/ref=sr_1_282?qid=1672903008&amp;s=computers&amp;sr=1-282"/>
  </r>
  <r>
    <s v="B09VC2D2WG"/>
    <s v="Portronics Ruffpad 12E Re-Writable LCD Writing Pad with 30.4cm (12 inch) Writing Area, Single Tap Erase, Smart Lock, Long Battery Life, India's first notepad to save and share your child's first creatives via Ruffpad app on your Smartphone(Black)"/>
    <s v="Computers&amp;Accessories"/>
    <x v="0"/>
    <s v="Accessories&amp;Peripherals"/>
    <s v="GraphicTablets"/>
    <n v="469"/>
    <n v="1499"/>
    <n v="69"/>
    <n v="4.0999999999999996"/>
    <n v="352"/>
    <n v="4.0859494693597798"/>
    <s v="Medium (100-999)"/>
    <x v="0"/>
    <n v="52.1"/>
    <s v="Above median"/>
    <b v="0"/>
    <b v="0"/>
    <b v="0"/>
    <n v="1.62"/>
    <n v="1"/>
    <x v="0"/>
    <s v="https://www.amazon.in/Portronics-Ruffpad-Re-Writable-Writing-Battery/dp/B09VC2D2WG/ref=sr_1_283?qid=1672903008&amp;s=computers&amp;sr=1-283"/>
  </r>
  <r>
    <s v="B09163Q5CD"/>
    <s v="Verilux® USB C Hub Multiport Adapter- 6 in 1 Portable Aluminum Type C Hub with 4K HDMI Output, USB 2.0/3.0 Ports, SD/Micro SD Card Reader Compatible for MacBook Pro 2016-2020, MacBook Air 2018-2020, Type-C Devices"/>
    <s v="Computers&amp;Accessories"/>
    <x v="0"/>
    <s v="Accessories&amp;Peripherals"/>
    <s v="USBHubs"/>
    <n v="1187"/>
    <n v="1929"/>
    <n v="38"/>
    <n v="4.0999999999999996"/>
    <n v="1662"/>
    <n v="4.0893426291235713"/>
    <s v="High (1,000+)"/>
    <x v="4"/>
    <n v="35.1"/>
    <s v="Bottom 25%"/>
    <b v="0"/>
    <b v="0"/>
    <b v="0"/>
    <m/>
    <n v="1"/>
    <x v="0"/>
    <s v="https://www.amazon.in/Verilux%C2%AE-Multiport-Adapter-Portable-Compatible/dp/B09163Q5CD/ref=sr_1_284?qid=1672903008&amp;s=computers&amp;sr=1-284"/>
  </r>
  <r>
    <s v="B08K9PX15C"/>
    <s v="Zebronics Zeb Wonderbar 10 USB Powered 2.0 Computer Speaker with RGB Lights"/>
    <s v="Computers&amp;Accessories"/>
    <x v="0"/>
    <s v="Accessories&amp;Peripherals"/>
    <s v="PCSpeakers"/>
    <n v="849"/>
    <n v="1499"/>
    <n v="43"/>
    <n v="4"/>
    <n v="7352"/>
    <n v="4.0286507797634457"/>
    <s v="High (1,000+)"/>
    <x v="2"/>
    <n v="27.4"/>
    <s v="Bottom 25%"/>
    <b v="0"/>
    <b v="0"/>
    <b v="0"/>
    <m/>
    <n v="1"/>
    <x v="0"/>
    <s v="https://www.amazon.in/Zebronics-Wonderbar-Powered-Computer-Speaker/dp/B08K9PX15C/ref=sr_1_285?qid=1672903008&amp;s=computers&amp;sr=1-285"/>
  </r>
  <r>
    <s v="B083RD1J99"/>
    <s v="HP Wired Mouse 100 with 1600 DPI Optical Sensor, USB Plug-and -Play,ambidextrous Design, Built-in Scrolling and 3 Handy Buttons. 3-Years Warranty (6VY96AA)"/>
    <s v="Computers&amp;Accessories"/>
    <x v="0"/>
    <s v="Accessories&amp;Peripherals"/>
    <s v="Mice"/>
    <n v="328"/>
    <n v="399"/>
    <n v="18"/>
    <n v="4.0999999999999996"/>
    <n v="3441"/>
    <n v="4.0919746084099131"/>
    <s v="High (1,000+)"/>
    <x v="0"/>
    <n v="36.9"/>
    <s v="Bottom 25%"/>
    <b v="0"/>
    <b v="0"/>
    <b v="0"/>
    <n v="0.56999999999999995"/>
    <n v="1"/>
    <x v="0"/>
    <s v="https://www.amazon.in/HP-Wired-Mouse-100-6VY96AA/dp/B083RD1J99/ref=sr_1_286?qid=1672903008&amp;s=computers&amp;sr=1-286"/>
  </r>
  <r>
    <s v="B09Z7YGV3R"/>
    <s v="Anjaney Enterprise Smart Multipurpose Foldable Laptop Table with Cup Holder, Study Table, Bed Table, Breakfast Table, Foldable and Portable/Ergonomic &amp; Rounded Edges/Non-Slip (Black)"/>
    <s v="Computers&amp;Accessories"/>
    <x v="0"/>
    <s v="Accessories&amp;Peripherals"/>
    <s v="Lapdesks"/>
    <n v="269"/>
    <n v="699"/>
    <n v="62"/>
    <n v="4"/>
    <n v="93"/>
    <n v="4.0825934617250201"/>
    <s v="Low (&lt;100)"/>
    <x v="0"/>
    <n v="52.4"/>
    <s v="Above median"/>
    <b v="0"/>
    <b v="0"/>
    <b v="0"/>
    <n v="0.47"/>
    <n v="1"/>
    <x v="0"/>
    <s v="https://www.amazon.in/Anjaney-Enterprise-Multipurpose-Breakfast-Ergonomic/dp/B09Z7YGV3R/ref=sr_1_287?qid=1672903008&amp;s=computers&amp;sr=1-287"/>
  </r>
  <r>
    <s v="B00N3XLDW0"/>
    <s v="ENVIE ECR-20 Charger for AA &amp; AAA Rechargeable Batteries"/>
    <s v="Electronics"/>
    <x v="1"/>
    <s v="Cameras&amp;Photography"/>
    <s v="BatteryChargers"/>
    <n v="299"/>
    <n v="400"/>
    <n v="25"/>
    <n v="3.8"/>
    <n v="40895"/>
    <n v="3.823981169829946"/>
    <s v="High (1,000+)"/>
    <x v="0"/>
    <n v="23.5"/>
    <s v="Bottom 25%"/>
    <b v="0"/>
    <b v="0"/>
    <b v="1"/>
    <m/>
    <n v="1"/>
    <x v="0"/>
    <s v="https://www.amazon.in/ENVIE-ECR-20-Charger-Rechargeable-Batteries/dp/B00N3XLDW0/ref=sr_1_288?qid=1672903008&amp;s=computers&amp;sr=1-288"/>
  </r>
  <r>
    <s v="B07Z53L5QL"/>
    <s v="ProElite Faux Leather Smart Flip Case Cover for Apple iPad 10.2&quot; 9th Gen (2021) / 8th Gen / 7th Gen with Stylus Pen, Black"/>
    <s v="Computers&amp;Accessories"/>
    <x v="0"/>
    <s v="Accessories&amp;Peripherals"/>
    <s v="Cases"/>
    <n v="549"/>
    <n v="1499"/>
    <n v="63"/>
    <n v="4.3"/>
    <n v="11006"/>
    <n v="4.245132484116926"/>
    <s v="High (1,000+)"/>
    <x v="2"/>
    <n v="71.599999999999994"/>
    <s v="Top 25%"/>
    <b v="0"/>
    <b v="0"/>
    <b v="0"/>
    <m/>
    <n v="1"/>
    <x v="0"/>
    <s v="https://www.amazon.in/ProElite-Smart-Generation-Stylus-Translucent/dp/B07Z53L5QL/ref=sr_1_289?qid=1672903010&amp;s=computers&amp;sr=1-289"/>
  </r>
  <r>
    <s v="B00P93X0VO"/>
    <s v="Classmate Pulse 6 Subject Notebook - Unruled, 300 Pages, Spiral Binding, 240mm*180mm"/>
    <s v="OfficeProducts"/>
    <x v="2"/>
    <s v="OfficePaperProducts"/>
    <s v="WireboundNotebooks"/>
    <n v="114"/>
    <n v="120"/>
    <n v="5"/>
    <n v="4.2"/>
    <n v="8938"/>
    <n v="4.1658233212614322"/>
    <s v="High (1,000+)"/>
    <x v="0"/>
    <n v="48.5"/>
    <s v="Below median"/>
    <b v="0"/>
    <b v="0"/>
    <b v="0"/>
    <m/>
    <n v="1"/>
    <x v="0"/>
    <s v="https://www.amazon.in/Classmate-Pulse-Spiral-Notebook-Unruled/dp/B00P93X0VO/ref=sr_1_290?qid=1672903010&amp;s=computers&amp;sr=1-290"/>
  </r>
  <r>
    <s v="B07SBGFDX9"/>
    <s v="Pentonic Multicolor Ball Point Pen, Pack of 10"/>
    <s v="OfficeProducts"/>
    <x v="2"/>
    <s v="OfficePaperProducts"/>
    <s v="StickBallpointPens"/>
    <n v="120"/>
    <n v="120"/>
    <n v="0"/>
    <n v="4.0999999999999996"/>
    <n v="4308"/>
    <n v="4.092836762490653"/>
    <s v="High (1,000+)"/>
    <x v="0"/>
    <n v="36.200000000000003"/>
    <s v="Bottom 25%"/>
    <b v="0"/>
    <b v="0"/>
    <b v="0"/>
    <m/>
    <n v="1"/>
    <x v="0"/>
    <s v="https://www.amazon.in/Linc-Ball-Point-Pentonic-Multicolor/dp/B07SBGFDX9/ref=sr_1_291?qid=1672903010&amp;s=computers&amp;sr=1-291"/>
  </r>
  <r>
    <s v="B07X2L5Z8C"/>
    <s v="Logitech Pebble M350 Wireless Mouse with Bluetooth or USB - Silent, Slim Computer Mouse with Quiet Click for Laptop, Notebook, PC and Mac - Graphite"/>
    <s v="Computers&amp;Accessories"/>
    <x v="0"/>
    <s v="Accessories&amp;Peripherals"/>
    <s v="Mice"/>
    <n v="1490"/>
    <n v="2295"/>
    <n v="35"/>
    <n v="4.5999999999999996"/>
    <n v="10652"/>
    <n v="4.4654784482070706"/>
    <s v="High (1,000+)"/>
    <x v="4"/>
    <n v="61.4"/>
    <s v="Top 25%"/>
    <b v="0"/>
    <b v="0"/>
    <b v="0"/>
    <n v="2.6"/>
    <n v="1"/>
    <x v="0"/>
    <s v="https://www.amazon.in/Logitech-Pebble-M350-Wireless-Bluetooth/dp/B07X2L5Z8C/ref=sr_1_295?qid=1672903010&amp;s=computers&amp;sr=1-295"/>
  </r>
  <r>
    <s v="B00VA7YYUO"/>
    <s v="Apsara Platinum Pencils Value Pack - Pack of 20"/>
    <s v="Home&amp;Kitchen"/>
    <x v="3"/>
    <s v="CraftMaterials"/>
    <s v="WoodenPencils"/>
    <n v="99"/>
    <n v="99"/>
    <n v="0"/>
    <n v="4.3"/>
    <n v="5036"/>
    <n v="4.2079035166995302"/>
    <s v="High (1,000+)"/>
    <x v="0"/>
    <n v="55.9"/>
    <s v="Above median"/>
    <b v="0"/>
    <b v="0"/>
    <b v="0"/>
    <m/>
    <n v="1"/>
    <x v="0"/>
    <s v="https://www.amazon.in/Apsara-Platinum-Pencils-Value-Pack/dp/B00VA7YYUO/ref=sr_1_296?qid=1672903010&amp;s=computers&amp;sr=1-296"/>
  </r>
  <r>
    <s v="B07L9FW9GF"/>
    <s v="Zebronics Zeb-Power Wired USB Mouse, 3-Button, 1200 DPI Optical Sensor, Plug &amp; Play, for Windows/Mac"/>
    <s v="Computers&amp;Accessories"/>
    <x v="0"/>
    <s v="Accessories&amp;Peripherals"/>
    <s v="Mice"/>
    <n v="149"/>
    <n v="249"/>
    <n v="40"/>
    <n v="4"/>
    <n v="5057"/>
    <n v="4.0361062522456841"/>
    <s v="High (1,000+)"/>
    <x v="0"/>
    <n v="38.200000000000003"/>
    <s v="Bottom 25%"/>
    <b v="0"/>
    <b v="0"/>
    <b v="0"/>
    <n v="0.26"/>
    <n v="1"/>
    <x v="0"/>
    <s v="https://www.amazon.in/Zebronics-Zeb-Power-Wired-Mouse-Black/dp/B07L9FW9GF/ref=sr_1_297?qid=1672903010&amp;s=computers&amp;sr=1-297"/>
  </r>
  <r>
    <s v="B08D64C9FN"/>
    <s v="Ant Esports GM320 RGB Optical Wired Gaming Mouse | 8 Programmable Buttons | 12800 DPI"/>
    <s v="Computers&amp;Accessories"/>
    <x v="0"/>
    <s v="Accessories&amp;Peripherals"/>
    <s v="GamingMice"/>
    <n v="575"/>
    <n v="2799"/>
    <n v="79"/>
    <n v="4.2"/>
    <n v="8537"/>
    <n v="4.1647090606675734"/>
    <s v="High (1,000+)"/>
    <x v="2"/>
    <n v="68.900000000000006"/>
    <s v="Top 25%"/>
    <b v="0"/>
    <b v="0"/>
    <b v="0"/>
    <m/>
    <n v="1"/>
    <x v="0"/>
    <s v="https://www.amazon.in/Ant-Esports-GM320-Programmable-Comfortable/dp/B08D64C9FN/ref=sr_1_298?qid=1672903010&amp;s=computers&amp;sr=1-298"/>
  </r>
  <r>
    <s v="B00LOD70SC"/>
    <s v="Pilot V7 Liquid Ink Roller Ball Pen (2 Blue + 1 Black)"/>
    <s v="OfficeProducts"/>
    <x v="2"/>
    <s v="OfficePaperProducts"/>
    <s v="RetractableBallpointPens"/>
    <n v="178"/>
    <n v="210"/>
    <n v="15"/>
    <n v="4.3"/>
    <n v="2450"/>
    <n v="4.1695676606327261"/>
    <s v="High (1,000+)"/>
    <x v="0"/>
    <n v="46.2"/>
    <s v="Below median"/>
    <b v="0"/>
    <b v="0"/>
    <b v="0"/>
    <m/>
    <n v="1"/>
    <x v="0"/>
    <s v="https://www.amazon.in/Pilot-Liquid-Roller-Ball-Black/dp/B00LOD70SC/ref=sr_1_300?qid=1672903010&amp;s=computers&amp;sr=1-300"/>
  </r>
  <r>
    <s v="B09X76VL5L"/>
    <s v="boAt Airdopes 191G True Wireless Earbuds with ENx™ Tech Equipped Quad Mics, Beast™ Mode(Low Latency- 65ms) for Gaming, 2x6mm Dual Drivers, 30H Playtime, IPX5, IWP™, Appealing Case LEDs(Sport Blue)"/>
    <s v="Electronics"/>
    <x v="1"/>
    <s v="Headphones,Earbuds&amp;Accessories"/>
    <s v="In-Ear"/>
    <n v="1599"/>
    <n v="3490"/>
    <n v="54"/>
    <n v="3.7"/>
    <n v="676"/>
    <n v="4.0260536423748601"/>
    <s v="Medium (100-999)"/>
    <x v="4"/>
    <n v="33.299999999999997"/>
    <s v="Bottom 25%"/>
    <b v="0"/>
    <b v="0"/>
    <b v="1"/>
    <n v="1.68"/>
    <n v="1"/>
    <x v="0"/>
    <s v="https://www.amazon.in/boAt-Airdopes-191G-Wireless-Appealing/dp/B09X76VL5L/ref=sr_1_301?qid=1672903010&amp;s=computers&amp;sr=1-301"/>
  </r>
  <r>
    <s v="B091JF2TFD"/>
    <s v="Boult Audio BassBuds Oak in-Ear Wired Earphones with 10mm Extra Bass Driver and HD Sound with mic(Brown)"/>
    <s v="Electronics"/>
    <x v="1"/>
    <s v="Headphones,Earbuds&amp;Accessories"/>
    <s v="In-Ear"/>
    <n v="499"/>
    <n v="1299"/>
    <n v="62"/>
    <n v="3.9"/>
    <n v="1173"/>
    <n v="4.0407535389891223"/>
    <s v="High (1,000+)"/>
    <x v="0"/>
    <n v="47.9"/>
    <s v="Below median"/>
    <b v="0"/>
    <b v="0"/>
    <b v="0"/>
    <n v="0.53"/>
    <n v="1"/>
    <x v="0"/>
    <s v="https://www.amazon.in/Boult-Audio-BassBuds-Oak-Earphones/dp/B091JF2TFD/ref=sr_1_302?qid=1672903010&amp;s=computers&amp;sr=1-302"/>
  </r>
  <r>
    <s v="B07S7DCJKS"/>
    <s v="IT2M Designer Mouse Pad for Laptop/Computer (9.2 X 7.6 Inches, 12788)"/>
    <s v="Computers&amp;Accessories"/>
    <x v="0"/>
    <s v="Accessories&amp;Peripherals"/>
    <s v="MousePads"/>
    <n v="199"/>
    <n v="499"/>
    <n v="60"/>
    <n v="4.3"/>
    <n v="9998"/>
    <n v="4.2411132656284876"/>
    <s v="High (1,000+)"/>
    <x v="0"/>
    <n v="77.599999999999994"/>
    <s v="Top 25%"/>
    <b v="0"/>
    <b v="0"/>
    <b v="0"/>
    <m/>
    <n v="1"/>
    <x v="0"/>
    <s v="https://www.amazon.in/IT2M-Designer-Laptop-Computer-12788/dp/B07S7DCJKS/ref=sr_1_303?qid=1672903010&amp;s=computers&amp;sr=1-303"/>
  </r>
  <r>
    <s v="B09NC2TY11"/>
    <s v="Noise ColorFit Ultra Buzz Bluetooth Calling Smart Watch with 1.75&quot; HD Display, 320x385 px Resolution, 100 Sports Modes, Stock Market Info Smartwatch for Men &amp; Women (Olive Green)"/>
    <s v="Electronics"/>
    <x v="1"/>
    <s v="WearableTechnology"/>
    <s v="SmartWatches"/>
    <n v="2499"/>
    <n v="5999"/>
    <n v="58"/>
    <n v="4.0999999999999996"/>
    <n v="5852"/>
    <n v="4.0939871123491409"/>
    <s v="High (1,000+)"/>
    <x v="4"/>
    <n v="51.9"/>
    <s v="Above median"/>
    <b v="0"/>
    <b v="0"/>
    <b v="0"/>
    <n v="1.1399999999999999"/>
    <n v="1"/>
    <x v="0"/>
    <s v="https://www.amazon.in/Noise-ColorFit-Bluetooth-Resolution-Smartwatch/dp/B09NC2TY11/ref=sr_1_305?qid=1672903010&amp;s=computers&amp;sr=1-305"/>
  </r>
  <r>
    <s v="B0BDS8MY8J"/>
    <s v="Lapster Caddy for ssd and HDD, Optical Bay 2nd Hard Drive Caddy, Caddy 9.5mm for Laptop"/>
    <s v="Computers&amp;Accessories"/>
    <x v="0"/>
    <s v="Components"/>
    <s v="InternalHardDrives"/>
    <n v="199"/>
    <n v="999"/>
    <n v="80"/>
    <n v="4.2"/>
    <n v="362"/>
    <n v="4.0947603568143567"/>
    <s v="Medium (100-999)"/>
    <x v="0"/>
    <n v="72.7"/>
    <s v="Top 25%"/>
    <b v="0"/>
    <b v="0"/>
    <b v="0"/>
    <m/>
    <n v="1"/>
    <x v="0"/>
    <s v="https://www.amazon.in/Lapster-Caddy-Optical-Drive-Laptop/dp/B0BDS8MY8J/ref=sr_1_306?qid=1672903010&amp;s=computers&amp;sr=1-306"/>
  </r>
  <r>
    <s v="B09X7DY7Q4"/>
    <s v="SanDisk Extreme SD UHS I 64GB Card for 4K Video for DSLR and Mirrorless Cameras 170MB/s Read &amp; 80MB/s Write"/>
    <s v="Electronics"/>
    <x v="1"/>
    <s v="Accessories"/>
    <s v="MicroSD"/>
    <n v="939"/>
    <n v="1800"/>
    <n v="48"/>
    <n v="4.5"/>
    <n v="205052"/>
    <n v="4.4925157931641762"/>
    <s v="High (1,000+)"/>
    <x v="2"/>
    <n v="71.400000000000006"/>
    <s v="Top 25%"/>
    <b v="0"/>
    <b v="0"/>
    <b v="0"/>
    <m/>
    <n v="1"/>
    <x v="0"/>
    <s v="https://www.amazon.in/SanDisk-Extreme-Video-Mirrorless-Cameras/dp/B09X7DY7Q4/ref=sr_1_307?qid=1672903010&amp;s=computers&amp;sr=1-307"/>
  </r>
  <r>
    <s v="B09YV575RK"/>
    <s v="Fire-Boltt Ring Pro Bluetooth Calling, 1.75” 320*385px High Res, IP68 &amp; SpO2 Monitoring, Pin Code Locking Functionality &amp; Split Screen Access, Built in Mic &amp; Speaker for HD Calls, Black, Free Size"/>
    <s v="Electronics"/>
    <x v="1"/>
    <s v="WearableTechnology"/>
    <s v="SmartWatches"/>
    <n v="2499"/>
    <n v="9999"/>
    <n v="75"/>
    <n v="4"/>
    <n v="9090"/>
    <n v="4.0247764319533799"/>
    <s v="High (1,000+)"/>
    <x v="4"/>
    <n v="44.7"/>
    <s v="Below median"/>
    <b v="0"/>
    <b v="0"/>
    <b v="0"/>
    <n v="1.1399999999999999"/>
    <n v="1"/>
    <x v="0"/>
    <s v="https://www.amazon.in/Fire-Boltt-Bluetooth-Calling-Monitoring-Functionality/dp/B09YV575RK/ref=sr_1_308?qid=1672903010&amp;s=computers&amp;sr=1-308"/>
  </r>
  <r>
    <s v="B08LW31NQ6"/>
    <s v="Lenovo 600 Bluetooth 5.0 Silent Mouse: Compact, Portable, Dongle-Free Multi-Device connectivity with Microsoft Swift Pair | 3-Level Adjustable DPI up to 2400 | Battery Life: up to 1 yr"/>
    <s v="Computers&amp;Accessories"/>
    <x v="0"/>
    <s v="Accessories&amp;Peripherals"/>
    <s v="Mice"/>
    <n v="1439"/>
    <n v="2890"/>
    <n v="50"/>
    <n v="4.5"/>
    <n v="4099"/>
    <n v="4.301207033222771"/>
    <s v="High (1,000+)"/>
    <x v="4"/>
    <n v="64.8"/>
    <s v="Top 25%"/>
    <b v="0"/>
    <b v="0"/>
    <b v="0"/>
    <n v="2.5099999999999998"/>
    <n v="1"/>
    <x v="0"/>
    <s v="https://www.amazon.in/Lenovo-600-Bluetooth%C2%AE-Silent-Mouse/dp/B08LW31NQ6/ref=sr_1_309?qid=1672903010&amp;s=computers&amp;sr=1-309"/>
  </r>
  <r>
    <s v="B09ND94ZRG"/>
    <s v="Boult Audio Airbass Propods X TWS Bluetooth Truly Wireless in Ear Earbuds with Mic, 32H Playtime, Fast Charging Type-C, Ipx5 Water Resistant, Touch Controls and Voice Assistant (Red)"/>
    <s v="Electronics"/>
    <x v="1"/>
    <s v="Headphones,Earbuds&amp;Accessories"/>
    <s v="In-Ear"/>
    <n v="1099"/>
    <n v="5999"/>
    <n v="82"/>
    <n v="3.5"/>
    <n v="12966"/>
    <n v="3.6314935045987871"/>
    <s v="High (1,000+)"/>
    <x v="4"/>
    <n v="37.1"/>
    <s v="Bottom 25%"/>
    <b v="0"/>
    <b v="0"/>
    <b v="1"/>
    <n v="1.1599999999999999"/>
    <n v="1"/>
    <x v="0"/>
    <s v="https://www.amazon.in/Boult-Audio-Bluetooth-Resistant-Assistant/dp/B09ND94ZRG/ref=sr_1_310?qid=1672903010&amp;s=computers&amp;sr=1-310"/>
  </r>
  <r>
    <s v="B00P93X6EK"/>
    <s v="Classmate Soft Cover 6 Subject Spiral Binding Notebook, Unruled, 300 Pages"/>
    <s v="OfficeProducts"/>
    <x v="2"/>
    <s v="OfficePaperProducts"/>
    <s v="WireboundNotebooks"/>
    <n v="157"/>
    <n v="160"/>
    <n v="2"/>
    <n v="4.5"/>
    <n v="4428"/>
    <n v="4.3091922460998493"/>
    <s v="High (1,000+)"/>
    <x v="0"/>
    <n v="57.1"/>
    <s v="Above median"/>
    <b v="0"/>
    <b v="0"/>
    <b v="0"/>
    <m/>
    <n v="1"/>
    <x v="0"/>
    <s v="https://www.amazon.in/Classmate-Pulse-Spiral-Notebook-Unruled/dp/B00P93X6EK/ref=sr_1_311?qid=1672903010&amp;s=computers&amp;sr=1-311"/>
  </r>
  <r>
    <s v="B07KRCW6LZ"/>
    <s v="TP-Link Nano AC600 USB Wi-Fi Adapter(Archer T2U Nano)- 2.4G/5G Dual Band Wireless Network Adapter for PC Desktop Laptop, Mini Travel Size, Supports Windows 11,10, 8.1, 8, 7, XP/Mac OS 10.9-10.15"/>
    <s v="Computers&amp;Accessories"/>
    <x v="0"/>
    <s v="NetworkingDevices"/>
    <s v="WirelessUSBAdapters"/>
    <n v="999"/>
    <n v="1599"/>
    <n v="38"/>
    <n v="4.3"/>
    <n v="12093"/>
    <n v="4.248894017324008"/>
    <s v="High (1,000+)"/>
    <x v="2"/>
    <n v="64.3"/>
    <s v="Top 25%"/>
    <b v="0"/>
    <b v="0"/>
    <b v="0"/>
    <n v="1.97"/>
    <n v="1"/>
    <x v="0"/>
    <s v="https://www.amazon.in/TP-Link-Archer-T2U-Nano-Wireless/dp/B07KRCW6LZ/ref=sr_1_313?qid=1672903011&amp;s=computers&amp;sr=1-313"/>
  </r>
  <r>
    <s v="B0994GP1CX"/>
    <s v="LS LAPSTER Quality Assured Universal Silicone 15.6&quot; Keyboard Protector Skin|| Keyboard Dust Cover|| Keyboard Skin for 15.6&quot; Laptop| 15.6&quot; Keyguard| (3.93 x 11.81 x 0.39 inches)"/>
    <s v="Computers&amp;Accessories"/>
    <x v="0"/>
    <s v="Accessories&amp;Peripherals"/>
    <s v="DustCovers"/>
    <n v="115"/>
    <n v="999"/>
    <n v="88"/>
    <n v="3.3"/>
    <n v="5692"/>
    <n v="3.6122522705252331"/>
    <s v="High (1,000+)"/>
    <x v="0"/>
    <n v="47.1"/>
    <s v="Below median"/>
    <b v="0"/>
    <b v="0"/>
    <b v="1"/>
    <m/>
    <n v="1"/>
    <x v="0"/>
    <s v="https://www.amazon.in/Universal-Silicone-Keyboard-Protector-Keyguard/dp/B0994GP1CX/ref=sr_1_314?qid=1672903011&amp;s=computers&amp;sr=1-314"/>
  </r>
  <r>
    <s v="B07H8W9PB6"/>
    <s v="KLAM LCD Writing Tablet Screenwriting Toys Board Smart Digital E-Note Pad 8.5 Inch Light Weight Magic Slate for Drawing Playing Noting by Kids and Adults Best Birthday Gift Girls Boys, Multicolor"/>
    <s v="Computers&amp;Accessories"/>
    <x v="0"/>
    <s v="Accessories&amp;Peripherals"/>
    <s v="GraphicTablets"/>
    <n v="175"/>
    <n v="499"/>
    <n v="65"/>
    <n v="4.0999999999999996"/>
    <n v="21"/>
    <n v="4.0847202568206198"/>
    <s v="Low (&lt;100)"/>
    <x v="0"/>
    <n v="57.6"/>
    <s v="Above median"/>
    <b v="0"/>
    <b v="0"/>
    <b v="0"/>
    <n v="0.61"/>
    <n v="1"/>
    <x v="0"/>
    <s v="https://www.amazon.in/Writing-Screenwriting-Digital-Birthday-Multicolor/dp/B07H8W9PB6/ref=sr_1_315?qid=1672903011&amp;s=computers&amp;sr=1-315"/>
  </r>
  <r>
    <s v="B09NNHFSSF"/>
    <s v="CP PLUS 2MP Full HD Smart Wi-fi CCTV Security Camera | 360° with Pan Tilt | Two Way Talk | Cloud Monitor | Motion Detect | Night Vision | Supports SD Card (Up to 128 GB) | Alexa &amp; Ok Google | CP-E21A"/>
    <s v="Electronics"/>
    <x v="1"/>
    <s v="Cameras&amp;Photography"/>
    <s v="DomeCameras"/>
    <n v="1999"/>
    <n v="4700"/>
    <n v="57"/>
    <n v="3.8"/>
    <n v="1880"/>
    <n v="3.9897986870502109"/>
    <s v="High (1,000+)"/>
    <x v="4"/>
    <n v="30.1"/>
    <s v="Bottom 25%"/>
    <b v="0"/>
    <b v="0"/>
    <b v="1"/>
    <m/>
    <n v="1"/>
    <x v="0"/>
    <s v="https://www.amazon.in/CP-PLUS-Intelligent-Compatible-Communication/dp/B09NNHFSSF/ref=sr_1_316?qid=1672903011&amp;s=computers&amp;sr=1-316"/>
  </r>
  <r>
    <s v="B08D9NDZ1Y"/>
    <s v="HP Deskjet 2331 Colour Printer, Scanner and Copier for Home/Small Office, Compact Size, Reliable, Easy Set-Up Through Smart App On Your Pc Connected Through USB, Ideal for Home."/>
    <s v="Computers&amp;Accessories"/>
    <x v="0"/>
    <s v="Printers,Inks&amp;Accessories"/>
    <s v="Printers"/>
    <n v="3999"/>
    <n v="4332.96"/>
    <n v="8"/>
    <n v="3.5"/>
    <n v="21762"/>
    <n v="3.586179517392341"/>
    <s v="High (1,000+)"/>
    <x v="3"/>
    <n v="4.4000000000000004"/>
    <s v="Bottom 25%"/>
    <b v="0"/>
    <b v="0"/>
    <b v="1"/>
    <m/>
    <n v="1"/>
    <x v="0"/>
    <s v="https://www.amazon.in/HP-DeskJet-Inkjet-Colour-Printer/dp/B08D9NDZ1Y/ref=sr_1_317?qid=1672903011&amp;s=computers&amp;sr=1-317"/>
  </r>
  <r>
    <s v="B0085IATT6"/>
    <s v="D-Link DIR-615 Wi-fi Ethernet-N300 Single_band 300Mbps Router, Mobile App Support, Router | AP | Repeater | Client Modes(Black)"/>
    <s v="Computers&amp;Accessories"/>
    <x v="0"/>
    <s v="NetworkingDevices"/>
    <s v="Routers"/>
    <n v="899"/>
    <n v="1800"/>
    <n v="50"/>
    <n v="4.0999999999999996"/>
    <n v="22375"/>
    <n v="4.0977882005425474"/>
    <s v="High (1,000+)"/>
    <x v="2"/>
    <n v="55.2"/>
    <s v="Above median"/>
    <b v="0"/>
    <b v="0"/>
    <b v="0"/>
    <m/>
    <n v="1"/>
    <x v="0"/>
    <s v="https://www.amazon.in/D-Link-DIR-615-Wireless-N300-Router-Black/dp/B0085IATT6/ref=sr_1_320?qid=1672903011&amp;s=computers&amp;sr=1-320"/>
  </r>
  <r>
    <s v="B08WJ86PV2"/>
    <s v="RPM Euro Games Gaming Mousepad Speed Type Extended Large (Size - 800 mm x 300 mm x 3 mm)"/>
    <s v="Computers&amp;Accessories"/>
    <x v="0"/>
    <s v="Accessories&amp;Peripherals"/>
    <s v="MousePads"/>
    <n v="299"/>
    <n v="990"/>
    <n v="70"/>
    <n v="4.5"/>
    <n v="2453"/>
    <n v="4.248562318667978"/>
    <s v="High (1,000+)"/>
    <x v="0"/>
    <n v="79.5"/>
    <s v="Top 25%"/>
    <b v="0"/>
    <b v="0"/>
    <b v="0"/>
    <m/>
    <n v="1"/>
    <x v="0"/>
    <s v="https://www.amazon.in/Games-Gaming-Mousepad-Speed-Large/dp/B08WJ86PV2/ref=sr_1_321?qid=1672903011&amp;s=computers&amp;sr=1-321"/>
  </r>
  <r>
    <s v="B078HRR1XV"/>
    <s v="Wacom One by CTL-472/K0-CX Digital Drawing Graphics Pen Tablet (Red &amp; Black) Small (6-inch x 3.5-inch)(15x8cm) | Battery Free Cordless Pen with 2048 Pressure Level"/>
    <s v="Computers&amp;Accessories"/>
    <x v="0"/>
    <s v="Accessories&amp;Peripherals"/>
    <s v="GraphicTablets"/>
    <n v="3303"/>
    <n v="4699"/>
    <n v="30"/>
    <n v="4.4000000000000004"/>
    <n v="13544"/>
    <n v="4.3314384243885717"/>
    <s v="High (1,000+)"/>
    <x v="3"/>
    <n v="55.2"/>
    <s v="Above median"/>
    <b v="0"/>
    <b v="0"/>
    <b v="0"/>
    <n v="11.43"/>
    <n v="1"/>
    <x v="0"/>
    <s v="https://www.amazon.in/Wacom-CTL-472-6-inch-3-5-inch-Graphic/dp/B078HRR1XV/ref=sr_1_322?qid=1672903011&amp;s=computers&amp;sr=1-322"/>
  </r>
  <r>
    <s v="B09P22HXH6"/>
    <s v="Lenovo 300 FHD Webcam with Full Stereo Dual Built-in mics | FHD 1080P 2.1 Megapixel CMOS Camera |Privacy Shutter | Ultra-Wide 95 Lens | 360 Rotation | Flexible Mount, Plug-n-Play | Cloud Grey"/>
    <s v="Computers&amp;Accessories"/>
    <x v="0"/>
    <s v="Accessories&amp;Peripherals"/>
    <s v="Webcams"/>
    <n v="1890"/>
    <n v="5490"/>
    <n v="66"/>
    <n v="4.0999999999999996"/>
    <n v="10976"/>
    <n v="4.0960775582101849"/>
    <s v="High (1,000+)"/>
    <x v="4"/>
    <n v="52.1"/>
    <s v="Above median"/>
    <b v="0"/>
    <b v="0"/>
    <b v="0"/>
    <m/>
    <n v="1"/>
    <x v="0"/>
    <s v="https://www.amazon.in/Lenovo-Megapixel-Ultra-Wide-Rotation-Plug-n-Play/dp/B09P22HXH6/ref=sr_1_323?qid=1672903011&amp;s=computers&amp;sr=1-323"/>
  </r>
  <r>
    <s v="B00LM4X3XE"/>
    <s v="Parker Quink Ink Bottle (Black)"/>
    <s v="OfficeProducts"/>
    <x v="2"/>
    <s v="OfficePaperProducts"/>
    <s v="BottledInk"/>
    <n v="90"/>
    <n v="100"/>
    <n v="10"/>
    <n v="4.3"/>
    <n v="3061"/>
    <n v="4.1812470274317892"/>
    <s v="High (1,000+)"/>
    <x v="0"/>
    <n v="52.5"/>
    <s v="Above median"/>
    <b v="0"/>
    <b v="0"/>
    <b v="0"/>
    <m/>
    <n v="1"/>
    <x v="0"/>
    <s v="https://www.amazon.in/Parker-Quink-Ink-Bottle-Black/dp/B00LM4X3XE/ref=sr_1_324?qid=1672903011&amp;s=computers&amp;sr=1-324"/>
  </r>
  <r>
    <s v="B09YLFHFDW"/>
    <s v="Sony WI-C100 Wireless Headphones with Customizable Equalizer for Deep Bass &amp; 25 Hrs Battery, DSEE-Upscale, Splash Proof, 360RA, Fast Pair, in-Ear Bluetooth Headset with mic for Phone Calls (Black)"/>
    <s v="Electronics"/>
    <x v="1"/>
    <s v="Headphones,Earbuds&amp;Accessories"/>
    <s v="In-Ear"/>
    <n v="1599"/>
    <n v="2790"/>
    <n v="43"/>
    <n v="3.6"/>
    <n v="2272"/>
    <n v="3.902169043281269"/>
    <s v="High (1,000+)"/>
    <x v="4"/>
    <n v="20.5"/>
    <s v="Bottom 25%"/>
    <b v="0"/>
    <b v="0"/>
    <b v="1"/>
    <n v="1.68"/>
    <n v="1"/>
    <x v="0"/>
    <s v="https://www.amazon.in/Sony-Headphones-Customizable-Equalizer-DSEE-Upscale/dp/B09YLFHFDW/ref=sr_1_325?qid=1672903011&amp;s=computers&amp;sr=1-325"/>
  </r>
  <r>
    <s v="B07YWS9SP9"/>
    <s v="Zebronics, ZEB-NC3300 USB Powered Laptop Cooling Pad with Dual Fan, Dual USB Port and Blue LED Lights"/>
    <s v="Computers&amp;Accessories"/>
    <x v="0"/>
    <s v="Accessories&amp;Peripherals"/>
    <s v="CoolingPads"/>
    <n v="599"/>
    <n v="999"/>
    <n v="40"/>
    <n v="4"/>
    <n v="7601"/>
    <n v="4.0280229763436282"/>
    <s v="High (1,000+)"/>
    <x v="2"/>
    <n v="27.3"/>
    <s v="Bottom 25%"/>
    <b v="0"/>
    <b v="0"/>
    <b v="0"/>
    <m/>
    <n v="1"/>
    <x v="0"/>
    <s v="https://www.amazon.in/Zebronics-ZEB-NC3300-Powered-Laptop-Cooling/dp/B07YWS9SP9/ref=sr_1_326?qid=1672903011&amp;s=computers&amp;sr=1-326"/>
  </r>
  <r>
    <s v="B08WLY8V9S"/>
    <s v="Tukzer Gel Mouse Pad Wrist Rest Memory-Foam Ergonomic Mousepad| Cushion Wrist Support &amp; Pain Relief| Suitable for Gaming, Computer, Laptop, Home &amp; Office Non-Slip Rubber Base (Blue)"/>
    <s v="Computers&amp;Accessories"/>
    <x v="0"/>
    <s v="Accessories&amp;Peripherals"/>
    <s v="MousePads"/>
    <n v="425"/>
    <n v="899"/>
    <n v="53"/>
    <n v="4.5"/>
    <n v="4219"/>
    <n v="4.304195839338572"/>
    <s v="High (1,000+)"/>
    <x v="0"/>
    <n v="71.5"/>
    <s v="Top 25%"/>
    <b v="0"/>
    <b v="0"/>
    <b v="0"/>
    <m/>
    <n v="1"/>
    <x v="0"/>
    <s v="https://www.amazon.in/Tukzer-Memory-Foam-Ergonomic-Mousepad-Suitable/dp/B08WLY8V9S/ref=sr_1_328?qid=1672903011&amp;s=computers&amp;sr=1-328"/>
  </r>
  <r>
    <s v="B0873L7J6X"/>
    <s v="Infinity (JBL Glide 510, 72 Hrs Playtime with Quick Charge, Wireless On Ear Headphone with Mic, Deep Bass, Dual Equalizer, Bluetooth 5.0 with Voice Assistant Support (Black)"/>
    <s v="Electronics"/>
    <x v="1"/>
    <s v="Headphones,Earbuds&amp;Accessories"/>
    <s v="On-Ear"/>
    <n v="1499"/>
    <n v="3999"/>
    <n v="63"/>
    <n v="4.2"/>
    <n v="42775"/>
    <n v="4.1906728786823706"/>
    <s v="High (1,000+)"/>
    <x v="4"/>
    <n v="67.3"/>
    <s v="Top 25%"/>
    <b v="0"/>
    <b v="0"/>
    <b v="0"/>
    <m/>
    <n v="1"/>
    <x v="0"/>
    <s v="https://www.amazon.in/Infinity-Glide-510-Headphone-Equalizer/dp/B0873L7J6X/ref=sr_1_329?qid=1672903011&amp;s=computers&amp;sr=1-329"/>
  </r>
  <r>
    <s v="B07YNHCW6N"/>
    <s v="Robustrion Smart Trifold Hard Back Flip Stand Case Cover for Apple iPad 10.2 Cover iPad 9th Generation Cover 2021 8th Gen 2020 7th Gen 2019 Generation Case - Black"/>
    <s v="Computers&amp;Accessories"/>
    <x v="0"/>
    <s v="Accessories&amp;Peripherals"/>
    <s v="Cases"/>
    <n v="549"/>
    <n v="2499"/>
    <n v="78"/>
    <n v="4.3"/>
    <n v="5556"/>
    <n v="4.213042774231992"/>
    <s v="High (1,000+)"/>
    <x v="2"/>
    <n v="74.900000000000006"/>
    <s v="Top 25%"/>
    <b v="0"/>
    <b v="0"/>
    <b v="0"/>
    <m/>
    <n v="1"/>
    <x v="0"/>
    <s v="https://www.amazon.in/Robustrion-Smart-Trifold-Stand-Generation/dp/B07YNHCW6N/ref=sr_1_331?qid=1672903011&amp;s=computers&amp;sr=1-331"/>
  </r>
  <r>
    <s v="B01MQ2A86A"/>
    <s v="Logitech M331 Silent Plus Wireless Mouse, 2.4GHz with USB Nano Receiver, 1000 DPI Optical Tracking, 3 Buttons, 24 Month Life Battery, PC/Mac/Laptop - Black"/>
    <s v="Computers&amp;Accessories"/>
    <x v="0"/>
    <s v="Accessories&amp;Peripherals"/>
    <s v="Mice"/>
    <n v="1295"/>
    <n v="1645"/>
    <n v="21"/>
    <n v="4.5999999999999996"/>
    <n v="12375"/>
    <n v="4.4798413069980363"/>
    <s v="High (1,000+)"/>
    <x v="4"/>
    <n v="57.1"/>
    <s v="Above median"/>
    <b v="0"/>
    <b v="0"/>
    <b v="0"/>
    <n v="2.2599999999999998"/>
    <n v="1"/>
    <x v="0"/>
    <s v="https://www.amazon.in/Logitech-Silent-Wireless-Mouse-Black/dp/B01MQ2A86A/ref=sr_1_333?qid=1672903011&amp;s=computers&amp;sr=1-333"/>
  </r>
  <r>
    <s v="B00KIE28X0"/>
    <s v="Camel Artist Acrylic Color Box - 9ml Tubes, 12 Shades"/>
    <s v="Home&amp;Kitchen"/>
    <x v="3"/>
    <s v="CraftMaterials"/>
    <s v="Paints"/>
    <n v="310"/>
    <n v="310"/>
    <n v="0"/>
    <n v="4.5"/>
    <n v="5882"/>
    <n v="4.3379583277184732"/>
    <s v="High (1,000+)"/>
    <x v="0"/>
    <n v="53.9"/>
    <s v="Above median"/>
    <b v="0"/>
    <b v="0"/>
    <b v="0"/>
    <m/>
    <n v="1"/>
    <x v="0"/>
    <s v="https://www.amazon.in/Camel-Camlin-Kokuyo-Acrylic-Color/dp/B00KIE28X0/ref=sr_1_334?qid=1672903011&amp;s=computers&amp;sr=1-334"/>
  </r>
  <r>
    <s v="B0BHYJ8CVF"/>
    <s v="Portronics Key2 Combo Multimedia USB Wireless Keyboard and Mouse Set with 2.4 GHz Wireless Technology, Soft &amp; Silent Button, Compact Size (Grey)"/>
    <s v="Computers&amp;Accessories"/>
    <x v="0"/>
    <s v="Accessories&amp;Peripherals"/>
    <s v="Keyboard&amp;MouseSets"/>
    <n v="1149"/>
    <n v="1499"/>
    <n v="23"/>
    <n v="4.0999999999999996"/>
    <n v="10443"/>
    <n v="4.0959303855324212"/>
    <s v="High (1,000+)"/>
    <x v="4"/>
    <n v="33.5"/>
    <s v="Bottom 25%"/>
    <b v="0"/>
    <b v="0"/>
    <b v="0"/>
    <n v="0.87"/>
    <n v="1"/>
    <x v="0"/>
    <s v="https://www.amazon.in/Portronics-Multimedia-Wireless-Keyboard-Technology/dp/B0BHYJ8CVF/ref=sr_1_336?qid=1672903011&amp;s=computers&amp;sr=1-336"/>
  </r>
  <r>
    <s v="B0BCVJ3PVP"/>
    <s v="SupCares Laptop Stand 7 Height Adjustable, Aluminium, Ventilated, Foldable, Portable Laptop Holder for Desk &amp; Table Mount Upto 15.6 inch Laptop with Carry Pouch (Silver)"/>
    <s v="Computers&amp;Accessories"/>
    <x v="0"/>
    <s v="Accessories&amp;Peripherals"/>
    <s v="Lapdesks"/>
    <n v="499"/>
    <n v="1299"/>
    <n v="62"/>
    <n v="4.5"/>
    <n v="434"/>
    <n v="4.1275918245396914"/>
    <s v="Medium (100-999)"/>
    <x v="0"/>
    <n v="60.3"/>
    <s v="Above median"/>
    <b v="0"/>
    <b v="0"/>
    <b v="0"/>
    <n v="0.87"/>
    <n v="1"/>
    <x v="0"/>
    <s v="https://www.amazon.in/SupCares-Adjustable-Aluminium-Ventilated-Foldable/dp/B0BCVJ3PVP/ref=sr_1_337?qid=1672903012&amp;s=computers&amp;sr=1-337"/>
  </r>
  <r>
    <s v="B0B2931FCV"/>
    <s v="ZEBRONICS Zeb-Sound Bomb N1 True Wireless in Ear Earbuds with Mic ENC, Gaming Mode (up to 50ms), up to 18H Playback, BT V5.2, Fidget Case, Voice Assistant, Splash Proof, Type C (Midnight Black)"/>
    <s v="Electronics"/>
    <x v="1"/>
    <s v="Headphones,Earbuds&amp;Accessories"/>
    <s v="In-Ear"/>
    <n v="999"/>
    <n v="4199"/>
    <n v="76"/>
    <n v="3.5"/>
    <n v="1913"/>
    <n v="3.8875762649424401"/>
    <s v="High (1,000+)"/>
    <x v="2"/>
    <n v="38.1"/>
    <s v="Bottom 25%"/>
    <b v="0"/>
    <b v="0"/>
    <b v="1"/>
    <n v="1.05"/>
    <n v="1"/>
    <x v="0"/>
    <s v="https://www.amazon.in/Zebronics-Zeb-Sound-N1-Bluetooth-Assistant/dp/B0B2931FCV/ref=sr_1_338?qid=1672903012&amp;s=computers&amp;sr=1-338"/>
  </r>
  <r>
    <s v="B09TMZ1MF8"/>
    <s v="Western Digital WD Green SATA 240GB Internal SSD Solid State Drive - SATA 6Gb/s 2.5 inches - WDS240G3G0A"/>
    <s v="Computers&amp;Accessories"/>
    <x v="0"/>
    <s v="Components"/>
    <s v="InternalSolidStateDrives"/>
    <n v="1709"/>
    <n v="4000"/>
    <n v="57"/>
    <n v="4.4000000000000004"/>
    <n v="3029"/>
    <n v="4.2252873579740582"/>
    <s v="High (1,000+)"/>
    <x v="4"/>
    <n v="71.099999999999994"/>
    <s v="Top 25%"/>
    <b v="0"/>
    <b v="0"/>
    <b v="0"/>
    <m/>
    <n v="1"/>
    <x v="0"/>
    <s v="https://www.amazon.in/Western-Digital-Green-240GB-Internal/dp/B09TMZ1MF8/ref=sr_1_339?qid=1672903012&amp;s=computers&amp;sr=1-339"/>
  </r>
  <r>
    <s v="B07VV37FT4"/>
    <s v="Classmate Octane Neon- 25 Blue Gel Pens | Smooth Writing Pens| Water-proof Ink For Smudge-free Writing| Preferred By Students For Exam &amp; Class Notes| Study At Home Essential"/>
    <s v="OfficeProducts"/>
    <x v="2"/>
    <s v="OfficePaperProducts"/>
    <s v="GelInkRollerballPens"/>
    <n v="250"/>
    <n v="250"/>
    <n v="0"/>
    <n v="4.2"/>
    <n v="2628"/>
    <n v="4.1320771601096649"/>
    <s v="High (1,000+)"/>
    <x v="0"/>
    <n v="38.5"/>
    <s v="Bottom 25%"/>
    <b v="0"/>
    <b v="0"/>
    <b v="0"/>
    <m/>
    <n v="1"/>
    <x v="0"/>
    <s v="https://www.amazon.in/Classmate-Octane-Pen-Neon-Refills/dp/B07VV37FT4/ref=sr_1_340?qid=1672903012&amp;s=computers&amp;sr=1-340"/>
  </r>
  <r>
    <s v="B07P681N66"/>
    <s v="TP-Link AC600 600 Mbps WiFi Wireless Network USB Adapter for Desktop PC with 2.4GHz/5GHz High Gain Dual Band 5dBi Antenna Wi-Fi, Supports Windows 11/10/8.1/8/7/XP, Mac OS 10.15 and earlier (Archer T2U Plus)"/>
    <s v="Computers&amp;Accessories"/>
    <x v="0"/>
    <s v="NetworkingDevices"/>
    <s v="WirelessUSBAdapters"/>
    <n v="1199"/>
    <n v="2199"/>
    <n v="45"/>
    <n v="4.4000000000000004"/>
    <n v="24780"/>
    <n v="4.3584282768391276"/>
    <s v="High (1,000+)"/>
    <x v="4"/>
    <n v="70.7"/>
    <s v="Top 25%"/>
    <b v="0"/>
    <b v="0"/>
    <b v="0"/>
    <n v="2.36"/>
    <n v="2"/>
    <x v="1"/>
    <s v="https://www.amazon.in/TP-Link-Wireless-Adapter-Archer-T2U/dp/B07P681N66/ref=sr_1_341?qid=1672903012&amp;s=computers&amp;sr=1-341"/>
  </r>
  <r>
    <s v="B07JB2Y4SR"/>
    <s v="Classmate Octane Colour Burst-Multicolour Gel Pens (Pack of 10) | Gold &amp; Silver Glitter Sparkle Pens|10 colour ink shades for art lovers and kids|Fun at home essentials"/>
    <s v="Home&amp;Kitchen"/>
    <x v="3"/>
    <s v="CraftMaterials"/>
    <s v="Pens"/>
    <n v="90"/>
    <n v="100"/>
    <n v="10"/>
    <n v="4.4000000000000004"/>
    <n v="10718"/>
    <n v="4.3180580153779786"/>
    <s v="High (1,000+)"/>
    <x v="0"/>
    <n v="63.7"/>
    <s v="Top 25%"/>
    <b v="0"/>
    <b v="0"/>
    <b v="0"/>
    <m/>
    <n v="1"/>
    <x v="0"/>
    <s v="https://www.amazon.in/Classmate-ITC-Octane-Colourburst-Pen/dp/B07JB2Y4SR/ref=sr_1_343?qid=1672903012&amp;s=computers&amp;sr=1-343"/>
  </r>
  <r>
    <s v="B08KRMK9LZ"/>
    <s v="Tukzer Stylus Pen, iPad Pencil with Palm Rejection Tilt Sensor| 2nd Gen for 2018-2022 iPad 6/7/8/9th Gen; iPad 10.2&quot;, Pro 12.9/11&quot;, Mini 6/5th, Air 5/4/3rd, Precise for Writing/Drawing (3 Spare Tips)"/>
    <s v="Electronics"/>
    <x v="1"/>
    <s v="Mobiles&amp;Accessories"/>
    <s v="StylusPens"/>
    <n v="2025"/>
    <n v="5999"/>
    <n v="66"/>
    <n v="4.2"/>
    <n v="6233"/>
    <n v="4.1565743676335174"/>
    <s v="High (1,000+)"/>
    <x v="4"/>
    <n v="68.2"/>
    <s v="Top 25%"/>
    <b v="0"/>
    <b v="0"/>
    <b v="0"/>
    <m/>
    <n v="1"/>
    <x v="0"/>
    <s v="https://www.amazon.in/Tukzer-Rejection-Compatible-2018-2020-Precise/dp/B08KRMK9LZ/ref=sr_1_346?qid=1672903012&amp;s=computers&amp;sr=1-346"/>
  </r>
  <r>
    <s v="B08LT9BMPP"/>
    <s v="Logitech G102 USB Light Sync Gaming Mouse with Customizable RGB Lighting, 6 Programmable Buttons, Gaming Grade Sensor, 8K DPI Tracking, 16.8mn Color, Light Weight - Black"/>
    <s v="Computers&amp;Accessories"/>
    <x v="0"/>
    <s v="Accessories&amp;Peripherals"/>
    <s v="GamingMice"/>
    <n v="1495"/>
    <n v="1995"/>
    <n v="25"/>
    <n v="4.5"/>
    <n v="10541"/>
    <n v="4.3907392660314466"/>
    <s v="High (1,000+)"/>
    <x v="4"/>
    <n v="56.9"/>
    <s v="Above median"/>
    <b v="0"/>
    <b v="0"/>
    <b v="0"/>
    <m/>
    <n v="1"/>
    <x v="0"/>
    <s v="https://www.amazon.in/Logitech-G102-Customizable-Lighting-Programmable/dp/B08LT9BMPP/ref=sr_1_347?qid=1672903012&amp;s=computers&amp;sr=1-347"/>
  </r>
  <r>
    <s v="B0814ZY6FP"/>
    <s v="Zebronics ZEB-VITA Wireless Bluetooth 10W Portable Bar Speaker With Supporting USB, SD Card, AUX, FM, TWS &amp; Call Function"/>
    <s v="Electronics"/>
    <x v="1"/>
    <s v="HomeAudio"/>
    <s v="BluetoothSpeakers"/>
    <n v="899"/>
    <n v="1199"/>
    <n v="25"/>
    <n v="3.8"/>
    <n v="10751"/>
    <n v="3.8737891681317951"/>
    <s v="High (1,000+)"/>
    <x v="2"/>
    <n v="18.8"/>
    <s v="Bottom 25%"/>
    <b v="0"/>
    <b v="0"/>
    <b v="1"/>
    <m/>
    <n v="1"/>
    <x v="0"/>
    <s v="https://www.amazon.in/Zebronics-Zeb-Vita-Portable-Speaker-Bluetooth/dp/B0814ZY6FP/ref=sr_1_352?qid=1672903012&amp;s=computers&amp;sr=1-352"/>
  </r>
  <r>
    <s v="B09F3PDDRF"/>
    <s v="Lapster USB 3.0 sata Cable for 2.5 inch SSD and HDD , USB 3.0 to SATA III Hard Driver Adapter , sata to USB Cable-(Blue)"/>
    <s v="Computers&amp;Accessories"/>
    <x v="0"/>
    <s v="Accessories&amp;Peripherals"/>
    <s v="SATACables"/>
    <n v="349"/>
    <n v="999"/>
    <n v="65"/>
    <n v="3.9"/>
    <n v="817"/>
    <n v="4.0516954016117079"/>
    <s v="Medium (100-999)"/>
    <x v="0"/>
    <n v="47"/>
    <s v="Below median"/>
    <b v="0"/>
    <b v="0"/>
    <b v="0"/>
    <m/>
    <n v="1"/>
    <x v="0"/>
    <s v="https://www.amazon.in/LAPSTER-SATA-CABLE-LAPTOP-DESKTOP/dp/B09F3PDDRF/ref=sr_1_353?qid=1672903012&amp;s=computers&amp;sr=1-353"/>
  </r>
  <r>
    <s v="B07X963JNS"/>
    <s v="URBN 10000 mAh Lithium Power Bank UPR10K with 12 Watt Fast Charging, Blue"/>
    <s v="Electronics"/>
    <x v="1"/>
    <s v="Mobiles&amp;Accessories"/>
    <s v="PowerBanks"/>
    <n v="900"/>
    <n v="2499"/>
    <n v="64"/>
    <n v="4"/>
    <n v="36384"/>
    <n v="4.0079319266108087"/>
    <s v="High (1,000+)"/>
    <x v="2"/>
    <n v="46.7"/>
    <s v="Below median"/>
    <b v="0"/>
    <b v="0"/>
    <b v="0"/>
    <m/>
    <n v="2"/>
    <x v="1"/>
    <s v="https://www.amazon.in/URBN-Li-Polymer-Charge-Compact-Certification/dp/B07X963JNS/ref=sr_1_356?qid=1672903012&amp;s=computers&amp;sr=1-356"/>
  </r>
  <r>
    <s v="B09LD3116F"/>
    <s v="Qubo Smart Cam 360 from Hero Group | Made in India | 2MP 1080p Full HD | CCTV Wi-Fi Camera | 360 Degree Coverage| Two Way Talk | Mobile App Connectivity | Night Vision | Cloud &amp; SD Card Recording"/>
    <s v="Electronics"/>
    <x v="1"/>
    <s v="Cameras&amp;Photography"/>
    <s v="DomeCameras"/>
    <n v="2490"/>
    <n v="3990"/>
    <n v="38"/>
    <n v="4.0999999999999996"/>
    <n v="3606"/>
    <n v="4.0921543179318469"/>
    <s v="High (1,000+)"/>
    <x v="4"/>
    <n v="36.700000000000003"/>
    <s v="Bottom 25%"/>
    <b v="0"/>
    <b v="0"/>
    <b v="0"/>
    <m/>
    <n v="1"/>
    <x v="0"/>
    <s v="https://www.amazon.in/Smart-Camera-Coverage-Intruder-Google/dp/B09LD3116F/ref=sr_1_357?qid=1672903012&amp;s=computers&amp;sr=1-357"/>
  </r>
  <r>
    <s v="B08Y5QJTVK"/>
    <s v="Duracell CR2025 3V Lithium Coin Battery, 5 pcs, 2025 Coin Button Cell Battery, DL2025"/>
    <s v="Electronics"/>
    <x v="1"/>
    <s v="GeneralPurposeBatteries&amp;BatteryChargers"/>
    <s v="GeneralPurposeBatteries&amp;BatteryChargers"/>
    <n v="116"/>
    <n v="200"/>
    <n v="42"/>
    <n v="4.4000000000000004"/>
    <n v="357"/>
    <n v="4.1119648238089122"/>
    <s v="Medium (100-999)"/>
    <x v="0"/>
    <n v="57.5"/>
    <s v="Above median"/>
    <b v="0"/>
    <b v="0"/>
    <b v="0"/>
    <m/>
    <n v="1"/>
    <x v="0"/>
    <s v="https://www.amazon.in/Duracell-Chhota-Power-Coins-2025-5/dp/B08Y5QJTVK/ref=sr_1_358?qid=1672903012&amp;s=computers&amp;sr=1-358"/>
  </r>
  <r>
    <s v="B00LY1FN1K"/>
    <s v="Camel Fabrica Acrylic Ultra Color - 15ml each, 10 Shades"/>
    <s v="Home&amp;Kitchen"/>
    <x v="3"/>
    <s v="CraftMaterials"/>
    <s v="Paints"/>
    <n v="200"/>
    <n v="230"/>
    <n v="13"/>
    <n v="4.4000000000000004"/>
    <n v="10170"/>
    <n v="4.3148350325986584"/>
    <s v="High (1,000+)"/>
    <x v="0"/>
    <n v="57.7"/>
    <s v="Above median"/>
    <b v="0"/>
    <b v="0"/>
    <b v="0"/>
    <m/>
    <n v="1"/>
    <x v="0"/>
    <s v="https://www.amazon.in/Camel-Camlin-Kokuyo-Fabrica-Acrylic/dp/B00LY1FN1K/ref=sr_1_359?qid=1672903012&amp;s=computers&amp;sr=1-359"/>
  </r>
  <r>
    <s v="B07DJ5KYDZ"/>
    <s v="Lenovo GX20L29764 65W Laptop Adapter/Charger with Power Cord for Select Models of Lenovo (Round pin) (Black)"/>
    <s v="Computers&amp;Accessories"/>
    <x v="0"/>
    <s v="Accessories&amp;Peripherals"/>
    <s v="LaptopChargers&amp;PowerSupplies"/>
    <n v="1249"/>
    <n v="2796"/>
    <n v="55"/>
    <n v="4.4000000000000004"/>
    <n v="4598"/>
    <n v="4.258075365310785"/>
    <s v="High (1,000+)"/>
    <x v="4"/>
    <n v="64.8"/>
    <s v="Top 25%"/>
    <b v="0"/>
    <b v="0"/>
    <b v="0"/>
    <m/>
    <n v="1"/>
    <x v="0"/>
    <s v="https://www.amazon.in/Lenovo-65W-320-15IKBRA-320S-14IKBR-510S-13IKB/dp/B07DJ5KYDZ/ref=sr_1_360?qid=1672903012&amp;s=computers&amp;sr=1-360"/>
  </r>
  <r>
    <s v="B009LJ2BXA"/>
    <s v="Hp Wired On Ear Headphones With Mic With 3.5 Mm Drivers, In-Built Noise Cancelling, Foldable And Adjustable For Laptop/Pc/Office/Home/ 1 Year Warranty (B4B09Pa)"/>
    <s v="Computers&amp;Accessories"/>
    <x v="0"/>
    <s v="Accessories&amp;Peripherals"/>
    <s v="PCHeadsets"/>
    <n v="649"/>
    <n v="999"/>
    <n v="35"/>
    <n v="3.5"/>
    <n v="7222"/>
    <n v="3.7002539115736548"/>
    <s v="High (1,000+)"/>
    <x v="2"/>
    <n v="15.2"/>
    <s v="Bottom 25%"/>
    <b v="0"/>
    <b v="0"/>
    <b v="1"/>
    <m/>
    <n v="1"/>
    <x v="0"/>
    <s v="https://www.amazon.in/HP-B4B09PA-Headphones-with-Mic/dp/B009LJ2BXA/ref=sr_1_361?qid=1672903013&amp;s=computers&amp;sr=1-361"/>
  </r>
  <r>
    <s v="B09BVCVTBC"/>
    <s v="Redragon K617 Fizz 60% Wired RGB Gaming Keyboard, 61 Keys Compact Mechanical Keyboard w/White and Grey Color Keycaps, Linear Red Switch, Pro Driver/Software Supported"/>
    <s v="Computers&amp;Accessories"/>
    <x v="0"/>
    <s v="Accessories&amp;Peripherals"/>
    <s v="GamingKeyboards"/>
    <n v="2649"/>
    <n v="3499"/>
    <n v="24"/>
    <n v="4.5"/>
    <n v="1271"/>
    <n v="4.1895180474184599"/>
    <s v="High (1,000+)"/>
    <x v="3"/>
    <n v="44.9"/>
    <s v="Below median"/>
    <b v="0"/>
    <b v="0"/>
    <b v="0"/>
    <m/>
    <n v="1"/>
    <x v="0"/>
    <s v="https://www.amazon.in/Redragon-K617-Keyboard-Mechanical-Supported/dp/B09BVCVTBC/ref=sr_1_362?qid=1672903013&amp;s=computers&amp;sr=1-362"/>
  </r>
  <r>
    <s v="B07SY4C3TD"/>
    <s v="HP GT 53 XL Cartridge Ink"/>
    <s v="Computers&amp;Accessories"/>
    <x v="0"/>
    <s v="Printers,Inks&amp;Accessories"/>
    <s v="InkjetInkCartridges"/>
    <n v="596"/>
    <n v="723"/>
    <n v="18"/>
    <n v="4.4000000000000004"/>
    <n v="3219"/>
    <n v="4.2300421244260997"/>
    <s v="High (1,000+)"/>
    <x v="2"/>
    <n v="57.6"/>
    <s v="Above median"/>
    <b v="0"/>
    <b v="0"/>
    <b v="0"/>
    <m/>
    <n v="1"/>
    <x v="0"/>
    <s v="https://www.amazon.in/HP-GT53XL-135-ml-Black-Bottle/dp/B07SY4C3TD/ref=sr_1_364?qid=1672903013&amp;s=computers&amp;sr=1-364"/>
  </r>
  <r>
    <s v="B094JB13XL"/>
    <s v="Noise ColorFit Ultra Smart Watch with 1.75&quot; HD Display, Aluminium Alloy Body, 60 Sports Modes, Spo2, Lightweight, Stock Market Info, Calls &amp; SMS Reply (Space Blue)"/>
    <s v="Electronics"/>
    <x v="1"/>
    <s v="WearableTechnology"/>
    <s v="SmartWatches"/>
    <n v="2499"/>
    <n v="5999"/>
    <n v="58"/>
    <n v="4.0999999999999996"/>
    <n v="38879"/>
    <n v="4.0986442571598278"/>
    <s v="High (1,000+)"/>
    <x v="4"/>
    <n v="55.4"/>
    <s v="Above median"/>
    <b v="0"/>
    <b v="0"/>
    <b v="0"/>
    <n v="1.1399999999999999"/>
    <n v="2"/>
    <x v="1"/>
    <s v="https://www.amazon.in/Noise-ColorFit-Bezel-Less-TruView-Display/dp/B094JB13XL/ref=sr_1_365?qid=1672903013&amp;s=computers&amp;sr=1-365"/>
  </r>
  <r>
    <s v="B08CRRQK6Z"/>
    <s v="Zebronics Zeb-JUKEBAR 3900, 80W Multimedia soundbar with subwoofer Supporting Bluetooth, HDMI(ARC), Coaxial Input, AUX, USB &amp; Remote Control (Black)"/>
    <s v="Electronics"/>
    <x v="1"/>
    <s v="HomeAudio"/>
    <s v="SoundbarSpeakers"/>
    <n v="4999"/>
    <n v="12499"/>
    <n v="60"/>
    <n v="4.2"/>
    <n v="4541"/>
    <n v="4.1477255484652034"/>
    <s v="High (1,000+)"/>
    <x v="3"/>
    <n v="56.8"/>
    <s v="Above median"/>
    <b v="0"/>
    <b v="0"/>
    <b v="0"/>
    <m/>
    <n v="1"/>
    <x v="0"/>
    <s v="https://www.amazon.in/Zebronics-Zeb-JUKEBAR-3900-Multimedia-Supporting/dp/B08CRRQK6Z/ref=sr_1_366?qid=1672903013&amp;s=computers&amp;sr=1-366"/>
  </r>
  <r>
    <s v="B08MTLLSL8"/>
    <s v="boAt Bassheads 102 Wired in Ear Earphones with Mic (Mint Green)"/>
    <s v="Electronics"/>
    <x v="1"/>
    <s v="Headphones,Earbuds&amp;Accessories"/>
    <s v="In-Ear"/>
    <n v="399"/>
    <n v="1290"/>
    <n v="69"/>
    <n v="4.2"/>
    <n v="76042"/>
    <n v="4.1945609469601441"/>
    <s v="High (1,000+)"/>
    <x v="0"/>
    <n v="80"/>
    <s v="Top 25%"/>
    <b v="1"/>
    <b v="0"/>
    <b v="0"/>
    <n v="0.42"/>
    <n v="1"/>
    <x v="0"/>
    <s v="https://www.amazon.in/Boat-Bassheads-102-Wired-Earphones/dp/B08MTLLSL8/ref=sr_1_367?qid=1672903013&amp;s=computers&amp;sr=1-367"/>
  </r>
  <r>
    <s v="B08Y57TPDM"/>
    <s v="Duracell CR2016 3V Lithium Coin Battery, 5 pcs, 2016 Coin Button Cell Battery, DL2016"/>
    <s v="Electronics"/>
    <x v="1"/>
    <s v="GeneralPurposeBatteries&amp;BatteryChargers"/>
    <s v="GeneralPurposeBatteries&amp;BatteryChargers"/>
    <n v="116"/>
    <n v="200"/>
    <n v="42"/>
    <n v="4.3"/>
    <n v="485"/>
    <n v="4.1092263900366843"/>
    <s v="Medium (100-999)"/>
    <x v="0"/>
    <n v="57.4"/>
    <s v="Above median"/>
    <b v="0"/>
    <b v="0"/>
    <b v="0"/>
    <m/>
    <n v="1"/>
    <x v="0"/>
    <s v="https://www.amazon.in/Duracell-Chhota-Power-Coins-2016-5/dp/B08Y57TPDM/ref=sr_1_368?qid=1672903013&amp;s=computers&amp;sr=1-368"/>
  </r>
  <r>
    <s v="B09CYTJV3N"/>
    <s v="MI 360° Home Security Wireless Camera 2K Pro with Bluetooth Gateway BLE 4.2 l Dual Band Wi-fi Connection l 3 Million 1296p| Full Color in Low-Light | AI Human Detection, White"/>
    <s v="Electronics"/>
    <x v="1"/>
    <s v="Cameras&amp;Photography"/>
    <s v="DomeCameras"/>
    <n v="4499"/>
    <n v="5999"/>
    <n v="25"/>
    <n v="4.3"/>
    <n v="44696"/>
    <n v="4.2832782502900582"/>
    <s v="High (1,000+)"/>
    <x v="3"/>
    <n v="52.2"/>
    <s v="Above median"/>
    <b v="0"/>
    <b v="0"/>
    <b v="0"/>
    <m/>
    <n v="1"/>
    <x v="0"/>
    <s v="https://www.amazon.in/Security-Bluetooth-Connection-Low-Light-Detection/dp/B09CYTJV3N/ref=sr_1_369?qid=1672903013&amp;s=computers&amp;sr=1-369"/>
  </r>
  <r>
    <s v="B07GLNJC25"/>
    <s v="ZEBRONICS Zeb-100HB 4 Ports USB Hub for Laptop, PC Computers, Plug &amp; Play, Backward Compatible - Black"/>
    <s v="Computers&amp;Accessories"/>
    <x v="0"/>
    <s v="Accessories&amp;Peripherals"/>
    <s v="USBHubs"/>
    <n v="330"/>
    <n v="499"/>
    <n v="34"/>
    <n v="3.7"/>
    <n v="8566"/>
    <n v="3.8173856585700459"/>
    <s v="High (1,000+)"/>
    <x v="0"/>
    <n v="20.7"/>
    <s v="Bottom 25%"/>
    <b v="0"/>
    <b v="0"/>
    <b v="1"/>
    <m/>
    <n v="1"/>
    <x v="0"/>
    <s v="https://www.amazon.in/Zebronics-100HB-High-Speed-Port/dp/B07GLNJC25/ref=sr_1_370?qid=1672903013&amp;s=computers&amp;sr=1-370"/>
  </r>
  <r>
    <s v="B08FY4FG5X"/>
    <s v="Boult Audio Bass Buds Q2 Lightweight Stereo Wired Over Ear Headphones Set with Mic with Deep Bass, Comfortable Ear Cushions, &amp; Long Cord (Black)"/>
    <s v="Electronics"/>
    <x v="1"/>
    <s v="Headphones,Earbuds&amp;Accessories"/>
    <s v="Over-Ear"/>
    <n v="649"/>
    <n v="2499"/>
    <n v="74"/>
    <n v="3.9"/>
    <n v="13049"/>
    <n v="3.9413222551039948"/>
    <s v="High (1,000+)"/>
    <x v="2"/>
    <n v="43.3"/>
    <s v="Below median"/>
    <b v="0"/>
    <b v="0"/>
    <b v="0"/>
    <m/>
    <n v="1"/>
    <x v="0"/>
    <s v="https://www.amazon.in/Boult-Audio-Wired-Lightweight-Comfortable/dp/B08FY4FG5X/ref=sr_1_371?qid=1672903013&amp;s=computers&amp;sr=1-371"/>
  </r>
  <r>
    <s v="B07TMCXRFV"/>
    <s v="ESR Screen Protector Compatible with iPad Pro 11 Inch (2022/2021/2020/2018) and iPad Air 5/4 (2022/2020, 10.9 Inch), Tempered-Glass Film with Alignment Frame, Scratch Resistant, HD Clarity, 2 Pack"/>
    <s v="Computers&amp;Accessories"/>
    <x v="0"/>
    <s v="Accessories&amp;Peripherals"/>
    <s v="ScreenProtectors"/>
    <n v="1234"/>
    <n v="1599"/>
    <n v="23"/>
    <n v="4.5"/>
    <n v="16680"/>
    <n v="4.4235508911180537"/>
    <s v="High (1,000+)"/>
    <x v="4"/>
    <n v="57"/>
    <s v="Above median"/>
    <b v="0"/>
    <b v="0"/>
    <b v="0"/>
    <n v="3.17"/>
    <n v="1"/>
    <x v="0"/>
    <s v="https://www.amazon.in/ESR-iPad-Screen-Protector-Scratch-Resistant/dp/B07TMCXRFV/ref=sr_1_372?qid=1672903013&amp;s=computers&amp;sr=1-372"/>
  </r>
  <r>
    <s v="B00LZPQVMK"/>
    <s v="Parker Vector Standard Chrome Trim Ball Pen (Ink - Black)"/>
    <s v="OfficeProducts"/>
    <x v="2"/>
    <s v="OfficePaperProducts"/>
    <s v="StickBallpointPens"/>
    <n v="272"/>
    <n v="320"/>
    <n v="15"/>
    <n v="4"/>
    <n v="3686"/>
    <n v="4.0427521100464272"/>
    <s v="High (1,000+)"/>
    <x v="0"/>
    <n v="20.399999999999999"/>
    <s v="Bottom 25%"/>
    <b v="0"/>
    <b v="0"/>
    <b v="0"/>
    <m/>
    <n v="1"/>
    <x v="0"/>
    <s v="https://www.amazon.in/Parker-Vector-Standard-Ball-Black/dp/B00LZPQVMK/ref=sr_1_374?qid=1672903013&amp;s=computers&amp;sr=1-374"/>
  </r>
  <r>
    <s v="B08X77LM8C"/>
    <s v="Silicone Rubber Earbuds Tips, Eartips, Earpads, Earplugs, for Replacement in Earphones and Bluetooth Medium Size (10 Pcs Black)"/>
    <s v="Electronics"/>
    <x v="1"/>
    <s v="Headphones,Earbuds&amp;Accessories"/>
    <s v="Earpads"/>
    <n v="99"/>
    <n v="999"/>
    <n v="90"/>
    <n v="3.8"/>
    <n v="594"/>
    <n v="4.0458255690762801"/>
    <s v="Medium (100-999)"/>
    <x v="0"/>
    <n v="62.1"/>
    <s v="Top 25%"/>
    <b v="0"/>
    <b v="0"/>
    <b v="1"/>
    <m/>
    <n v="1"/>
    <x v="0"/>
    <s v="https://www.amazon.in/Silicone-Earplugs-Replacement-Earphones-Bluetooth/dp/B08X77LM8C/ref=sr_1_376?qid=1672903013&amp;s=computers&amp;sr=1-376"/>
  </r>
  <r>
    <s v="B01EJ5MM5M"/>
    <s v="Canon PIXMA MG2577s All-in-One Inkjet Colour Printer with 1 Additional Colour Cartridge"/>
    <s v="Computers&amp;Accessories"/>
    <x v="0"/>
    <s v="Printers,Inks&amp;Accessories"/>
    <s v="InkjetPrinters"/>
    <n v="3498"/>
    <n v="3875"/>
    <n v="10"/>
    <n v="3.4"/>
    <n v="12185"/>
    <n v="3.5615262010773359"/>
    <s v="High (1,000+)"/>
    <x v="3"/>
    <n v="4.9000000000000004"/>
    <s v="Bottom 25%"/>
    <b v="0"/>
    <b v="0"/>
    <b v="1"/>
    <m/>
    <n v="1"/>
    <x v="0"/>
    <s v="https://www.amazon.in/Canon-MG2577s-Inkjet-Colour-Printer/dp/B01EJ5MM5M/ref=sr_1_378?qid=1672903013&amp;s=computers&amp;sr=1-378"/>
  </r>
  <r>
    <s v="B08J82K4GX"/>
    <s v="Samsung 24-inch(60.46cm) FHD Monitor, IPS, 75 Hz, Bezel Less Design, AMD FreeSync, Flicker Free, HDMI, D-sub, (LF24T350FHWXXL, Dark Blue Gray)"/>
    <s v="Computers&amp;Accessories"/>
    <x v="0"/>
    <s v="Monitors"/>
    <s v="Monitors"/>
    <n v="10099"/>
    <n v="19110"/>
    <n v="47"/>
    <n v="4.3"/>
    <n v="2623"/>
    <n v="4.1731014159706854"/>
    <s v="High (1,000+)"/>
    <x v="1"/>
    <n v="57.6"/>
    <s v="Above median"/>
    <b v="0"/>
    <b v="0"/>
    <b v="0"/>
    <m/>
    <n v="1"/>
    <x v="0"/>
    <s v="https://www.amazon.in/Samsung-inch-Bezel-Flicker-Monitor-LF24T350FHWXXL/dp/B08J82K4GX/ref=sr_1_379?qid=1672903013&amp;s=computers&amp;sr=1-379"/>
  </r>
  <r>
    <s v="B07Z1Z77ZZ"/>
    <s v="AirCase Protective Laptop Bag Sleeve fits Upto 14.1&quot; Laptop/ MacBook, Wrinkle Free, Padded, Waterproof Light Neoprene case Cover Pouch, for Men &amp; Women, Black- 6 Months Warranty"/>
    <s v="Computers&amp;Accessories"/>
    <x v="0"/>
    <s v="Accessories&amp;Peripherals"/>
    <s v="LaptopSleeves&amp;Slipcases"/>
    <n v="449"/>
    <n v="999"/>
    <n v="55"/>
    <n v="4.3"/>
    <n v="9701"/>
    <n v="4.2398142453062588"/>
    <s v="High (1,000+)"/>
    <x v="0"/>
    <n v="68.099999999999994"/>
    <s v="Top 25%"/>
    <b v="0"/>
    <b v="0"/>
    <b v="0"/>
    <m/>
    <n v="1"/>
    <x v="0"/>
    <s v="https://www.amazon.in/AirCase-14-Inch-MacBook-Protective-Neoprene/dp/B07Z1Z77ZZ/ref=sr_1_380?qid=1672903013&amp;s=computers&amp;sr=1-380"/>
  </r>
  <r>
    <s v="B00DJ5N9VK"/>
    <s v="Faber-Castell Connector Pen Set - Pack of 25 (Assorted)"/>
    <s v="Toys&amp;Games"/>
    <x v="2"/>
    <s v="Arts&amp;Crafts"/>
    <s v="ColouringPens&amp;Markers"/>
    <n v="150"/>
    <n v="150"/>
    <n v="0"/>
    <n v="4.3"/>
    <n v="15867"/>
    <n v="4.2587197377254036"/>
    <s v="High (1,000+)"/>
    <x v="0"/>
    <n v="53.5"/>
    <s v="Above median"/>
    <b v="0"/>
    <b v="0"/>
    <b v="0"/>
    <m/>
    <n v="1"/>
    <x v="0"/>
    <s v="https://www.amazon.in/Faber-Castell-Connector-Pen-Set-Assorted/dp/B00DJ5N9VK/ref=sr_1_381?qid=1672903013&amp;s=computers&amp;sr=1-381"/>
  </r>
  <r>
    <s v="B0B4DT8MKT"/>
    <s v="Wecool Unbreakable 3 in 1 Charging Cable with 3A Speed, Fast Charging Multi Purpose Cable 1.25 Mtr Long, Type C cable, Micro Usb Cable and Cable for iPhone, White"/>
    <s v="Computers&amp;Accessories"/>
    <x v="0"/>
    <s v="Accessories&amp;Peripherals"/>
    <s v="USBCables"/>
    <n v="348"/>
    <n v="1499"/>
    <n v="77"/>
    <n v="4.2"/>
    <n v="656"/>
    <n v="4.1017628361844096"/>
    <s v="Medium (100-999)"/>
    <x v="0"/>
    <n v="66.599999999999994"/>
    <s v="Top 25%"/>
    <b v="0"/>
    <b v="0"/>
    <b v="0"/>
    <n v="1.1599999999999999"/>
    <n v="1"/>
    <x v="0"/>
    <s v="https://www.amazon.in/WeCool-Unbreakable-Charging-Purpose-iPhone/dp/B0B4DT8MKT/ref=sr_1_382?qid=1672903013&amp;s=computers&amp;sr=1-382"/>
  </r>
  <r>
    <s v="B08FGNPQ9X"/>
    <s v="Zinq UPS for Router, Mini UPS for 12V WiFi Router Broadband Modem with Upto 4 Hours Power Backup, Upto 2Amp, Works with Existing Adapter, Also Works with Set-top Box, Smart Camera, CCTV (Black)"/>
    <s v="Computers&amp;Accessories"/>
    <x v="0"/>
    <s v="NetworkingDevices"/>
    <s v="Routers"/>
    <n v="1199"/>
    <n v="2999"/>
    <n v="60"/>
    <n v="4.0999999999999996"/>
    <n v="10725"/>
    <n v="4.0960096008062674"/>
    <s v="High (1,000+)"/>
    <x v="4"/>
    <n v="56.3"/>
    <s v="Above median"/>
    <b v="0"/>
    <b v="0"/>
    <b v="0"/>
    <m/>
    <n v="1"/>
    <x v="0"/>
    <s v="https://www.amazon.in/Zinq-Technologies-ZQ-6600-Intercom-Set-top/dp/B08FGNPQ9X/ref=sr_1_383?qid=1672903013&amp;s=computers&amp;sr=1-383"/>
  </r>
  <r>
    <s v="B07NTKGW45"/>
    <s v="SaleOn™ Portable Storage Organizer Bag for Earphone USB Cable Power Bank Mobile Charger Digital Gadget Hard Disk, Water Resistance Material - Dark Grey"/>
    <s v="Computers&amp;Accessories"/>
    <x v="0"/>
    <s v="Accessories&amp;Peripherals"/>
    <s v="HardDiskBags"/>
    <n v="397"/>
    <n v="899"/>
    <n v="56"/>
    <n v="4"/>
    <n v="3025"/>
    <n v="4.0469155199529752"/>
    <s v="High (1,000+)"/>
    <x v="0"/>
    <n v="40.4"/>
    <s v="Below median"/>
    <b v="0"/>
    <b v="0"/>
    <b v="0"/>
    <m/>
    <n v="1"/>
    <x v="0"/>
    <s v="https://www.amazon.in/SaleOnTM-Portable-Organizer-Earphone-Assorted/dp/B07NTKGW45/ref=sr_1_384?qid=1672903013&amp;s=computers&amp;sr=1-384"/>
  </r>
  <r>
    <s v="B08CDKQ8T6"/>
    <s v="Portronics Konnect L 1.2Mtr, Fast Charging 3A Micro USB Cable with Charge &amp; Sync Function (Grey)"/>
    <s v="Computers&amp;Accessories"/>
    <x v="0"/>
    <s v="Accessories&amp;Peripherals"/>
    <s v="USBCables"/>
    <n v="154"/>
    <n v="349"/>
    <n v="56"/>
    <n v="4.3"/>
    <n v="7064"/>
    <n v="4.2251548599899156"/>
    <s v="High (1,000+)"/>
    <x v="0"/>
    <n v="76"/>
    <s v="Top 25%"/>
    <b v="0"/>
    <b v="0"/>
    <b v="0"/>
    <n v="0.52"/>
    <n v="1"/>
    <x v="0"/>
    <s v="https://www.amazon.in/Portronics-Konnect-POR-1079-Charging-Micro/dp/B08CDKQ8T6/ref=sr_1_385?qid=1672903014&amp;s=computers&amp;sr=1-385"/>
  </r>
  <r>
    <s v="B08J4PL1Z3"/>
    <s v="RPM Euro Games Laptop/PC Controller Wired for Windows - 7, 8, 8.1, 10 and XP, Ps3(Upgraded with XYAB Buttons)"/>
    <s v="Computers&amp;Accessories"/>
    <x v="0"/>
    <s v="Accessories&amp;Peripherals"/>
    <s v="Gamepads"/>
    <n v="699"/>
    <n v="1490"/>
    <n v="53"/>
    <n v="4"/>
    <n v="5736"/>
    <n v="4.0335251978397446"/>
    <s v="High (1,000+)"/>
    <x v="2"/>
    <n v="33.5"/>
    <s v="Bottom 25%"/>
    <b v="0"/>
    <b v="0"/>
    <b v="0"/>
    <m/>
    <n v="1"/>
    <x v="0"/>
    <s v="https://www.amazon.in/RPM-Euro-Games-Controller-Wired/dp/B08J4PL1Z3/ref=sr_1_386?qid=1672903014&amp;s=computers&amp;sr=1-386"/>
  </r>
  <r>
    <s v="B07XJWTYM2"/>
    <s v="realme Buds Wireless in Ear Bluetooth Earphones with mic, 11.2mm Bass Boost Driver, Magnetic Fast Pair, Fast Charging and 12 Hrs Playtime (Yellow)"/>
    <s v="Electronics"/>
    <x v="1"/>
    <s v="Headphones,Earbuds&amp;Accessories"/>
    <s v="In-Ear"/>
    <n v="1679"/>
    <n v="1999"/>
    <n v="16"/>
    <n v="4.0999999999999996"/>
    <n v="72563"/>
    <n v="4.0992425741289713"/>
    <s v="High (1,000+)"/>
    <x v="4"/>
    <n v="36"/>
    <s v="Bottom 25%"/>
    <b v="0"/>
    <b v="0"/>
    <b v="0"/>
    <n v="1.77"/>
    <n v="1"/>
    <x v="0"/>
    <s v="https://www.amazon.in/realme-RMA108-Realme-Buds-Wireless/dp/B07XJWTYM2/ref=sr_1_387?qid=1672903014&amp;s=computers&amp;sr=1-387"/>
  </r>
  <r>
    <s v="B09939XJX8"/>
    <s v="TVARA LCD Writing Tablet, 8.5&quot; Inch Colorful Toddler Doodle Board Drawing Tablet, Erasable Reusable Electronic Drawing Pads, Educational and Learning Tool for 3-6 Years Old Boy and Girls Mix Colors"/>
    <s v="Computers&amp;Accessories"/>
    <x v="0"/>
    <s v="Accessories&amp;Peripherals"/>
    <s v="GraphicTablets"/>
    <n v="354"/>
    <n v="1500"/>
    <n v="76"/>
    <n v="4"/>
    <n v="1026"/>
    <n v="4.0665008022722802"/>
    <s v="High (1,000+)"/>
    <x v="0"/>
    <n v="51.9"/>
    <s v="Above median"/>
    <b v="0"/>
    <b v="0"/>
    <b v="0"/>
    <n v="1.22"/>
    <n v="1"/>
    <x v="0"/>
    <s v="https://www.amazon.in/TVARA-Colorful-Erasable-Electronic-Educational/dp/B09939XJX8/ref=sr_1_388?qid=1672903014&amp;s=computers&amp;sr=1-388"/>
  </r>
  <r>
    <s v="B09MDCZJXS"/>
    <s v="Wings Phantom Pro Earphones Gaming Earbuds with LED Battery Indicator, 50ms Low Latency, Bluetooth 5.3, 40 Hours Playtime, MEMs Mic, IPX4 Resist, 12mm Driver, 500mah case, Headphones, (Black TWS)"/>
    <s v="Computers&amp;Accessories"/>
    <x v="0"/>
    <s v="Accessories&amp;Peripherals"/>
    <s v="Headsets"/>
    <n v="1199"/>
    <n v="5499"/>
    <n v="78"/>
    <n v="3.8"/>
    <n v="2043"/>
    <n v="3.984469742775095"/>
    <s v="High (1,000+)"/>
    <x v="4"/>
    <n v="37.6"/>
    <s v="Bottom 25%"/>
    <b v="0"/>
    <b v="0"/>
    <b v="1"/>
    <m/>
    <n v="1"/>
    <x v="0"/>
    <s v="https://www.amazon.in/Wings-Phantom-Indicator-Bluetooth-Playtime/dp/B09MDCZJXS/ref=sr_1_389?qid=1672903014&amp;s=computers&amp;sr=1-389"/>
  </r>
  <r>
    <s v="B08CTQP51L"/>
    <s v="Robustrion [Anti-Scratch] &amp; [Smudge Proof] [S Pen Compatible] Premium Tempered Glass Screen Protector for Samsung Tab S6 Lite 10.4 inch SM-P610/615 [Bubble Free]"/>
    <s v="Computers&amp;Accessories"/>
    <x v="0"/>
    <s v="Accessories&amp;Peripherals"/>
    <s v="ScreenProtectors"/>
    <n v="379"/>
    <n v="1499"/>
    <n v="75"/>
    <n v="4.2"/>
    <n v="4149"/>
    <n v="4.1451354473463713"/>
    <s v="High (1,000+)"/>
    <x v="0"/>
    <n v="68.7"/>
    <s v="Top 25%"/>
    <b v="0"/>
    <b v="0"/>
    <b v="0"/>
    <n v="0.97"/>
    <n v="1"/>
    <x v="0"/>
    <s v="https://www.amazon.in/Robustrion-Anti-Scratch-Samsung-Tab-Lite/dp/B08CTQP51L/ref=sr_1_390?qid=1672903014&amp;s=computers&amp;sr=1-390"/>
  </r>
  <r>
    <s v="B0BG62HMDJ"/>
    <s v="Cablet 2.5 Inch SATA USB 3.0 HDD/SSD Portable External Enclosure for 7mm and 9.5mm, Tool-Free Design, Supports UASP Max 6TB"/>
    <s v="Computers&amp;Accessories"/>
    <x v="0"/>
    <s v="ExternalDevices&amp;DataStorage"/>
    <s v="ExternalHardDisks"/>
    <n v="499"/>
    <n v="775"/>
    <n v="36"/>
    <n v="4.3"/>
    <n v="74"/>
    <n v="4.0887890242879754"/>
    <s v="Low (&lt;100)"/>
    <x v="0"/>
    <n v="43.1"/>
    <s v="Below median"/>
    <b v="0"/>
    <b v="0"/>
    <b v="0"/>
    <m/>
    <n v="1"/>
    <x v="0"/>
    <s v="https://www.amazon.in/Cablet-Portable-External-Enclosure-Tool-Free/dp/B0BG62HMDJ/ref=sr_1_391?qid=1672903014&amp;s=computers&amp;sr=1-391"/>
  </r>
  <r>
    <s v="B08GTYFC37"/>
    <s v="SanDisk 1TB Extreme Portable SSD 1050MB/s R, 1000MB/s W,Upto 2 Meter Drop Protection with IP55 Water/dust Resistance, HW Encryption, PC,MAC &amp; TypeC Smartphone Compatible, 5Y Warranty, External SSD"/>
    <s v="Computers&amp;Accessories"/>
    <x v="0"/>
    <s v="ExternalDevices&amp;DataStorage"/>
    <s v="ExternalSolidStateDrives"/>
    <n v="10389"/>
    <n v="32000"/>
    <n v="68"/>
    <n v="4.4000000000000004"/>
    <n v="41398"/>
    <n v="4.373725691515391"/>
    <s v="High (1,000+)"/>
    <x v="1"/>
    <n v="73.599999999999994"/>
    <s v="Top 25%"/>
    <b v="0"/>
    <b v="0"/>
    <b v="0"/>
    <m/>
    <n v="1"/>
    <x v="0"/>
    <s v="https://www.amazon.in/SanDisk-Portable-Smartphone-Compatible-Warranty/dp/B08GTYFC37/ref=sr_1_392?qid=1672903014&amp;s=computers&amp;sr=1-392"/>
  </r>
  <r>
    <s v="B08SBH499M"/>
    <s v="ZEBRONICS Zeb-Warrior II 10 watts 2.0 Multimedia Speaker with RGB Lights, USB Powered, AUX Input, Volume Control Pod for PC, Laptops, Desktop"/>
    <s v="Computers&amp;Accessories"/>
    <x v="0"/>
    <s v="Accessories&amp;Peripherals"/>
    <s v="PCSpeakers"/>
    <n v="649"/>
    <n v="1300"/>
    <n v="50"/>
    <n v="4.0999999999999996"/>
    <n v="5195"/>
    <n v="4.0935460889400854"/>
    <s v="High (1,000+)"/>
    <x v="2"/>
    <n v="45.3"/>
    <s v="Below median"/>
    <b v="0"/>
    <b v="0"/>
    <b v="0"/>
    <m/>
    <n v="1"/>
    <x v="0"/>
    <s v="https://www.amazon.in/ZEBRONICS-Zeb-Warrior-Speaker-Laptops-Desktop/dp/B08SBH499M/ref=sr_1_394?qid=1672903014&amp;s=computers&amp;sr=1-394"/>
  </r>
  <r>
    <s v="B08FYB5HHK"/>
    <s v="TP-Link UE300C USB Type-C to RJ45 Gigabit Ethernet Network Adapter/RJ45 LAN Wired Adapter for Ultrabook, Chromebook, Laptop, Desktop, Plug &amp; Play, USB 3.0, Foldable and Portable Design"/>
    <s v="Computers&amp;Accessories"/>
    <x v="0"/>
    <s v="NetworkingDevices"/>
    <s v="PowerLANAdapters"/>
    <n v="1199"/>
    <n v="1999"/>
    <n v="40"/>
    <n v="4.5"/>
    <n v="22420"/>
    <n v="4.4403108599897188"/>
    <s v="High (1,000+)"/>
    <x v="4"/>
    <n v="69.900000000000006"/>
    <s v="Top 25%"/>
    <b v="0"/>
    <b v="0"/>
    <b v="0"/>
    <m/>
    <n v="2"/>
    <x v="1"/>
    <s v="https://www.amazon.in/TP-Link-UE300C-Ethernet-Ultrabook-Chromebook/dp/B08FYB5HHK/ref=sr_1_395?qid=1672903014&amp;s=computers&amp;sr=1-395"/>
  </r>
  <r>
    <s v="B0994GFWBH"/>
    <s v="Lapster 1.5 mtr USB 2.0 Type A Male to USB A Male Cable for computer and laptop"/>
    <s v="Computers&amp;Accessories"/>
    <x v="0"/>
    <s v="Accessories&amp;Peripherals"/>
    <s v="USBCables"/>
    <n v="139"/>
    <n v="999"/>
    <n v="86"/>
    <n v="4"/>
    <n v="1313"/>
    <n v="4.0627404377264931"/>
    <s v="High (1,000+)"/>
    <x v="0"/>
    <n v="60.6"/>
    <s v="Top 25%"/>
    <b v="0"/>
    <b v="0"/>
    <b v="0"/>
    <n v="0.46"/>
    <n v="2"/>
    <x v="1"/>
    <s v="https://www.amazon.in/Lapster-Type-Cable-computer-laptop/dp/B0994GFWBH/ref=sr_1_396?qid=1672903014&amp;s=computers&amp;sr=1-396"/>
  </r>
  <r>
    <s v="B0B5GJRTHB"/>
    <s v="Wecool Moonwalk M1 ENC True Wireless in Ear Earbuds with Mic, Titanium Drivers for Rich Bass Experience, 40+ Hours Play Time, Type C Fast Charging, Low Latency, BT 5.3, IPX5, Deep Bass (Black)"/>
    <s v="Electronics"/>
    <x v="1"/>
    <s v="Headphones,Earbuds&amp;Accessories"/>
    <s v="In-Ear"/>
    <n v="889"/>
    <n v="1999"/>
    <n v="56"/>
    <n v="4.2"/>
    <n v="2284"/>
    <n v="4.1282128655719532"/>
    <s v="High (1,000+)"/>
    <x v="2"/>
    <n v="59.4"/>
    <s v="Above median"/>
    <b v="0"/>
    <b v="0"/>
    <b v="0"/>
    <n v="0.94"/>
    <n v="1"/>
    <x v="0"/>
    <s v="https://www.amazon.in/Moonwalk-Wireless-Titanium-Experience-Charging/dp/B0B5GJRTHB/ref=sr_1_397?qid=1672903014&amp;s=computers&amp;sr=1-397"/>
  </r>
  <r>
    <s v="B09GBBJV72"/>
    <s v="HP 330 Wireless Black Keyboard and Mouse Set with Numeric Keypad, 2.4GHz Wireless Connection and 1600 DPI, USB Receiver, LED Indicators , Black(2V9E6AA)"/>
    <s v="Computers&amp;Accessories"/>
    <x v="0"/>
    <s v="Accessories&amp;Peripherals"/>
    <s v="Keyboard&amp;MouseSets"/>
    <n v="1409"/>
    <n v="2199"/>
    <n v="36"/>
    <n v="3.9"/>
    <n v="427"/>
    <n v="4.0658167064520381"/>
    <s v="Medium (100-999)"/>
    <x v="4"/>
    <n v="27.4"/>
    <s v="Bottom 25%"/>
    <b v="0"/>
    <b v="0"/>
    <b v="0"/>
    <n v="1.07"/>
    <n v="1"/>
    <x v="0"/>
    <s v="https://www.amazon.in/HP-330-Wireless-Keyboard-Mouse/dp/B09GBBJV72/ref=sr_1_398?qid=1672903014&amp;s=computers&amp;sr=1-398"/>
  </r>
  <r>
    <s v="B07P434WJY"/>
    <s v="RC PRINT GI 790 Ink Refill for Canon G1000, G1010, G1100, G2000, G2002, G2010, G2012, G2100, G3000, G3010, G3012, G3100, G4000, G4010"/>
    <s v="Computers&amp;Accessories"/>
    <x v="0"/>
    <s v="Printers,Inks&amp;Accessories"/>
    <s v="InkjetInkRefills&amp;Kits"/>
    <n v="549"/>
    <n v="1999"/>
    <n v="73"/>
    <n v="4.3"/>
    <n v="1367"/>
    <n v="4.1420292604894851"/>
    <s v="High (1,000+)"/>
    <x v="2"/>
    <n v="72"/>
    <s v="Top 25%"/>
    <b v="0"/>
    <b v="0"/>
    <b v="0"/>
    <m/>
    <n v="1"/>
    <x v="0"/>
    <s v="https://www.amazon.in/PRINT-Compatible-Bottles-Printer-Magenta/dp/B07P434WJY/ref=sr_1_399?qid=1672903014&amp;s=computers&amp;sr=1-399"/>
  </r>
  <r>
    <s v="B07T9FV9YP"/>
    <s v="Redgear Cloak Wired RGB Wired Over Ear Gaming Headphones with Mic for PC"/>
    <s v="Computers&amp;Accessories"/>
    <x v="0"/>
    <s v="Accessories&amp;Peripherals"/>
    <s v="Headsets"/>
    <n v="749"/>
    <n v="1799"/>
    <n v="58"/>
    <n v="4"/>
    <n v="13199"/>
    <n v="4.0187742293830624"/>
    <s v="High (1,000+)"/>
    <x v="2"/>
    <n v="33.799999999999997"/>
    <s v="Bottom 25%"/>
    <b v="0"/>
    <b v="0"/>
    <b v="0"/>
    <m/>
    <n v="1"/>
    <x v="0"/>
    <s v="https://www.amazon.in/Redgear-Cloak-Gaming-Headphones-Microphone/dp/B07T9FV9YP/ref=sr_1_400?qid=1672903014&amp;s=computers&amp;sr=1-400"/>
  </r>
  <r>
    <s v="B08WKFSN84"/>
    <s v="Wayona Type C To Type C 65W/3.25A Nylon Braided Fast Charging Cable Compatible For Laptop, Macbook, Samsung Galaxy M33 M53 M51 S20 Ultra, A71, A53, A51, Ipad Pro 2018 (1M, Grey)"/>
    <s v="Computers&amp;Accessories"/>
    <x v="0"/>
    <s v="Accessories&amp;Peripherals"/>
    <s v="USBCables"/>
    <n v="379"/>
    <n v="1099"/>
    <n v="66"/>
    <n v="4.3"/>
    <n v="2806"/>
    <n v="4.1766368412393717"/>
    <s v="High (1,000+)"/>
    <x v="0"/>
    <n v="69.3"/>
    <s v="Top 25%"/>
    <b v="0"/>
    <b v="0"/>
    <b v="0"/>
    <n v="1.27"/>
    <n v="4"/>
    <x v="1"/>
    <s v="https://www.amazon.in/Wayona-Charging-Braided-Compatible-Samsung/dp/B08WKFSN84/ref=sr_1_402?qid=1672903014&amp;s=computers&amp;sr=1-402"/>
  </r>
  <r>
    <s v="B09TBCVJS3"/>
    <s v="Amazfit GTS2 Mini (New Version) Smart Watch with Always-on AMOLED Display, Alexa Built-in, SpO2, 14 Days' Battery Life, 68 Sports Modes, GPS, HR, Sleep &amp; Stress Monitoring (Meteor Black)"/>
    <s v="Electronics"/>
    <x v="1"/>
    <s v="WearableTechnology"/>
    <s v="SmartWatches"/>
    <n v="5998"/>
    <n v="7999"/>
    <n v="25"/>
    <n v="4.2"/>
    <n v="30355"/>
    <n v="4.1872774702624991"/>
    <s v="High (1,000+)"/>
    <x v="3"/>
    <n v="47"/>
    <s v="Below median"/>
    <b v="0"/>
    <b v="0"/>
    <b v="0"/>
    <n v="2.73"/>
    <n v="1"/>
    <x v="0"/>
    <s v="https://www.amazon.in/Amazfit-Version-Always-Display-Monitoring/dp/B09TBCVJS3/ref=sr_1_403?qid=1672903014&amp;s=computers&amp;sr=1-403"/>
  </r>
  <r>
    <s v="B08TR61BVK"/>
    <s v="Tabelito® Polyester Foam, Nylon Hybrid laptopss Bag Sleeve Case Cover Pouch for laptopss Apple/Dell/Lenovo/ Asus/ Hp/Samsung/Mi/MacBook/Ultrabook/Thinkpad/Ideapad/Surfacepro (15.6 inches /39.6cm, Blue) laptopsss"/>
    <s v="Computers&amp;Accessories"/>
    <x v="0"/>
    <s v="Accessories&amp;Peripherals"/>
    <s v="LaptopSleeves&amp;Slipcases"/>
    <n v="299"/>
    <n v="1499"/>
    <n v="80"/>
    <n v="4.2"/>
    <n v="2868"/>
    <n v="4.1345357200333028"/>
    <s v="High (1,000+)"/>
    <x v="0"/>
    <n v="71.7"/>
    <s v="Top 25%"/>
    <b v="0"/>
    <b v="0"/>
    <b v="0"/>
    <m/>
    <n v="1"/>
    <x v="0"/>
    <s v="https://www.amazon.in/Tabelito-Sleeve-15-6-Inch-MacBook-Protective/dp/B08TR61BVK/ref=sr_1_404?qid=1672903014&amp;s=computers&amp;sr=1-404"/>
  </r>
  <r>
    <s v="B0B2CPVXHX"/>
    <s v="Robustrion Anti-Scratch &amp; Smudge Proof Tempered Glass Screen Protector for Xiaomi Mi Pad 5 11 inch"/>
    <s v="Computers&amp;Accessories"/>
    <x v="0"/>
    <s v="Accessories&amp;Peripherals"/>
    <s v="ScreenProtectors"/>
    <n v="379"/>
    <n v="1499"/>
    <n v="75"/>
    <n v="4.0999999999999996"/>
    <n v="670"/>
    <n v="4.0869574938930207"/>
    <s v="Medium (100-999)"/>
    <x v="0"/>
    <n v="56"/>
    <s v="Above median"/>
    <b v="0"/>
    <b v="0"/>
    <b v="0"/>
    <n v="0.97"/>
    <n v="1"/>
    <x v="0"/>
    <s v="https://www.amazon.in/Robustrion-Anti-Scratch-Smudge-Tempered-Protector/dp/B0B2CPVXHX/ref=sr_1_406?qid=1672903014&amp;s=computers&amp;sr=1-406"/>
  </r>
  <r>
    <s v="B08XNL93PL"/>
    <s v="Portronics Ruffpad 15 Re-Writable LCD Screen 38.1cm (15-inch) Writing Pad for Drawing, Playing, Handwriting Gifts for Kids &amp; Adults (Grey)"/>
    <s v="OfficeProducts"/>
    <x v="2"/>
    <s v="OfficePaperProducts"/>
    <s v="Notebooks,WritingPads&amp;Diaries"/>
    <n v="1399"/>
    <n v="2999"/>
    <n v="53"/>
    <n v="4.3"/>
    <n v="3530"/>
    <n v="4.188884345790993"/>
    <s v="High (1,000+)"/>
    <x v="4"/>
    <n v="56.9"/>
    <s v="Above median"/>
    <b v="0"/>
    <b v="0"/>
    <b v="0"/>
    <m/>
    <n v="1"/>
    <x v="0"/>
    <s v="https://www.amazon.in/Portronics-Ruffpad-Re-Writable-15-inch-Handwriting/dp/B08XNL93PL/ref=sr_1_407?qid=1672903014&amp;s=computers&amp;sr=1-407"/>
  </r>
  <r>
    <s v="B088GXTJM3"/>
    <s v="DIGITEK® (DLS-9FT) Lightweight &amp; Portable Aluminum Alloy Light Stand for Ring Light, Reflector, Flash Units, Diffuser, Portrait, Softbox, Studio Lighting &amp; More Ideal for Outdoor &amp; Indoor Shoots"/>
    <s v="Electronics"/>
    <x v="1"/>
    <s v="Cameras&amp;Photography"/>
    <s v="BackgroundSupports"/>
    <n v="699"/>
    <n v="1299"/>
    <n v="46"/>
    <n v="4.3"/>
    <n v="6183"/>
    <n v="4.2185248697079896"/>
    <s v="High (1,000+)"/>
    <x v="2"/>
    <n v="65.3"/>
    <s v="Top 25%"/>
    <b v="0"/>
    <b v="0"/>
    <b v="0"/>
    <m/>
    <n v="1"/>
    <x v="0"/>
    <s v="https://www.amazon.in/Lightweight-Portable-Aluminum-Photography-DLS-9FEET/dp/B088GXTJM3/ref=sr_1_408?qid=1672903014&amp;s=computers&amp;sr=1-408"/>
  </r>
  <r>
    <s v="B099S26HWG"/>
    <s v="Classmate Pulse 1 Subject Notebook - 240mm x 180mm , Soft Cover, 180 Pages, Single Line, Pack of 4"/>
    <s v="OfficeProducts"/>
    <x v="2"/>
    <s v="OfficePaperProducts"/>
    <s v="CompositionNotebooks"/>
    <n v="300"/>
    <n v="300"/>
    <n v="0"/>
    <n v="4.2"/>
    <n v="419"/>
    <n v="4.0961949280595036"/>
    <s v="Medium (100-999)"/>
    <x v="0"/>
    <n v="31.3"/>
    <s v="Bottom 25%"/>
    <b v="0"/>
    <b v="0"/>
    <b v="0"/>
    <m/>
    <n v="1"/>
    <x v="0"/>
    <s v="https://www.amazon.in/Classmate-Pulse-Subject-Notebook-Single/dp/B099S26HWG/ref=sr_1_409?qid=1672903016&amp;s=computers&amp;sr=1-409"/>
  </r>
  <r>
    <s v="B08461VC1Z"/>
    <s v="Scarters Mouse Pad, Desk Mat Extended for Work from Home/Office/Gaming | Vegan PU Leather | Anti-Skid, Anti-Slip, Reversible Splash-Proof – Deskspread ~ Navy Blue &amp; Yellow"/>
    <s v="Computers&amp;Accessories"/>
    <x v="0"/>
    <s v="Accessories&amp;Peripherals"/>
    <s v="MousePads"/>
    <n v="999"/>
    <n v="1995"/>
    <n v="50"/>
    <n v="4.5"/>
    <n v="7317"/>
    <n v="4.3589457188213201"/>
    <s v="High (1,000+)"/>
    <x v="2"/>
    <n v="67.5"/>
    <s v="Top 25%"/>
    <b v="0"/>
    <b v="0"/>
    <b v="0"/>
    <m/>
    <n v="1"/>
    <x v="0"/>
    <s v="https://www.amazon.in/Scarters-Office-Keyboard-Splash-Proof-Leather/dp/B08461VC1Z/ref=sr_1_410?qid=1672903016&amp;s=computers&amp;sr=1-410"/>
  </r>
  <r>
    <s v="B00K32PEW4"/>
    <s v="Casio MJ-120D 150 Steps Check and Correct Desktop Calculator with Tax Keys, Black"/>
    <s v="OfficeProducts"/>
    <x v="2"/>
    <s v="OfficeElectronics"/>
    <s v="Financial&amp;Business"/>
    <n v="535"/>
    <n v="535"/>
    <n v="0"/>
    <n v="4.4000000000000004"/>
    <n v="4426"/>
    <n v="4.2550942286964419"/>
    <s v="High (1,000+)"/>
    <x v="2"/>
    <n v="52.8"/>
    <s v="Above median"/>
    <b v="0"/>
    <b v="0"/>
    <b v="0"/>
    <m/>
    <n v="1"/>
    <x v="0"/>
    <s v="https://www.amazon.in/Casio-MJ-120D-Electronic-Calculator/dp/B00K32PEW4/ref=sr_1_411?qid=1672903016&amp;s=computers&amp;sr=1-411"/>
  </r>
  <r>
    <s v="B07LFWP97N"/>
    <s v="Gizga Essentials Laptop Bag Sleeve Case Cover Pouch with Handle for 14.1 Inch Laptop for Men &amp; Women, Padded Laptop Compartment, Premium Zipper Closure, Water Repellent Nylon Fabric, Grey"/>
    <s v="Computers&amp;Accessories"/>
    <x v="0"/>
    <s v="Accessories&amp;Peripherals"/>
    <s v="LaptopSleeves&amp;Slipcases"/>
    <n v="269"/>
    <n v="1099"/>
    <n v="76"/>
    <n v="4.0999999999999996"/>
    <n v="1092"/>
    <n v="4.0880912744218394"/>
    <s v="High (1,000+)"/>
    <x v="0"/>
    <n v="60.2"/>
    <s v="Above median"/>
    <b v="0"/>
    <b v="0"/>
    <b v="0"/>
    <m/>
    <n v="1"/>
    <x v="0"/>
    <s v="https://www.amazon.in/Essentials-Sleeve-Microsoft-Surface-Go/dp/B07LFWP97N/ref=sr_1_413?qid=1672903016&amp;s=computers&amp;sr=1-413"/>
  </r>
  <r>
    <s v="B0746N6WML"/>
    <s v="Parker Vector Camouflage Gift Set - Roller Ball Pen &amp; Parker Logo Keychain (Black Body, Blue Ink), 2 Piece Set"/>
    <s v="OfficeProducts"/>
    <x v="2"/>
    <s v="OfficePaperProducts"/>
    <s v="StickBallpointPens"/>
    <n v="341"/>
    <n v="450"/>
    <n v="24"/>
    <n v="4.3"/>
    <n v="2493"/>
    <n v="4.170464246132334"/>
    <s v="High (1,000+)"/>
    <x v="0"/>
    <n v="44.8"/>
    <s v="Below median"/>
    <b v="0"/>
    <b v="0"/>
    <b v="0"/>
    <m/>
    <n v="1"/>
    <x v="0"/>
    <s v="https://www.amazon.in/Parker-Vector-Camouflage-Gift-Set/dp/B0746N6WML/ref=sr_1_414?qid=1672903016&amp;s=computers&amp;sr=1-414"/>
  </r>
  <r>
    <s v="B07W9KYT62"/>
    <s v="TP-Link AC1200 Archer A6 Smart WiFi, 5GHz Gigabit Dual Band MU-MIMO Wireless Internet Router, Long Range Coverage by 4 Antennas, Qualcomm Chipset"/>
    <s v="Computers&amp;Accessories"/>
    <x v="0"/>
    <s v="NetworkingDevices"/>
    <s v="Routers"/>
    <n v="2499"/>
    <n v="3999"/>
    <n v="38"/>
    <n v="4.4000000000000004"/>
    <n v="12679"/>
    <n v="4.3278313469988028"/>
    <s v="High (1,000+)"/>
    <x v="4"/>
    <n v="61.7"/>
    <s v="Top 25%"/>
    <b v="0"/>
    <b v="0"/>
    <b v="0"/>
    <m/>
    <n v="1"/>
    <x v="0"/>
    <s v="https://www.amazon.in/TP-Link-Archer-A6-Wireless-Internet/dp/B07W9KYT62/ref=sr_1_415?qid=1672903016&amp;s=computers&amp;sr=1-415"/>
  </r>
  <r>
    <s v="B08D9MNH4B"/>
    <s v="HP Deskjet 2723 AIO Printer, Copy, Scan, WiFi, Bluetooth, USB, Simple Setup Smart App, Ideal for Home."/>
    <s v="Computers&amp;Accessories"/>
    <x v="0"/>
    <s v="Printers,Inks&amp;Accessories"/>
    <s v="Printers"/>
    <n v="5899"/>
    <n v="7005"/>
    <n v="16"/>
    <n v="3.6"/>
    <n v="4199"/>
    <n v="3.8290321034579931"/>
    <s v="High (1,000+)"/>
    <x v="3"/>
    <n v="6.2"/>
    <s v="Bottom 25%"/>
    <b v="0"/>
    <b v="0"/>
    <b v="1"/>
    <m/>
    <n v="1"/>
    <x v="0"/>
    <s v="https://www.amazon.in/HP-DeskJet-2723-Wireless-Printer/dp/B08D9MNH4B/ref=sr_1_418?qid=1672903016&amp;s=computers&amp;sr=1-418"/>
  </r>
  <r>
    <s v="B09MKG4ZCM"/>
    <s v="Xiaomi Mi 4A Dual_Band Ethernet 1200Mbps Speed Router| 2.4GHz &amp; 5GHz Frequency|128MB RAM | DualCore 4 Thread CPU|4 Omni Directional Antenna|Mi Wi-Fi app-Parental Control &amp; Anti Hacking|Repeater, White"/>
    <s v="Computers&amp;Accessories"/>
    <x v="0"/>
    <s v="NetworkingDevices"/>
    <s v="Routers"/>
    <n v="1565"/>
    <n v="2999"/>
    <n v="48"/>
    <n v="4"/>
    <n v="11113"/>
    <n v="4.0214069504676022"/>
    <s v="High (1,000+)"/>
    <x v="4"/>
    <n v="31.5"/>
    <s v="Bottom 25%"/>
    <b v="0"/>
    <b v="0"/>
    <b v="0"/>
    <m/>
    <n v="1"/>
    <x v="0"/>
    <s v="https://www.amazon.in/Dualband-1200Mbps-Frequency-Directional-app-Parental/dp/B09MKG4ZCM/ref=sr_1_420?qid=1672903016&amp;s=computers&amp;sr=1-420"/>
  </r>
  <r>
    <s v="B07RZZ1QSW"/>
    <s v="SLOVIC® Tripod Mount Adapter| Tripod Mobile Holder|Tripod Phone Mount(Made in India)| Smartphone Clip Clipper 360 Degree for Taking Magic Video Shots &amp; Pictures."/>
    <s v="Electronics"/>
    <x v="1"/>
    <s v="Cameras&amp;Photography"/>
    <s v="Tabletop&amp;TravelTripods"/>
    <n v="326"/>
    <n v="799"/>
    <n v="59"/>
    <n v="4.4000000000000004"/>
    <n v="10773"/>
    <n v="4.3183680707014416"/>
    <s v="High (1,000+)"/>
    <x v="0"/>
    <n v="82.7"/>
    <s v="Top 25%"/>
    <b v="1"/>
    <b v="0"/>
    <b v="0"/>
    <m/>
    <n v="1"/>
    <x v="0"/>
    <s v="https://www.amazon.in/SLOVIC%C2%AE-Adapter-Smartphone-Clipper-Pictures/dp/B07RZZ1QSW/ref=sr_1_421?qid=1672903016&amp;s=computers&amp;sr=1-421"/>
  </r>
  <r>
    <s v="B07222HQKP"/>
    <s v="Orico 2.5&quot;(6.3cm) USB 3.0 HDD Enclosure Case Cover for SATA SSD HDD | SATA SSD HDD Enclosure High Speed USB 3.0 | Tool Free Installation | Black"/>
    <s v="Computers&amp;Accessories"/>
    <x v="0"/>
    <s v="ExternalDevices&amp;DataStorage"/>
    <s v="ExternalHardDisks"/>
    <n v="657"/>
    <n v="999"/>
    <n v="34"/>
    <n v="4.3"/>
    <n v="13944"/>
    <n v="4.2542365284884536"/>
    <s v="High (1,000+)"/>
    <x v="2"/>
    <n v="61.9"/>
    <s v="Top 25%"/>
    <b v="0"/>
    <b v="0"/>
    <b v="0"/>
    <m/>
    <n v="1"/>
    <x v="0"/>
    <s v="https://www.amazon.in/ORICO-2577U3-BK-Enclosure-Capacity-Business/dp/B07222HQKP/ref=sr_1_423?qid=1672903016&amp;s=computers&amp;sr=1-423"/>
  </r>
  <r>
    <s v="B00NFD0ETQ"/>
    <s v="Logitech G402 Hyperion Fury USB Wired Gaming Mouse, 4,000 DPI, Lightweight, 8 Programmable Buttons, Compatible for PC/Mac - Black"/>
    <s v="Computers&amp;Accessories"/>
    <x v="0"/>
    <s v="Accessories&amp;Peripherals"/>
    <s v="GamingMice"/>
    <n v="1995"/>
    <n v="2895"/>
    <n v="31"/>
    <n v="4.5999999999999996"/>
    <n v="10760"/>
    <n v="4.4664788494874026"/>
    <s v="High (1,000+)"/>
    <x v="4"/>
    <n v="59.4"/>
    <s v="Above median"/>
    <b v="0"/>
    <b v="0"/>
    <b v="0"/>
    <m/>
    <n v="1"/>
    <x v="0"/>
    <s v="https://www.amazon.in/Logitech-Hyperion-Ultra-Gaming-Mouse/dp/B00NFD0ETQ/ref=sr_1_424?qid=1672903016&amp;s=computers&amp;sr=1-424"/>
  </r>
  <r>
    <s v="B075DB1F13"/>
    <s v="Panasonic Eneloop BQ-CC55N Advanced, Smart and Quick Charger for AA &amp; AAA Rechargeable Batteries, White"/>
    <s v="Electronics"/>
    <x v="1"/>
    <s v="GeneralPurposeBatteries&amp;BatteryChargers"/>
    <s v="GeneralPurposeBatteries&amp;BatteryChargers"/>
    <n v="1500"/>
    <n v="1500"/>
    <n v="0"/>
    <n v="4.4000000000000004"/>
    <n v="25996"/>
    <n v="4.360126992008361"/>
    <s v="High (1,000+)"/>
    <x v="4"/>
    <n v="50.4"/>
    <s v="Below median"/>
    <b v="0"/>
    <b v="0"/>
    <b v="0"/>
    <m/>
    <n v="1"/>
    <x v="0"/>
    <s v="https://www.amazon.in/Panasonic-Eneloop-BQ-CC55E-Advanced-Battery/dp/B075DB1F13/ref=sr_1_425?qid=1672903016&amp;s=computers&amp;sr=1-425"/>
  </r>
  <r>
    <s v="B0148NPH9I"/>
    <s v="Logitech K380 Wireless Multi-Device Keyboard for Windows, Apple iOS, Apple TV Android or Chrome, Bluetooth, Compact Space-Saving Design, PC/Mac/Laptop/Smartphone/Tablet (Dark Grey)"/>
    <s v="Computers&amp;Accessories"/>
    <x v="0"/>
    <s v="Accessories&amp;Peripherals"/>
    <s v="Keyboards"/>
    <n v="2640"/>
    <n v="3195"/>
    <n v="17"/>
    <n v="4.5"/>
    <n v="16146"/>
    <n v="4.4215003185413666"/>
    <s v="High (1,000+)"/>
    <x v="3"/>
    <n v="53.4"/>
    <s v="Above median"/>
    <b v="0"/>
    <b v="0"/>
    <b v="0"/>
    <m/>
    <n v="1"/>
    <x v="0"/>
    <s v="https://www.amazon.in/Logitech-920-007596-Multi-Device-Bluetooth-Keyboard/dp/B0148NPH9I/ref=sr_1_426?qid=1672903016&amp;s=computers&amp;sr=1-426"/>
  </r>
  <r>
    <s v="B01JOFKL0A"/>
    <s v="Canon PIXMA E477 All-in-One Wireless Ink Efficient Colour Printer (White/Blue)"/>
    <s v="Computers&amp;Accessories"/>
    <x v="0"/>
    <s v="Printers,Inks&amp;Accessories"/>
    <s v="Printers"/>
    <n v="5299"/>
    <n v="6355"/>
    <n v="17"/>
    <n v="3.9"/>
    <n v="8280"/>
    <n v="3.9576864514578212"/>
    <s v="High (1,000+)"/>
    <x v="3"/>
    <n v="10.5"/>
    <s v="Bottom 25%"/>
    <b v="0"/>
    <b v="0"/>
    <b v="0"/>
    <m/>
    <n v="1"/>
    <x v="0"/>
    <s v="https://www.amazon.in/Canon-E477-Wireless-Efficient-Printer/dp/B01JOFKL0A/ref=sr_1_427?qid=1672903016&amp;s=computers&amp;sr=1-427"/>
  </r>
  <r>
    <s v="B09Q8HMKZX"/>
    <s v="Portronics Konnect L 20W PD Quick Charge Type-C to 8-Pin USB Mobile Charging Cable, 1.2M, Tangle Resistant, Fast Data Sync(Grey)"/>
    <s v="Computers&amp;Accessories"/>
    <x v="0"/>
    <s v="Accessories&amp;Peripherals"/>
    <s v="USBCables"/>
    <n v="263"/>
    <n v="699"/>
    <n v="62"/>
    <n v="4.0999999999999996"/>
    <n v="450"/>
    <n v="4.0862763422387687"/>
    <s v="Medium (100-999)"/>
    <x v="0"/>
    <n v="54.5"/>
    <s v="Above median"/>
    <b v="0"/>
    <b v="0"/>
    <b v="0"/>
    <n v="0.88"/>
    <n v="1"/>
    <x v="0"/>
    <s v="https://www.amazon.in/Portronics-Konnect-Charge-Charging-Resistant/dp/B09Q8HMKZX/ref=sr_1_428?qid=1672903016&amp;s=computers&amp;sr=1-428"/>
  </r>
  <r>
    <s v="B079S811J3"/>
    <s v="Redgear Cosmo 7,1 Usb Gaming Wired Over Ear Headphones With Mic With Virtual Surround Sound,50Mm Driver, Rgb Leds &amp; Remote Control(Black)"/>
    <s v="Computers&amp;Accessories"/>
    <x v="0"/>
    <s v="Accessories&amp;Peripherals"/>
    <s v="Headsets"/>
    <n v="1990"/>
    <n v="2999"/>
    <n v="34"/>
    <n v="4.3"/>
    <n v="14237"/>
    <n v="4.254981476801067"/>
    <s v="High (1,000+)"/>
    <x v="4"/>
    <n v="53.7"/>
    <s v="Above median"/>
    <b v="0"/>
    <b v="0"/>
    <b v="0"/>
    <m/>
    <n v="1"/>
    <x v="0"/>
    <s v="https://www.amazon.in/Redgear-Cosmo-7-1-Headphones-Controller/dp/B079S811J3/ref=sr_1_429?qid=1672903016&amp;s=computers&amp;sr=1-429"/>
  </r>
  <r>
    <s v="B0083T231O"/>
    <s v="Belkin Essential Series 4-Socket Surge Protector Universal Socket with 5ft Heavy Duty Cable (Grey)"/>
    <s v="Electronics"/>
    <x v="1"/>
    <s v="PowerAccessories"/>
    <s v="SurgeProtectors"/>
    <n v="1289"/>
    <n v="1499"/>
    <n v="14"/>
    <n v="4.5"/>
    <n v="20668"/>
    <n v="4.4360303346915053"/>
    <s v="High (1,000+)"/>
    <x v="4"/>
    <n v="61.3"/>
    <s v="Top 25%"/>
    <b v="0"/>
    <b v="0"/>
    <b v="0"/>
    <m/>
    <n v="1"/>
    <x v="0"/>
    <s v="https://www.amazon.in/Belkin-Essential-F9E400zb1-5MGRY-4-Socket-Protector/dp/B0083T231O/ref=sr_1_430?qid=1672903016&amp;s=computers&amp;sr=1-430"/>
  </r>
  <r>
    <s v="B086PXQ2R4"/>
    <s v="Classmate Long Book - Unruled, 160 Pages, 314 mm x 194 mm - Pack Of 3"/>
    <s v="OfficeProducts"/>
    <x v="2"/>
    <s v="OfficePaperProducts"/>
    <s v="CompositionNotebooks"/>
    <n v="165"/>
    <n v="165"/>
    <n v="0"/>
    <n v="4.5"/>
    <n v="1674"/>
    <n v="4.212533632241481"/>
    <s v="High (1,000+)"/>
    <x v="0"/>
    <n v="50.3"/>
    <s v="Below median"/>
    <b v="0"/>
    <b v="0"/>
    <b v="0"/>
    <m/>
    <n v="1"/>
    <x v="0"/>
    <s v="https://www.amazon.in/Classmate-Long-Book-Unruled-Pages/dp/B086PXQ2R4/ref=sr_1_431?qid=1672903016&amp;s=computers&amp;sr=1-431"/>
  </r>
  <r>
    <s v="B07L1N3TJX"/>
    <s v="Artis AR-45W-MG2 45 Watts MG2 Laptop Adapter/Charger Compatible with MB Air 13” &amp; MB Air 11” (14.5 V, 3.1 A) Connector: MG2 (T Tip Connector)"/>
    <s v="Computers&amp;Accessories"/>
    <x v="0"/>
    <s v="Accessories&amp;Peripherals"/>
    <s v="LaptopChargers&amp;PowerSupplies"/>
    <n v="1699"/>
    <n v="3499"/>
    <n v="51"/>
    <n v="3.6"/>
    <n v="7689"/>
    <n v="3.75923146240063"/>
    <s v="High (1,000+)"/>
    <x v="4"/>
    <n v="20.5"/>
    <s v="Bottom 25%"/>
    <b v="0"/>
    <b v="0"/>
    <b v="1"/>
    <m/>
    <n v="1"/>
    <x v="0"/>
    <s v="https://www.amazon.in/Artis-AR-45WMG2-Compatible-Laptop-Adaptor/dp/B07L1N3TJX/ref=sr_1_432?qid=1672903016&amp;s=computers&amp;sr=1-432"/>
  </r>
  <r>
    <s v="B07YFWVRCM"/>
    <s v="Imou 360° 1080P Full HD Security Camera, Human Detection, Motion Tracking, 2-Way Audio, Night Vision, Dome Camera with WiFi &amp; Ethernet Connection, Alexa Google Assistant, Up to 256GB SD Card Support"/>
    <s v="Electronics"/>
    <x v="1"/>
    <s v="Cameras&amp;Photography"/>
    <s v="DomeCameras"/>
    <n v="2299"/>
    <n v="7500"/>
    <n v="69"/>
    <n v="4.0999999999999996"/>
    <n v="5554"/>
    <n v="4.0937947825557686"/>
    <s v="High (1,000+)"/>
    <x v="4"/>
    <n v="52.9"/>
    <s v="Above median"/>
    <b v="0"/>
    <b v="0"/>
    <b v="0"/>
    <m/>
    <n v="1"/>
    <x v="0"/>
    <s v="https://www.amazon.in/Imou-Security-Advanced-Surveillance-Detection/dp/B07YFWVRCM/ref=sr_1_433?qid=1672903017&amp;s=computers&amp;sr=1-433"/>
  </r>
  <r>
    <s v="B08TDJ5BVF"/>
    <s v="E-COSMOS 5V 1.2W Portable Flexible USB LED Light (Colours May Vary, Small, EC-POF1)"/>
    <s v="Computers&amp;Accessories"/>
    <x v="0"/>
    <s v="Accessories&amp;Peripherals"/>
    <s v="Lamps"/>
    <n v="39"/>
    <n v="39"/>
    <n v="0"/>
    <n v="3.8"/>
    <n v="3344"/>
    <n v="3.9506985283445881"/>
    <s v="High (1,000+)"/>
    <x v="0"/>
    <n v="25.1"/>
    <s v="Bottom 25%"/>
    <b v="0"/>
    <b v="0"/>
    <b v="1"/>
    <m/>
    <n v="1"/>
    <x v="0"/>
    <s v="https://www.amazon.in/COSMOS-Portable-Flexible-Colors-EC-POF1/dp/B08TDJ5BVF/ref=sr_1_436?qid=1672903017&amp;s=computers&amp;sr=1-436"/>
  </r>
  <r>
    <s v="B09XXZXQC1"/>
    <s v="Xiaomi Pad 5| Qualcomm Snapdragon 860| 120Hz Refresh Rate| 6GB, 128GB| 2.5K+ Display (10.95-inch/27.81cm)|1 Billion Colours| Dolby Vision Atmos| Quad Speakers| Wi-Fi| Gray"/>
    <s v="Computers&amp;Accessories"/>
    <x v="0"/>
    <s v="Tablets"/>
    <s v="Tablets"/>
    <n v="26999"/>
    <n v="37999"/>
    <n v="29"/>
    <n v="4.5999999999999996"/>
    <n v="2886"/>
    <n v="4.3083461068934064"/>
    <s v="High (1,000+)"/>
    <x v="1"/>
    <n v="63"/>
    <s v="Top 25%"/>
    <b v="0"/>
    <b v="0"/>
    <b v="0"/>
    <m/>
    <n v="1"/>
    <x v="0"/>
    <s v="https://www.amazon.in/Snapdragon-Resolution-Refresh-27-81Cm-Display/dp/B09XXZXQC1/ref=sr_1_437?qid=1672903017&amp;s=computers&amp;sr=1-437"/>
  </r>
  <r>
    <s v="B083T5G5PM"/>
    <s v="Sennheiser CX 80S in-Ear Wired Headphones with in-line One-Button Smart Remote with Microphone Black"/>
    <s v="Electronics"/>
    <x v="1"/>
    <s v="Headphones,Earbuds&amp;Accessories"/>
    <s v="In-Ear"/>
    <n v="1490"/>
    <n v="1990"/>
    <n v="25"/>
    <n v="4.0999999999999996"/>
    <n v="98250"/>
    <n v="4.0994332958380664"/>
    <s v="High (1,000+)"/>
    <x v="4"/>
    <n v="39.200000000000003"/>
    <s v="Below median"/>
    <b v="0"/>
    <b v="0"/>
    <b v="0"/>
    <n v="1.57"/>
    <n v="1"/>
    <x v="0"/>
    <s v="https://www.amazon.in/Sennheiser-CX-80s-Ear-Earphone/dp/B083T5G5PM/ref=sr_1_438?qid=1672903017&amp;s=computers&amp;sr=1-438"/>
  </r>
  <r>
    <s v="B0BHVPTM2C"/>
    <s v="HB Plus Folding Height Adjustable Aluminum Foldable Portable Adjustment Desktop Laptop Holder Riser Stand"/>
    <s v="Computers&amp;Accessories"/>
    <x v="0"/>
    <s v="Accessories&amp;Peripherals"/>
    <s v="Lapdesks"/>
    <n v="398"/>
    <n v="1949"/>
    <n v="80"/>
    <n v="4"/>
    <n v="75"/>
    <n v="4.0829808707963036"/>
    <s v="Low (&lt;100)"/>
    <x v="0"/>
    <n v="55.2"/>
    <s v="Above median"/>
    <b v="0"/>
    <b v="0"/>
    <b v="0"/>
    <n v="0.69"/>
    <n v="1"/>
    <x v="0"/>
    <s v="https://www.amazon.in/HB-Adjustable-Aluminum-Foldable-Adjustment/dp/B0BHVPTM2C/ref=sr_1_439?qid=1672903017&amp;s=computers&amp;sr=1-439"/>
  </r>
  <r>
    <s v="B01NBX5RSB"/>
    <s v="HP 65W AC Laptops Charger Adapter 4.5mm for HP Pavilion Black (Without Power Cable)"/>
    <s v="Computers&amp;Accessories"/>
    <x v="0"/>
    <s v="Accessories&amp;Peripherals"/>
    <s v="LaptopChargers&amp;PowerSupplies"/>
    <n v="770"/>
    <n v="1547"/>
    <n v="50"/>
    <n v="4.3"/>
    <n v="2585"/>
    <n v="4.1723417237779934"/>
    <s v="High (1,000+)"/>
    <x v="2"/>
    <n v="55.9"/>
    <s v="Above median"/>
    <b v="0"/>
    <b v="0"/>
    <b v="0"/>
    <m/>
    <n v="1"/>
    <x v="0"/>
    <s v="https://www.amazon.in/HP-Charger-Adapter-Pavilion-Black/dp/B01NBX5RSB/ref=sr_1_441?qid=1672903017&amp;s=computers&amp;sr=1-441"/>
  </r>
  <r>
    <s v="B08MWJTST6"/>
    <s v="Tukzer Fully Foldable Tabletop Desktop Tablet Mobile Stand Holder - Angle &amp; Height Adjustable for Desk, Cradle, Dock, Compatible with Smartphones &amp; Tablets (White)"/>
    <s v="Electronics"/>
    <x v="1"/>
    <s v="Mobiles&amp;Accessories"/>
    <s v="Stands"/>
    <n v="279"/>
    <n v="1299"/>
    <n v="79"/>
    <n v="4"/>
    <n v="5072"/>
    <n v="4.0360449478386791"/>
    <s v="High (1,000+)"/>
    <x v="0"/>
    <n v="58.7"/>
    <s v="Above median"/>
    <b v="0"/>
    <b v="0"/>
    <b v="0"/>
    <m/>
    <n v="1"/>
    <x v="0"/>
    <s v="https://www.amazon.in/Tukzer-Foldable-Adjustable-Compatible-Smartphones/dp/B08MWJTST6/ref=sr_1_442?qid=1672903017&amp;s=computers&amp;sr=1-442"/>
  </r>
  <r>
    <s v="B07R99NBVB"/>
    <s v="Gizga Essentials Cable Organiser, Cord Management System for PC, TV, Home Theater, Speaker &amp; Cables, Reusable Cable Organizer for Desk, WFH Accessories, Organizer Tape Roll, Reusable Cable Ties Strap"/>
    <s v="HomeImprovement"/>
    <x v="2"/>
    <s v="Electrical"/>
    <s v="CordManagement"/>
    <n v="249"/>
    <n v="599"/>
    <n v="58"/>
    <n v="4.5"/>
    <n v="5985"/>
    <n v="4.3396705916061364"/>
    <s v="High (1,000+)"/>
    <x v="0"/>
    <n v="79.5"/>
    <s v="Top 25%"/>
    <b v="0"/>
    <b v="0"/>
    <b v="0"/>
    <m/>
    <n v="1"/>
    <x v="0"/>
    <s v="https://www.amazon.in/Essentials-Reusable-Double-Organizer-Length/dp/B07R99NBVB/ref=sr_1_444?qid=1672903017&amp;s=computers&amp;sr=1-444"/>
  </r>
  <r>
    <s v="B08R69VDHT"/>
    <s v="Pinnaclz Original Combo of 2 Micro USB Fast Charging Cable, USB Charging Cable for Data Transfer Perfect for Android Smart Phones White 1.2 Meter Made in India (Pack of 2)"/>
    <s v="Computers&amp;Accessories"/>
    <x v="0"/>
    <s v="Accessories&amp;Peripherals"/>
    <s v="USBCables"/>
    <n v="115"/>
    <n v="499"/>
    <n v="77"/>
    <n v="4"/>
    <n v="7732"/>
    <n v="4.0277036053487159"/>
    <s v="High (1,000+)"/>
    <x v="0"/>
    <n v="55"/>
    <s v="Above median"/>
    <b v="0"/>
    <b v="0"/>
    <b v="0"/>
    <n v="0.38"/>
    <n v="2"/>
    <x v="1"/>
    <s v="https://www.amazon.in/Pinnaclz-Original-Micro-USB-Charging/dp/B08R69VDHT/ref=sr_1_447?qid=1672903017&amp;s=computers&amp;sr=1-447"/>
  </r>
  <r>
    <s v="B00LY12TH6"/>
    <s v="Camel Oil Pastel with Reusable Plastic Box - 50 Shades"/>
    <s v="Home&amp;Kitchen"/>
    <x v="3"/>
    <s v="CraftMaterials"/>
    <s v="PaintingMaterials"/>
    <n v="230"/>
    <n v="230"/>
    <n v="0"/>
    <n v="4.5"/>
    <n v="9427"/>
    <n v="4.3815109815899627"/>
    <s v="High (1,000+)"/>
    <x v="0"/>
    <n v="57"/>
    <s v="Above median"/>
    <b v="0"/>
    <b v="0"/>
    <b v="0"/>
    <m/>
    <n v="1"/>
    <x v="0"/>
    <s v="https://www.amazon.in/Camel-Oil-Pastel-Reusable-Plastic/dp/B00LY12TH6/ref=sr_1_448?qid=1672903017&amp;s=computers&amp;sr=1-448"/>
  </r>
  <r>
    <s v="B09RWZRCP1"/>
    <s v="boAt Type C A750 Stress Resistant, Tangle-free, Sturdy Flat Cable with 6.5A Fast Charging &amp; 480Mbps Data Transmission, 10000+ Bends Lifespan and Extended 1.5m Length(Rebellious Black)"/>
    <s v="Computers&amp;Accessories"/>
    <x v="0"/>
    <s v="Accessories&amp;Peripherals"/>
    <s v="USBCables"/>
    <n v="399"/>
    <n v="999"/>
    <n v="60"/>
    <n v="4.0999999999999996"/>
    <n v="1780"/>
    <n v="4.0895695248860289"/>
    <s v="High (1,000+)"/>
    <x v="0"/>
    <n v="51.5"/>
    <s v="Above median"/>
    <b v="0"/>
    <b v="0"/>
    <b v="0"/>
    <n v="1.33"/>
    <n v="2"/>
    <x v="1"/>
    <s v="https://www.amazon.in/boAt-A750-Tangle-free-Transmission-Rebellious/dp/B09RWZRCP1/ref=sr_1_449?qid=1672903017&amp;s=computers&amp;sr=1-449"/>
  </r>
  <r>
    <s v="B08497Z1MQ"/>
    <s v="HP M270 Backlit USB Wired Gaming Mouse with 6 Buttons, 4-Speed Customizable 2400 DPI, Ergonomic Design, Breathing LED Lighting, Metal Scroll Wheel, Lightweighted / 3 Years Warranty (7ZZ87AA), Black"/>
    <s v="Computers&amp;Accessories"/>
    <x v="0"/>
    <s v="Accessories&amp;Peripherals"/>
    <s v="GamingMice"/>
    <n v="599"/>
    <n v="700"/>
    <n v="14"/>
    <n v="4.3"/>
    <n v="2301"/>
    <n v="4.1663625120278418"/>
    <s v="High (1,000+)"/>
    <x v="2"/>
    <n v="43.1"/>
    <s v="Below median"/>
    <b v="0"/>
    <b v="0"/>
    <b v="0"/>
    <m/>
    <n v="1"/>
    <x v="0"/>
    <s v="https://www.amazon.in/HP-M270-Gaming-Mouse-7ZZ87AA/dp/B08497Z1MQ/ref=sr_1_450?qid=1672903017&amp;s=computers&amp;sr=1-450"/>
  </r>
  <r>
    <s v="B07KNM95JK"/>
    <s v="Foxin FTC 12A / Q2612A Black Laser Toner Cartridge Compatible with Laserjet 1020,M1005,1018,1010,1012,1015,1020 Plus,1022,3015,3020,3030,3050, 3050Z, 3052,3055 (Black)"/>
    <s v="Computers&amp;Accessories"/>
    <x v="0"/>
    <s v="Printers,Inks&amp;Accessories"/>
    <s v="TonerCartridges"/>
    <n v="598"/>
    <n v="1150"/>
    <n v="48"/>
    <n v="4.0999999999999996"/>
    <n v="2535"/>
    <n v="4.0908200224979456"/>
    <s v="High (1,000+)"/>
    <x v="2"/>
    <n v="49.8"/>
    <s v="Below median"/>
    <b v="0"/>
    <b v="0"/>
    <b v="0"/>
    <m/>
    <n v="1"/>
    <x v="0"/>
    <s v="https://www.amazon.in/Foxin-Toner-Cartridge-Q2612A-Laserjet/dp/B07KNM95JK/ref=sr_1_451?qid=1672903017&amp;s=computers&amp;sr=1-451"/>
  </r>
  <r>
    <s v="B09Q3M3WLJ"/>
    <s v="Robustrion [Anti-Scratch] &amp; [Smudge Proof] [Bubble Free] Premium Tempered Glass Screen Protector Guard for Samsung Galaxy Tab A8 10.5 inch [SM-X200/X205/X207] 2022"/>
    <s v="Computers&amp;Accessories"/>
    <x v="0"/>
    <s v="Accessories&amp;Peripherals"/>
    <s v="ScreenProtectors"/>
    <n v="399"/>
    <n v="1499"/>
    <n v="73"/>
    <n v="4"/>
    <n v="691"/>
    <n v="4.0715031080455404"/>
    <s v="Medium (100-999)"/>
    <x v="0"/>
    <n v="50.6"/>
    <s v="Above median"/>
    <b v="0"/>
    <b v="0"/>
    <b v="0"/>
    <n v="1.03"/>
    <n v="1"/>
    <x v="0"/>
    <s v="https://www.amazon.in/Robustrion-Samsung-10-5-inch-2022/dp/B09Q3M3WLJ/ref=sr_1_452?qid=1672903017&amp;s=computers&amp;sr=1-452"/>
  </r>
  <r>
    <s v="B09B9SPC7F"/>
    <s v="PC SQUARE Laptop Tabletop Stand/ Computer Tablet Stand 6 Angles Adjustable Aluminum Ergonomic Foldable Portable Desktop Holder Compatible with MacBook, HP, Dell, Lenovo &amp; All Other Notebook (Silver)"/>
    <s v="Computers&amp;Accessories"/>
    <x v="0"/>
    <s v="Accessories&amp;Peripherals"/>
    <s v="Lapdesks"/>
    <n v="499"/>
    <n v="1299"/>
    <n v="62"/>
    <n v="4.0999999999999996"/>
    <n v="2740"/>
    <n v="4.091109433553374"/>
    <s v="High (1,000+)"/>
    <x v="0"/>
    <n v="51.9"/>
    <s v="Above median"/>
    <b v="0"/>
    <b v="0"/>
    <b v="0"/>
    <n v="0.87"/>
    <n v="1"/>
    <x v="0"/>
    <s v="https://www.amazon.in/PC-SQUARE-Adjustable-Ergonomic-Compatible/dp/B09B9SPC7F/ref=sr_1_453?qid=1672903017&amp;s=computers&amp;sr=1-453"/>
  </r>
  <r>
    <s v="B09CMP1SC8"/>
    <s v="Ambrane 2 in 1 Type-C &amp; Micro USB Cable with 60W / 3A Fast Charging, 480 mbps High Data, PD Technology &amp; Quick Charge 3.0, Compatible with All Type-C &amp; Micro USB Devices (ABDC-10, Black)"/>
    <s v="Computers&amp;Accessories"/>
    <x v="0"/>
    <s v="Accessories&amp;Peripherals"/>
    <s v="USBCables"/>
    <n v="199"/>
    <n v="499"/>
    <n v="60"/>
    <n v="4.0999999999999996"/>
    <n v="602"/>
    <n v="4.0867542883906092"/>
    <s v="Medium (100-999)"/>
    <x v="0"/>
    <n v="55.6"/>
    <s v="Above median"/>
    <b v="0"/>
    <b v="0"/>
    <b v="0"/>
    <n v="0.67"/>
    <n v="1"/>
    <x v="0"/>
    <s v="https://www.amazon.in/Ambrane-ABDC-10-Charging-Transmission-Compatible/dp/B09CMP1SC8/ref=sr_1_454?qid=1672903017&amp;s=computers&amp;sr=1-454"/>
  </r>
  <r>
    <s v="B099SD8PRP"/>
    <s v="Lenovo 130 Wireless Compact Mouse, 1K DPI Optical sensor, 2.4GHz Wireless NanoUSB, 10m range, 3button(left,right,scroll) upto 3M left/right clicks, 10 month battery, Ambidextrous, Ergonomic GY51C12380"/>
    <s v="Computers&amp;Accessories"/>
    <x v="0"/>
    <s v="Accessories&amp;Peripherals"/>
    <s v="Mice"/>
    <n v="579"/>
    <n v="1090"/>
    <n v="47"/>
    <n v="4.4000000000000004"/>
    <n v="3482"/>
    <n v="4.2362121736049172"/>
    <s v="High (1,000+)"/>
    <x v="2"/>
    <n v="62.1"/>
    <s v="Top 25%"/>
    <b v="0"/>
    <b v="0"/>
    <b v="0"/>
    <n v="1.01"/>
    <n v="1"/>
    <x v="0"/>
    <s v="https://www.amazon.in/Lenovo-Optical-Compact-Mouse-Black/dp/B099SD8PRP/ref=sr_1_455?qid=1672903017&amp;s=computers&amp;sr=1-455"/>
  </r>
  <r>
    <s v="B00S2SEV7K"/>
    <s v="Pilot Frixion Clicker Roller Pen (Blue), (9000019529)"/>
    <s v="OfficeProducts"/>
    <x v="2"/>
    <s v="OfficePaperProducts"/>
    <s v="LiquidInkRollerballPens"/>
    <n v="90"/>
    <n v="100"/>
    <n v="10"/>
    <n v="4.0999999999999996"/>
    <n v="6199"/>
    <n v="4.0941965659469766"/>
    <s v="High (1,000+)"/>
    <x v="0"/>
    <n v="40.299999999999997"/>
    <s v="Below median"/>
    <b v="0"/>
    <b v="0"/>
    <b v="0"/>
    <m/>
    <n v="1"/>
    <x v="0"/>
    <s v="https://www.amazon.in/Pilot-Frixion-Clicker-Roller-Blue/dp/B00S2SEV7K/ref=sr_1_457?qid=1672903018&amp;s=computers&amp;sr=1-457"/>
  </r>
  <r>
    <s v="B08WKCTFF3"/>
    <s v="ZEBRONICS Aluminium Alloy Laptop Stand, Compatible with 9-15.6 inch Laptops, 7 Angles Adjustable, Anti Slip Silicon Rubber Pads, Foldable, Velvet Pouch Inside, Zeb-NS2000 (Dark Grey)"/>
    <s v="Computers&amp;Accessories"/>
    <x v="0"/>
    <s v="Accessories&amp;Peripherals"/>
    <s v="Lapdesks"/>
    <n v="899"/>
    <n v="1999"/>
    <n v="55"/>
    <n v="4.4000000000000004"/>
    <n v="1667"/>
    <n v="4.1814603723511956"/>
    <s v="High (1,000+)"/>
    <x v="2"/>
    <n v="59.4"/>
    <s v="Above median"/>
    <b v="0"/>
    <b v="0"/>
    <b v="0"/>
    <n v="1.57"/>
    <n v="1"/>
    <x v="0"/>
    <s v="https://www.amazon.in/ZEBRONICS-Zeb-NS2000-Supports-Aluminium-Adjustable/dp/B08WKCTFF3/ref=sr_1_458?qid=1672903018&amp;s=computers&amp;sr=1-458"/>
  </r>
  <r>
    <s v="B08498D67S"/>
    <s v="HP K500F Backlit Membrane Wired Gaming Keyboard with Mixed Color Lighting, Metal Panel with Logo Lighting, 26 Anti-Ghosting Keys, and Windows Lock Key / 3 Years Warranty(7ZZ97AA)"/>
    <s v="Computers&amp;Accessories"/>
    <x v="0"/>
    <s v="Accessories&amp;Peripherals"/>
    <s v="GamingKeyboards"/>
    <n v="1149"/>
    <n v="1800"/>
    <n v="36"/>
    <n v="4.3"/>
    <n v="4723"/>
    <n v="4.2045064040634994"/>
    <s v="High (1,000+)"/>
    <x v="4"/>
    <n v="53.1"/>
    <s v="Above median"/>
    <b v="0"/>
    <b v="0"/>
    <b v="0"/>
    <m/>
    <n v="1"/>
    <x v="0"/>
    <s v="https://www.amazon.in/HP-K500F-Gaming-Keyboard-7ZZ97AA/dp/B08498D67S/ref=sr_1_459?qid=1672903018&amp;s=computers&amp;sr=1-459"/>
  </r>
  <r>
    <s v="B00C3GBCIS"/>
    <s v="GIZGA Club-laptop Neoprene Reversible for 15.6-inches Laptop Sleeve - Black-Red"/>
    <s v="Computers&amp;Accessories"/>
    <x v="0"/>
    <s v="Accessories&amp;Peripherals"/>
    <s v="LaptopSleeves&amp;Slipcases"/>
    <n v="249"/>
    <n v="499"/>
    <n v="50"/>
    <n v="4.2"/>
    <n v="22860"/>
    <n v="4.1836957119609659"/>
    <s v="High (1,000+)"/>
    <x v="0"/>
    <n v="65.7"/>
    <s v="Top 25%"/>
    <b v="0"/>
    <b v="0"/>
    <b v="0"/>
    <m/>
    <n v="1"/>
    <x v="0"/>
    <s v="https://www.amazon.in/Clublaptop-Reversible-15-6-inch-Laptop-Sleeve/dp/B00C3GBCIS/ref=sr_1_460?qid=1672903018&amp;s=computers&amp;sr=1-460"/>
  </r>
  <r>
    <s v="B00URH5E34"/>
    <s v="Inventis 5V 1.2W Portable Flexible USB LED Light Lamp (Colors may vary)"/>
    <s v="Computers&amp;Accessories"/>
    <x v="0"/>
    <s v="Accessories&amp;Peripherals"/>
    <s v="Lamps"/>
    <n v="39"/>
    <n v="39"/>
    <n v="0"/>
    <n v="3.6"/>
    <n v="13572"/>
    <n v="3.7051913289498302"/>
    <s v="High (1,000+)"/>
    <x v="0"/>
    <n v="21"/>
    <s v="Bottom 25%"/>
    <b v="0"/>
    <b v="0"/>
    <b v="1"/>
    <m/>
    <n v="1"/>
    <x v="0"/>
    <s v="https://www.amazon.in/Inventis-Portable-Flexible-Light-Colors/dp/B00URH5E34/ref=sr_1_461?qid=1672903018&amp;s=computers&amp;sr=1-461"/>
  </r>
  <r>
    <s v="B00EYW1U68"/>
    <s v="TP-Link TL-WA855RE 300 Mbps Wi-Fi Range Extender (White)"/>
    <s v="Computers&amp;Accessories"/>
    <x v="0"/>
    <s v="NetworkingDevices"/>
    <s v="Repeaters&amp;Extenders"/>
    <n v="1599"/>
    <n v="3599"/>
    <n v="56"/>
    <n v="4.2"/>
    <n v="16182"/>
    <n v="4.1782365610409293"/>
    <s v="High (1,000+)"/>
    <x v="4"/>
    <n v="62.6"/>
    <s v="Top 25%"/>
    <b v="0"/>
    <b v="0"/>
    <b v="0"/>
    <m/>
    <n v="1"/>
    <x v="0"/>
    <s v="https://www.amazon.in/TP-Link-TL-WA855RE-Wi-Fi-Range-Extender/dp/B00EYW1U68/ref=sr_1_462?qid=1672903018&amp;s=computers&amp;sr=1-462"/>
  </r>
  <r>
    <s v="B08SMJT55F"/>
    <s v="boAt Stone 250 Portable Wireless Speaker with 5W RMS Immersive Audio, RGB LEDs, Up to 8HRS Playtime, IPX7 Water Resistance, Multi-Compatibility Modes(Black)"/>
    <s v="Electronics"/>
    <x v="1"/>
    <s v="HomeAudio"/>
    <s v="BluetoothSpeakers"/>
    <n v="1199"/>
    <n v="3990"/>
    <n v="70"/>
    <n v="4.2"/>
    <n v="2908"/>
    <n v="4.1349282799911284"/>
    <s v="High (1,000+)"/>
    <x v="4"/>
    <n v="65.8"/>
    <s v="Top 25%"/>
    <b v="0"/>
    <b v="0"/>
    <b v="0"/>
    <m/>
    <n v="1"/>
    <x v="0"/>
    <s v="https://www.amazon.in/boAt-Stone-250-Playback-Hours/dp/B08SMJT55F/ref=sr_1_464?qid=1672903018&amp;s=computers&amp;sr=1-464"/>
  </r>
  <r>
    <s v="B08Y7MXFMK"/>
    <s v="Offbeat® - DASH 2.4GHz Wireless + Bluetooth 5.1 Mouse, Multi-Device Dual Mode Slim Rechargeable Silent Click Buttons Wireless Bluetooth Mouse, 3 Adjustable DPI, Works on 2 devices at the same time with a switch button for Windows/Mac/Android/Ipad/Smart TV"/>
    <s v="Computers&amp;Accessories"/>
    <x v="0"/>
    <s v="Accessories&amp;Peripherals"/>
    <s v="Mice"/>
    <n v="1099"/>
    <n v="1499"/>
    <n v="27"/>
    <n v="4.2"/>
    <n v="2375"/>
    <n v="4.1292772450803774"/>
    <s v="High (1,000+)"/>
    <x v="4"/>
    <n v="41"/>
    <s v="Below median"/>
    <b v="0"/>
    <b v="0"/>
    <b v="0"/>
    <n v="1.91"/>
    <n v="1"/>
    <x v="0"/>
    <s v="https://www.amazon.in/Offbeat-Wireless-Bluetooth-Rechargeable-Adjustable/dp/B08Y7MXFMK/ref=sr_1_466?qid=1672903018&amp;s=computers&amp;sr=1-466"/>
  </r>
  <r>
    <s v="B086Q3QMFS"/>
    <s v="Classmate Drawing Book - Unruled, 40 Pages, 210 mm x 297 mm - Pack Of 4"/>
    <s v="OfficeProducts"/>
    <x v="2"/>
    <s v="OfficePaperProducts"/>
    <s v="CompositionNotebooks"/>
    <n v="120"/>
    <n v="120"/>
    <n v="0"/>
    <n v="4.5"/>
    <n v="4951"/>
    <n v="4.3206448719436299"/>
    <s v="High (1,000+)"/>
    <x v="0"/>
    <n v="59.2"/>
    <s v="Above median"/>
    <b v="0"/>
    <b v="0"/>
    <b v="0"/>
    <m/>
    <n v="1"/>
    <x v="0"/>
    <s v="https://www.amazon.in/Classmate-Drawing-Book-Unruled-Pages/dp/B086Q3QMFS/ref=sr_1_468?qid=1672903018&amp;s=computers&amp;sr=1-468"/>
  </r>
  <r>
    <s v="B08498H13H"/>
    <s v="HP GK320 Wired Full Size RGB Backlight Mechanical Gaming Keyboard, 4 LED Indicators, Mechanical Switches, Double Injection Key Caps, and Windows Lock Key(4QN01AA)"/>
    <s v="Computers&amp;Accessories"/>
    <x v="0"/>
    <s v="Accessories&amp;Peripherals"/>
    <s v="GamingKeyboards"/>
    <n v="1519"/>
    <n v="3499"/>
    <n v="57"/>
    <n v="4.3"/>
    <n v="408"/>
    <n v="4.1057041341999323"/>
    <s v="Medium (100-999)"/>
    <x v="4"/>
    <n v="51.6"/>
    <s v="Above median"/>
    <b v="0"/>
    <b v="0"/>
    <b v="0"/>
    <m/>
    <n v="1"/>
    <x v="0"/>
    <s v="https://www.amazon.in/HP-GK320-Gaming-Keyboard-4QN01AA/dp/B08498H13H/ref=sr_1_469?qid=1672903018&amp;s=computers&amp;sr=1-469"/>
  </r>
  <r>
    <s v="B07LFQLKFZ"/>
    <s v="Parker Moments Vector Timecheck Gold Trim Roller Ball Pen (Black)"/>
    <s v="OfficeProducts"/>
    <x v="2"/>
    <s v="OfficePaperProducts"/>
    <s v="LiquidInkRollerballPens"/>
    <n v="420"/>
    <n v="420"/>
    <n v="0"/>
    <n v="4.2"/>
    <n v="1926"/>
    <n v="4.1236950147984208"/>
    <s v="High (1,000+)"/>
    <x v="0"/>
    <n v="35.6"/>
    <s v="Bottom 25%"/>
    <b v="0"/>
    <b v="0"/>
    <b v="0"/>
    <m/>
    <n v="1"/>
    <x v="0"/>
    <s v="https://www.amazon.in/Parker-Moments-Vector-Timecheck-Roller/dp/B07LFQLKFZ/ref=sr_1_470?qid=1672903018&amp;s=computers&amp;sr=1-470"/>
  </r>
  <r>
    <s v="B00LY17RHI"/>
    <s v="Camlin Elegante Fountain Pen - Black/Blue/Red"/>
    <s v="OfficeProducts"/>
    <x v="2"/>
    <s v="OfficePaperProducts"/>
    <s v="FountainPens"/>
    <n v="225"/>
    <n v="225"/>
    <n v="0"/>
    <n v="4.0999999999999996"/>
    <n v="4798"/>
    <n v="4.0932467836786186"/>
    <s v="High (1,000+)"/>
    <x v="0"/>
    <n v="31.2"/>
    <s v="Bottom 25%"/>
    <b v="0"/>
    <b v="0"/>
    <b v="0"/>
    <m/>
    <n v="1"/>
    <x v="0"/>
    <s v="https://www.amazon.in/Camlin-Elegante-Fountain-Pen-Black/dp/B00LY17RHI/ref=sr_1_476?qid=1672903018&amp;s=computers&amp;sr=1-476"/>
  </r>
  <r>
    <s v="B07W14CHV8"/>
    <s v="CARECASE® Optical Bay 2nd Hard Drive Caddy, 9.5 mm CD/DVD Drive Slot for SSD and HDD"/>
    <s v="Computers&amp;Accessories"/>
    <x v="0"/>
    <s v="Accessories&amp;Peripherals"/>
    <s v="Caddies"/>
    <n v="199"/>
    <n v="799"/>
    <n v="75"/>
    <n v="4.0999999999999996"/>
    <n v="7333"/>
    <n v="4.0947896977766494"/>
    <s v="High (1,000+)"/>
    <x v="0"/>
    <n v="65.8"/>
    <s v="Top 25%"/>
    <b v="0"/>
    <b v="0"/>
    <b v="0"/>
    <m/>
    <n v="1"/>
    <x v="0"/>
    <s v="https://www.amazon.in/Optical-Drive-Caddy-Universal-9-5mm/dp/B07W14CHV8/ref=sr_1_483?qid=1672903019&amp;s=computers&amp;sr=1-483"/>
  </r>
  <r>
    <s v="B0B9BXKBC7"/>
    <s v="WeCool S5 Long Selfie Stick, with Large Reinforced Tripod Stand up to 61 Inch / 156 Cms, Ultra Long Multi Function Bluetooth Selfie Stick with 1/4 Screw Compatible with Gopro, Camera, and Ring Light"/>
    <s v="Electronics"/>
    <x v="1"/>
    <s v="Mobiles&amp;Accessories"/>
    <s v="SelfieSticks"/>
    <n v="1799"/>
    <n v="3999"/>
    <n v="55"/>
    <n v="4.5999999999999996"/>
    <n v="245"/>
    <n v="4.1161420066577206"/>
    <s v="Medium (100-999)"/>
    <x v="4"/>
    <n v="59.9"/>
    <s v="Above median"/>
    <b v="0"/>
    <b v="0"/>
    <b v="0"/>
    <m/>
    <n v="1"/>
    <x v="0"/>
    <s v="https://www.amazon.in/WeCool-Reinforced-Function-Bluetooth-Compatible/dp/B0B9BXKBC7/ref=sr_1_484?qid=1672903019&amp;s=computers&amp;sr=1-484"/>
  </r>
  <r>
    <s v="B09F5Z694W"/>
    <s v="Canon E4570 All-in-One Wi-Fi Ink Efficient Colour Printer with FAX/ADF/Duplex Printing (Black)- Smart Speaker Compatible, Standard"/>
    <s v="Computers&amp;Accessories"/>
    <x v="0"/>
    <s v="Printers,Inks&amp;Accessories"/>
    <s v="InkjetPrinters"/>
    <n v="8349"/>
    <n v="9625"/>
    <n v="13"/>
    <n v="3.8"/>
    <n v="3652"/>
    <n v="3.9444384775346699"/>
    <s v="High (1,000+)"/>
    <x v="3"/>
    <n v="8"/>
    <s v="Bottom 25%"/>
    <b v="0"/>
    <b v="0"/>
    <b v="1"/>
    <m/>
    <n v="1"/>
    <x v="0"/>
    <s v="https://www.amazon.in/Canon-E4570-Efficient-Printing-Compatible/dp/B09F5Z694W/ref=sr_1_485?qid=1672903019&amp;s=computers&amp;sr=1-485"/>
  </r>
  <r>
    <s v="B0B25LQQPC"/>
    <s v="Crucial P3 500GB PCIe 3.0 3D NAND NVMe M.2 SSD, up to 3500MB/s - CT500P3SSD8"/>
    <s v="Computers&amp;Accessories"/>
    <x v="0"/>
    <s v="Components"/>
    <s v="InternalSolidStateDrives"/>
    <n v="3307"/>
    <n v="6100"/>
    <n v="46"/>
    <n v="4.3"/>
    <n v="2515"/>
    <n v="4.1709182145250203"/>
    <s v="High (1,000+)"/>
    <x v="3"/>
    <n v="54.4"/>
    <s v="Above median"/>
    <b v="0"/>
    <b v="0"/>
    <b v="0"/>
    <m/>
    <n v="1"/>
    <x v="0"/>
    <s v="https://www.amazon.in/Crucial-500GB-PCIe-NAND-3500MB/dp/B0B25LQQPC/ref=sr_1_486?qid=1672903019&amp;s=computers&amp;sr=1-486"/>
  </r>
  <r>
    <s v="B07GVGTSLN"/>
    <s v="Wayona Usb Type C Fast Charger Cable Fast Charging Usb C Cable/Cord Compatible For Samsung Galaxy S10E S10 S9 S8 Plus S10+,Note 10 Note 9 Note 8,S20,M31S,M40,Realme X3,Pixel 2 Xl (3 Ft Pack Of 1,Grey)"/>
    <s v="Computers&amp;Accessories"/>
    <x v="0"/>
    <s v="Accessories&amp;Peripherals"/>
    <s v="USBCables"/>
    <n v="325"/>
    <n v="1299"/>
    <n v="75"/>
    <n v="4.2"/>
    <n v="10576"/>
    <n v="4.1697275929616637"/>
    <s v="High (1,000+)"/>
    <x v="0"/>
    <n v="72.5"/>
    <s v="Top 25%"/>
    <b v="0"/>
    <b v="0"/>
    <b v="0"/>
    <n v="1.0900000000000001"/>
    <n v="2"/>
    <x v="1"/>
    <s v="https://www.amazon.in/Wayona-Cable-Braided-Charger-Smartphones/dp/B07GVGTSLN/ref=sr_1_487?qid=1672903019&amp;s=computers&amp;sr=1-487"/>
  </r>
  <r>
    <s v="B01LYLJ99X"/>
    <s v="HP v222w 64GB USB 2.0 Pen Drive (Silver)"/>
    <s v="Computers&amp;Accessories"/>
    <x v="0"/>
    <s v="ExternalDevices&amp;DataStorage"/>
    <s v="PenDrives"/>
    <n v="449"/>
    <n v="1300"/>
    <n v="65"/>
    <n v="4.2"/>
    <n v="4959"/>
    <n v="4.1502309340917058"/>
    <s v="High (1,000+)"/>
    <x v="0"/>
    <n v="70.5"/>
    <s v="Top 25%"/>
    <b v="0"/>
    <b v="0"/>
    <b v="0"/>
    <n v="0.82"/>
    <n v="1"/>
    <x v="0"/>
    <s v="https://www.amazon.in/HP-v222w-Flash-Drive-64GB/dp/B01LYLJ99X/ref=sr_1_488?qid=1672903019&amp;s=computers&amp;sr=1-488"/>
  </r>
  <r>
    <s v="B014SZPBM4"/>
    <s v="Duracell Ultra Alkaline D Battery, 2 Pcs"/>
    <s v="Electronics"/>
    <x v="1"/>
    <s v="GeneralPurposeBatteries&amp;BatteryChargers"/>
    <s v="DisposableBatteries"/>
    <n v="380"/>
    <n v="400"/>
    <n v="5"/>
    <n v="4.4000000000000004"/>
    <n v="2111"/>
    <n v="4.1979806063983673"/>
    <s v="High (1,000+)"/>
    <x v="0"/>
    <n v="47.9"/>
    <s v="Below median"/>
    <b v="0"/>
    <b v="0"/>
    <b v="0"/>
    <m/>
    <n v="1"/>
    <x v="0"/>
    <s v="https://www.amazon.in/Duracell-Alkaline-Battery-Duralock-Technology/dp/B014SZPBM4/ref=sr_1_490?qid=1672903019&amp;s=computers&amp;sr=1-490"/>
  </r>
  <r>
    <s v="B08CZHGHKH"/>
    <s v="BESTOR® LCD Writing Tablet/pad 12 inches | Electronic Writing Scribble Board for Kids | Kids Learning Toy | Portable Ruff for LCD Paperless Memo Digital Tablet Notepad E-Writer/Writing/Drawing Pad Home/School/Office (Black)"/>
    <s v="Computers&amp;Accessories"/>
    <x v="0"/>
    <s v="Accessories&amp;Peripherals"/>
    <s v="GraphicTablets"/>
    <n v="499"/>
    <n v="1399"/>
    <n v="64"/>
    <n v="3.9"/>
    <n v="1462"/>
    <n v="4.032967574252238"/>
    <s v="High (1,000+)"/>
    <x v="0"/>
    <n v="41.2"/>
    <s v="Below median"/>
    <b v="0"/>
    <b v="0"/>
    <b v="0"/>
    <n v="1.73"/>
    <n v="1"/>
    <x v="0"/>
    <s v="https://www.amazon.in/Bestor-Portable-Paperless-Digital-Writing/dp/B08CZHGHKH/ref=sr_1_491?qid=1672903019&amp;s=computers&amp;sr=1-491"/>
  </r>
  <r>
    <s v="B0B2RBP83P"/>
    <s v="Lenovo IdeaPad 3 11th Gen Intel Core i3 15.6&quot; FHD Thin &amp; Light Laptop(8GB/512GB SSD/Windows 11/Office 2021/2Yr Warranty/3months Xbox Game Pass/Platinum Grey/1.7Kg), 81X800LGIN"/>
    <s v="Computers&amp;Accessories"/>
    <x v="0"/>
    <s v="Laptops"/>
    <s v="TraditionalLaptops"/>
    <n v="37247"/>
    <n v="59890"/>
    <n v="38"/>
    <n v="4"/>
    <n v="323"/>
    <n v="4.0779437257816218"/>
    <s v="Medium (100-999)"/>
    <x v="1"/>
    <n v="36.799999999999997"/>
    <s v="Bottom 25%"/>
    <b v="0"/>
    <b v="0"/>
    <b v="0"/>
    <m/>
    <n v="1"/>
    <x v="0"/>
    <s v="https://www.amazon.in/Lenovo-IdeaPad-Warranty-Platinum-81X800LGIN/dp/B0B2RBP83P/ref=sr_1_492?qid=1672903019&amp;s=computers&amp;sr=1-492"/>
  </r>
  <r>
    <s v="B078W65FJ7"/>
    <s v="boAt BassHeads 900 On-Ear Wired Headphones with Mic (White)"/>
    <s v="Electronics"/>
    <x v="1"/>
    <s v="Headphones,Earbuds&amp;Accessories"/>
    <s v="On-Ear"/>
    <n v="849"/>
    <n v="2490"/>
    <n v="66"/>
    <n v="4.2"/>
    <n v="91188"/>
    <n v="4.1954285558441597"/>
    <s v="High (1,000+)"/>
    <x v="2"/>
    <n v="73.400000000000006"/>
    <s v="Top 25%"/>
    <b v="0"/>
    <b v="0"/>
    <b v="0"/>
    <m/>
    <n v="1"/>
    <x v="0"/>
    <s v="https://www.amazon.in/Heads-900-Wired-Headphones-White/dp/B078W65FJ7/ref=sr_1_493?qid=1672903019&amp;s=computers&amp;sr=1-493"/>
  </r>
  <r>
    <s v="B08S74GTBT"/>
    <s v="Zebronics Astra 10 Portable Wireless BT v5.0 Speaker, 10W RMS Power, 15* Hours Backup, 2.25&quot; Drive Size, up to 6.4&quot; Mobile Holder Support, Carry Handle, USB, mSD, AUX Input and FM Radio with Antenna"/>
    <s v="Electronics"/>
    <x v="1"/>
    <s v="HomeAudio"/>
    <s v="OutdoorSpeakers"/>
    <n v="799"/>
    <n v="1999"/>
    <n v="60"/>
    <n v="3.7"/>
    <n v="418"/>
    <n v="4.0461760774263409"/>
    <s v="Medium (100-999)"/>
    <x v="2"/>
    <n v="45.9"/>
    <s v="Below median"/>
    <b v="0"/>
    <b v="0"/>
    <b v="1"/>
    <m/>
    <n v="1"/>
    <x v="0"/>
    <s v="https://www.amazon.in/ZEBRONICS-Zeb-Astra-Wireless-Portable-Function/dp/B08S74GTBT/ref=sr_1_495?qid=1672903019&amp;s=computers&amp;sr=1-495"/>
  </r>
  <r>
    <s v="B0BMXMLSMM"/>
    <s v="Lapster 65W compatible for OnePlus Dash Warp Charge Cable , type c to c cable fast charging Data Sync Cable Compatible with One Plus 10R / 9RT/ 9 pro/ 9R/ 8T/ 9/ Nord &amp; for All Type C Devices – Red, 1 Meter"/>
    <s v="Computers&amp;Accessories"/>
    <x v="0"/>
    <s v="Accessories&amp;Peripherals"/>
    <s v="USBCables"/>
    <n v="199"/>
    <n v="999"/>
    <n v="80"/>
    <n v="4.5"/>
    <n v="127"/>
    <n v="4.0981974782570552"/>
    <s v="Medium (100-999)"/>
    <x v="0"/>
    <n v="70.099999999999994"/>
    <s v="Top 25%"/>
    <b v="0"/>
    <b v="0"/>
    <b v="0"/>
    <n v="0.67"/>
    <n v="1"/>
    <x v="0"/>
    <s v="https://www.amazon.in/Lapster-compatible-OnePlus-charging-Compatible/dp/B0BMXMLSMM/ref=sr_1_497?qid=1672903019&amp;s=computers&amp;sr=1-497"/>
  </r>
  <r>
    <s v="B07QMRHWJD"/>
    <s v="SWAPKART Portable Flexible Adjustable Eye Protection USB LED Desk Light Table Lamp for Reading, Working on PC, Laptop, Power Bank, Bedroom ( Multicolour )"/>
    <s v="Computers&amp;Accessories"/>
    <x v="0"/>
    <s v="Accessories&amp;Peripherals"/>
    <s v="Lamps"/>
    <n v="298"/>
    <n v="999"/>
    <n v="70"/>
    <n v="4.3"/>
    <n v="1552"/>
    <n v="4.1475282889605447"/>
    <s v="High (1,000+)"/>
    <x v="0"/>
    <n v="70.2"/>
    <s v="Top 25%"/>
    <b v="0"/>
    <b v="0"/>
    <b v="0"/>
    <m/>
    <n v="1"/>
    <x v="0"/>
    <s v="https://www.amazon.in/SWAPKART-Portable-Reading-Working-Bedroom/dp/B07QMRHWJD/ref=sr_1_499?qid=1672903019&amp;s=computers&amp;sr=1-499"/>
  </r>
  <r>
    <s v="B07W7Z6DVL"/>
    <s v="Infinity (JBL Fuze 100, Wireless Portable Bluetooth Speaker with Mic, Deep Bass, Dual Equalizer, IPX7 Waterproof, Rugged Fabric Design (Black)"/>
    <s v="Electronics"/>
    <x v="1"/>
    <s v="HomeAudio"/>
    <s v="OutdoorSpeakers"/>
    <n v="1499"/>
    <n v="2999"/>
    <n v="50"/>
    <n v="4.0999999999999996"/>
    <n v="25262"/>
    <n v="4.0980082031277298"/>
    <s v="High (1,000+)"/>
    <x v="4"/>
    <n v="49.7"/>
    <s v="Below median"/>
    <b v="0"/>
    <b v="0"/>
    <b v="0"/>
    <m/>
    <n v="1"/>
    <x v="0"/>
    <s v="https://www.amazon.in/Infinity-Fuze-100-Waterproof-Portable/dp/B07W7Z6DVL/ref=sr_1_500?qid=1672903019&amp;s=computers&amp;sr=1-500"/>
  </r>
  <r>
    <s v="B07WMS7TWB"/>
    <s v="Pigeon by Stovekraft Amaze Plus Electric Kettle (14289) with Stainless Steel Body, 1.5 litre, used for boiling Water, making tea and coffee, instant noodles, soup etc. 1500 Watt (Silver)"/>
    <s v="Home&amp;Kitchen"/>
    <x v="3"/>
    <s v="Kitchen&amp;HomeAppliances"/>
    <s v="ElectricKettles"/>
    <n v="649"/>
    <n v="1245"/>
    <n v="48"/>
    <n v="3.9"/>
    <n v="123365"/>
    <n v="3.9054645068272462"/>
    <s v="High (1,000+)"/>
    <x v="2"/>
    <n v="32.299999999999997"/>
    <s v="Bottom 25%"/>
    <b v="0"/>
    <b v="0"/>
    <b v="0"/>
    <n v="0.65"/>
    <n v="1"/>
    <x v="0"/>
    <s v="https://www.amazon.in/Pigeon-Amaze-Plus-1-5-Ltr/dp/B07WMS7TWB/ref=sr_1_5?qid=1672923591&amp;s=kitchen&amp;sr=1-5"/>
  </r>
  <r>
    <s v="B00H47GVGY"/>
    <s v="USHA Quartz Room Heater with Overheating Protection (3002, Ivory, 800 Watts)"/>
    <s v="Home&amp;Kitchen"/>
    <x v="3"/>
    <s v="Heating,Cooling&amp;AirQuality"/>
    <s v="ElectricHeaters"/>
    <n v="1199"/>
    <n v="1695"/>
    <n v="29"/>
    <n v="3.6"/>
    <n v="13300"/>
    <n v="3.7068682251534542"/>
    <s v="High (1,000+)"/>
    <x v="4"/>
    <n v="21.7"/>
    <s v="Bottom 25%"/>
    <b v="0"/>
    <b v="0"/>
    <b v="1"/>
    <n v="0.91"/>
    <n v="1"/>
    <x v="0"/>
    <s v="https://www.amazon.in/Usha-Quartz-800-Watt-Overheating-Protection/dp/B00H47GVGY/ref=sr_1_6?qid=1672923591&amp;s=kitchen&amp;sr=1-6"/>
  </r>
  <r>
    <s v="B07VX71FZP"/>
    <s v="Amazon Brand - Solimo 2000/1000 Watts Room Heater with Adjustable Thermostat (ISI certified, White colour, Ideal for small to medium room/area)"/>
    <s v="Home&amp;Kitchen"/>
    <x v="3"/>
    <s v="Heating,Cooling&amp;AirQuality"/>
    <s v="FanHeaters"/>
    <n v="1199"/>
    <n v="2000"/>
    <n v="40"/>
    <n v="4"/>
    <n v="18543"/>
    <n v="4.0142762588456131"/>
    <s v="High (1,000+)"/>
    <x v="4"/>
    <n v="32.799999999999997"/>
    <s v="Bottom 25%"/>
    <b v="0"/>
    <b v="0"/>
    <b v="0"/>
    <n v="1.1100000000000001"/>
    <n v="1"/>
    <x v="0"/>
    <s v="https://www.amazon.in/Amazon-Brand-Solimo-2000-Watt-certified/dp/B07VX71FZP/ref=sr_1_7?qid=1672923591&amp;s=kitchen&amp;sr=1-7"/>
  </r>
  <r>
    <s v="B07NCKMXVZ"/>
    <s v="StyleHouse Lint Remover for Woolen Clothes, Electric Lint Remover, Best Lint Shaver for Clothes"/>
    <s v="Home&amp;Kitchen"/>
    <x v="3"/>
    <s v="Kitchen&amp;HomeAppliances"/>
    <s v="LintShavers"/>
    <n v="455"/>
    <n v="999"/>
    <n v="54"/>
    <n v="4.0999999999999996"/>
    <n v="3578"/>
    <n v="4.0921243909380571"/>
    <s v="High (1,000+)"/>
    <x v="0"/>
    <n v="57.7"/>
    <s v="Above median"/>
    <b v="0"/>
    <b v="0"/>
    <b v="0"/>
    <n v="1.01"/>
    <n v="1"/>
    <x v="0"/>
    <s v="https://www.amazon.in/StyleHouse-Remover-Woolen-Clothes-Electric/dp/B07NCKMXVZ/ref=sr_1_8?qid=1672923591&amp;s=kitchen&amp;sr=1-8"/>
  </r>
  <r>
    <s v="B0B61DSF17"/>
    <s v="beatXP Kitchen Scale Multipurpose Portable Electronic Digital Weighing Scale | Weight Machine With Back light LCD Display | White |10 kg | 2 Year Warranty |"/>
    <s v="Home&amp;Kitchen"/>
    <x v="3"/>
    <s v="Kitchen&amp;HomeAppliances"/>
    <s v="DigitalKitchenScales"/>
    <n v="199"/>
    <n v="1999"/>
    <n v="90"/>
    <n v="3.7"/>
    <n v="2031"/>
    <n v="3.9497953036473321"/>
    <s v="High (1,000+)"/>
    <x v="0"/>
    <n v="53.6"/>
    <s v="Above median"/>
    <b v="0"/>
    <b v="0"/>
    <b v="1"/>
    <n v="0.41"/>
    <n v="1"/>
    <x v="0"/>
    <s v="https://www.amazon.in/beatXP-Multipurpose-Portable-Electronic-Weighing/dp/B0B61DSF17/ref=sr_1_10?qid=1672923591&amp;s=kitchen&amp;sr=1-10"/>
  </r>
  <r>
    <s v="B07VQGVL68"/>
    <s v="Glun Multipurpose Portable Electronic Digital Weighing Scale Weight Machine (10 Kg - with Back Light)"/>
    <s v="Home&amp;Kitchen"/>
    <x v="3"/>
    <s v="Kitchen&amp;HomeAppliances"/>
    <s v="DigitalKitchenScales"/>
    <n v="293"/>
    <n v="499"/>
    <n v="41"/>
    <n v="3.9"/>
    <n v="44994"/>
    <n v="3.9142481328988099"/>
    <s v="High (1,000+)"/>
    <x v="0"/>
    <n v="32.700000000000003"/>
    <s v="Bottom 25%"/>
    <b v="0"/>
    <b v="0"/>
    <b v="0"/>
    <n v="0.6"/>
    <n v="1"/>
    <x v="0"/>
    <s v="https://www.amazon.in/Multipurpose-Portable-Electronic-Digital-Weighing/dp/B07VQGVL68/ref=sr_1_11?qid=1672923591&amp;s=kitchen&amp;sr=1-11"/>
  </r>
  <r>
    <s v="B01LWYDEQ7"/>
    <s v="Pigeon Polypropylene Mini Handy and Compact Chopper with 3 Blades for Effortlessly Chopping Vegetables and Fruits for Your Kitchen (12420, Green, 400 ml)"/>
    <s v="Home&amp;Kitchen"/>
    <x v="3"/>
    <s v="Kitchen&amp;Dining"/>
    <s v="Choppers"/>
    <n v="199"/>
    <n v="495"/>
    <n v="60"/>
    <n v="4.0999999999999996"/>
    <n v="270563"/>
    <n v="4.0997892616314591"/>
    <s v="High (1,000+)"/>
    <x v="0"/>
    <n v="59.5"/>
    <s v="Above median"/>
    <b v="0"/>
    <b v="0"/>
    <b v="0"/>
    <m/>
    <n v="1"/>
    <x v="0"/>
    <s v="https://www.amazon.in/Pigeon-Stovekraft-Plastic-Chopper-Blades/dp/B01LWYDEQ7/ref=sr_1_12?qid=1672923591&amp;s=kitchen&amp;sr=1-12"/>
  </r>
  <r>
    <s v="B07VNFP3C2"/>
    <s v="Prestige 1.5 Litre Kettle 1500-watts, Red"/>
    <s v="Home&amp;Kitchen"/>
    <x v="3"/>
    <s v="Kitchen&amp;HomeAppliances"/>
    <s v="ElectricKettles"/>
    <n v="749"/>
    <n v="1245"/>
    <n v="40"/>
    <n v="3.9"/>
    <n v="31783"/>
    <n v="3.9195436578942711"/>
    <s v="High (1,000+)"/>
    <x v="2"/>
    <n v="28.1"/>
    <s v="Bottom 25%"/>
    <b v="0"/>
    <b v="0"/>
    <b v="0"/>
    <n v="0.75"/>
    <n v="1"/>
    <x v="0"/>
    <s v="https://www.amazon.in/Prestige-1-5-Kettle-1500-watts-Red/dp/B07VNFP3C2/ref=sr_1_16?qid=1672923591&amp;s=kitchen&amp;sr=1-16"/>
  </r>
  <r>
    <s v="B00LUGTJGO"/>
    <s v="Bajaj RHX-2 800-Watt Room Heater (White)"/>
    <s v="Home&amp;Kitchen"/>
    <x v="3"/>
    <s v="Heating,Cooling&amp;AirQuality"/>
    <s v="ElectricHeaters"/>
    <n v="1399"/>
    <n v="1549"/>
    <n v="10"/>
    <n v="3.9"/>
    <n v="2602"/>
    <n v="4.0091506153948959"/>
    <s v="High (1,000+)"/>
    <x v="4"/>
    <n v="22.1"/>
    <s v="Bottom 25%"/>
    <b v="0"/>
    <b v="0"/>
    <b v="0"/>
    <n v="1.06"/>
    <n v="1"/>
    <x v="0"/>
    <s v="https://www.amazon.in/Bajaj-RHX-2-800-Watt-Room-Heater/dp/B00LUGTJGO/ref=sr_1_17?qid=1672923591&amp;s=kitchen&amp;sr=1-17"/>
  </r>
  <r>
    <s v="B01MQZ7J8K"/>
    <s v="Prestige Electric Kettle PKOSS - 1500watts, Steel (1.5Ltr), Black"/>
    <s v="Home&amp;Kitchen"/>
    <x v="3"/>
    <s v="Kitchen&amp;HomeAppliances"/>
    <s v="ElectricKettles"/>
    <n v="749"/>
    <n v="1445"/>
    <n v="48"/>
    <n v="3.9"/>
    <n v="63350"/>
    <n v="3.9103511133049862"/>
    <s v="High (1,000+)"/>
    <x v="2"/>
    <n v="31.5"/>
    <s v="Bottom 25%"/>
    <b v="0"/>
    <b v="0"/>
    <b v="0"/>
    <n v="0.75"/>
    <n v="1"/>
    <x v="0"/>
    <s v="https://www.amazon.in/Prestige-Electric-Kettle-PKOSS-1500watts/dp/B01MQZ7J8K/ref=sr_1_18?qid=1672923591&amp;s=kitchen&amp;sr=1-18"/>
  </r>
  <r>
    <s v="B01GFTEV5Y"/>
    <s v="Pigeon by Stovekraft Cruise 1800 watt Induction Cooktop (Black)"/>
    <s v="Home&amp;Kitchen"/>
    <x v="3"/>
    <s v="Kitchen&amp;HomeAppliances"/>
    <s v="InductionCooktop"/>
    <n v="1699"/>
    <n v="3193"/>
    <n v="47"/>
    <n v="3.8"/>
    <n v="54032"/>
    <n v="3.818530121234387"/>
    <s v="High (1,000+)"/>
    <x v="4"/>
    <n v="22.9"/>
    <s v="Bottom 25%"/>
    <b v="0"/>
    <b v="0"/>
    <b v="1"/>
    <n v="0.83"/>
    <n v="1"/>
    <x v="0"/>
    <s v="https://www.amazon.in/Pigeon-Stovekraft-Cruise-1800-Watt-Induction/dp/B01GFTEV5Y/ref=sr_1_20?qid=1672923591&amp;s=kitchen&amp;sr=1-20"/>
  </r>
  <r>
    <s v="B00NW4UWN6"/>
    <s v="Prestige PKGSS 1.7L 1500W Electric Kettle (Stainless Steel)"/>
    <s v="Home&amp;Kitchen"/>
    <x v="3"/>
    <s v="Kitchen&amp;HomeAppliances"/>
    <s v="ElectricKettles"/>
    <n v="1043"/>
    <n v="1345"/>
    <n v="22"/>
    <n v="3.8"/>
    <n v="15592"/>
    <n v="3.855332821394549"/>
    <s v="High (1,000+)"/>
    <x v="4"/>
    <n v="17.7"/>
    <s v="Bottom 25%"/>
    <b v="0"/>
    <b v="0"/>
    <b v="1"/>
    <n v="1.04"/>
    <n v="1"/>
    <x v="0"/>
    <s v="https://www.amazon.in/Prestige-PKGSS-Electric-Kettle-Stainless/dp/B00NW4UWN6/ref=sr_1_22?qid=1672923591&amp;s=kitchen&amp;sr=1-22"/>
  </r>
  <r>
    <s v="B01NCVJMKX"/>
    <s v="SHOPTOSHOP Electric Lint Remover, Best Lint Shaver for Clothes,Lint Remover for Woolen Clothes ,Lint Remover for Sweaters"/>
    <s v="Home&amp;Kitchen"/>
    <x v="3"/>
    <s v="Kitchen&amp;HomeAppliances"/>
    <s v="LintShavers"/>
    <n v="499"/>
    <n v="999"/>
    <n v="50"/>
    <n v="4.0999999999999996"/>
    <n v="4859"/>
    <n v="4.0932945649458699"/>
    <s v="High (1,000+)"/>
    <x v="0"/>
    <n v="55.9"/>
    <s v="Above median"/>
    <b v="0"/>
    <b v="0"/>
    <b v="0"/>
    <n v="1.1100000000000001"/>
    <n v="1"/>
    <x v="0"/>
    <s v="https://www.amazon.in/SHOP-Plastic-Sweaters-Blankets-Multicolour/dp/B01NCVJMKX/ref=sr_1_23?qid=1672923591&amp;s=kitchen&amp;sr=1-23"/>
  </r>
  <r>
    <s v="B00O24PUO6"/>
    <s v="Orpat OEH-1260 2000-Watt Fan Heater (Grey)"/>
    <s v="Home&amp;Kitchen"/>
    <x v="3"/>
    <s v="Heating,Cooling&amp;AirQuality"/>
    <s v="FanHeaters"/>
    <n v="1464"/>
    <n v="1650"/>
    <n v="11"/>
    <n v="4.0999999999999996"/>
    <n v="14120"/>
    <n v="4.0967671797388956"/>
    <s v="High (1,000+)"/>
    <x v="4"/>
    <n v="40.1"/>
    <s v="Below median"/>
    <b v="0"/>
    <b v="0"/>
    <b v="0"/>
    <n v="1.36"/>
    <n v="1"/>
    <x v="0"/>
    <s v="https://www.amazon.in/Orpat-OEH-1260-2000-Watt-Heater-Grey/dp/B00O24PUO6/ref=sr_1_24?qid=1672923591&amp;s=kitchen&amp;sr=1-24"/>
  </r>
  <r>
    <s v="B07GXPDLYQ"/>
    <s v="PRO365 Indo Mocktails/Coffee Foamer/Cappuccino/Lemonade/Milk Frother (6 Months Warranty)"/>
    <s v="Home&amp;Kitchen"/>
    <x v="3"/>
    <s v="Kitchen&amp;HomeAppliances"/>
    <s v="HandBlenders"/>
    <n v="249"/>
    <n v="499"/>
    <n v="50"/>
    <n v="3.3"/>
    <n v="8427"/>
    <n v="3.5421911556405772"/>
    <s v="High (1,000+)"/>
    <x v="0"/>
    <n v="34.5"/>
    <s v="Bottom 25%"/>
    <b v="0"/>
    <b v="0"/>
    <b v="1"/>
    <n v="0.36"/>
    <n v="1"/>
    <x v="0"/>
    <s v="https://www.amazon.in/PRO365-Electric-Coffee-Stirrer-Frother/dp/B07GXPDLYQ/ref=sr_1_25?qid=1672923591&amp;s=kitchen&amp;sr=1-25"/>
  </r>
  <r>
    <s v="B01C8P29N0"/>
    <s v="Bajaj DX-6 1000W Dry Iron with Advance Soleplate and Anti-bacterial German Coating Technology, White"/>
    <s v="Home&amp;Kitchen"/>
    <x v="3"/>
    <s v="Kitchen&amp;HomeAppliances"/>
    <s v="DryIrons"/>
    <n v="625"/>
    <n v="1400"/>
    <n v="55"/>
    <n v="4.2"/>
    <n v="23316"/>
    <n v="4.1839702750034462"/>
    <s v="High (1,000+)"/>
    <x v="2"/>
    <n v="70.400000000000006"/>
    <s v="Top 25%"/>
    <b v="0"/>
    <b v="0"/>
    <b v="0"/>
    <n v="0.92"/>
    <n v="1"/>
    <x v="0"/>
    <s v="https://www.amazon.in/Bajaj-Majesty-1000-Watt-Iron-White/dp/B01C8P29N0/ref=sr_1_26?qid=1672923591&amp;s=kitchen&amp;sr=1-26"/>
  </r>
  <r>
    <s v="B08KDBLMQP"/>
    <s v="Croma 500W Mixer Grinder with 3 Stainless Steel Leak-proof Jars, 3 speed &amp; Pulse function, 2 years warranty (CRAK4184, White &amp; Purple)"/>
    <s v="Home&amp;Kitchen"/>
    <x v="3"/>
    <s v="Kitchen&amp;HomeAppliances"/>
    <s v="MixerGrinders"/>
    <n v="1290"/>
    <n v="2500"/>
    <n v="48"/>
    <n v="4"/>
    <n v="6530"/>
    <n v="4.0309389450260689"/>
    <s v="High (1,000+)"/>
    <x v="4"/>
    <n v="34.5"/>
    <s v="Bottom 25%"/>
    <b v="0"/>
    <b v="0"/>
    <b v="0"/>
    <n v="0.44"/>
    <n v="1"/>
    <x v="0"/>
    <s v="https://www.amazon.in/Croma-500-Watt-Grinder-CRAK4184-Purple/dp/B08KDBLMQP/ref=sr_1_27?qid=1672923591&amp;s=kitchen&amp;sr=1-27"/>
  </r>
  <r>
    <s v="B078JDNZJ8"/>
    <s v="Havells Instanio 3-Litre Instant Geyser (White/Blue)"/>
    <s v="Home&amp;Kitchen"/>
    <x v="3"/>
    <s v="Heating,Cooling&amp;AirQuality"/>
    <s v="InstantWaterHeaters"/>
    <n v="3600"/>
    <n v="6190"/>
    <n v="42"/>
    <n v="4.3"/>
    <n v="11924"/>
    <n v="4.2483434221579586"/>
    <s v="High (1,000+)"/>
    <x v="3"/>
    <n v="59.9"/>
    <s v="Above median"/>
    <b v="0"/>
    <b v="0"/>
    <b v="0"/>
    <n v="1.39"/>
    <n v="1"/>
    <x v="0"/>
    <s v="https://www.amazon.in/Havells-Instanio-3-Litre-Instant-Geyser/dp/B078JDNZJ8/ref=sr_1_28?qid=1672923591&amp;s=kitchen&amp;sr=1-28"/>
  </r>
  <r>
    <s v="B01M5F614J"/>
    <s v="Morphy Richards OFR Room Heater, 09 Fin 2000 Watts Oil Filled Room Heater , ISI Approved (OFR 9 Grey)"/>
    <s v="Home&amp;Kitchen"/>
    <x v="3"/>
    <s v="Heating,Cooling&amp;AirQuality"/>
    <s v="RoomHeaters"/>
    <n v="6549"/>
    <n v="13999"/>
    <n v="53"/>
    <n v="4"/>
    <n v="2961"/>
    <n v="4.047362101833988"/>
    <s v="High (1,000+)"/>
    <x v="3"/>
    <n v="33.9"/>
    <s v="Bottom 25%"/>
    <b v="0"/>
    <b v="0"/>
    <b v="0"/>
    <m/>
    <n v="1"/>
    <x v="0"/>
    <s v="https://www.amazon.in/Morphy-Richards-OFR-09-2000-Watt/dp/B01M5F614J/ref=sr_1_29?qid=1672923591&amp;s=kitchen&amp;sr=1-29"/>
  </r>
  <r>
    <s v="B083GKDRKR"/>
    <s v="Havells Aqua Plus 1.2 litre Double Wall Kettle / 304 Stainless Steel Inner Body / Cool touch outer body / Wider mouth/ 2 Year warranty (Black, 1500 Watt)"/>
    <s v="Home&amp;Kitchen"/>
    <x v="3"/>
    <s v="Kitchen&amp;HomeAppliances"/>
    <s v="ElectricKettles"/>
    <n v="1625"/>
    <n v="2995"/>
    <n v="46"/>
    <n v="4.5"/>
    <n v="23484"/>
    <n v="4.442641773867499"/>
    <s v="High (1,000+)"/>
    <x v="4"/>
    <n v="70.3"/>
    <s v="Top 25%"/>
    <b v="0"/>
    <b v="0"/>
    <b v="0"/>
    <n v="1.63"/>
    <n v="1"/>
    <x v="0"/>
    <s v="https://www.amazon.in/HAVELLS-Kettle-Coffee-Boiler-Stainless/dp/B083GKDRKR/ref=sr_1_30?qid=1672923591&amp;s=kitchen&amp;sr=1-30"/>
  </r>
  <r>
    <s v="B097R2V1W8"/>
    <s v="Bajaj Splendora 3 Litre 3KW IWH Instant Water Heater (Geyser), White"/>
    <s v="Home&amp;Kitchen"/>
    <x v="3"/>
    <s v="Heating,Cooling&amp;AirQuality"/>
    <s v="InstantWaterHeaters"/>
    <n v="2599"/>
    <n v="5890"/>
    <n v="56"/>
    <n v="4.0999999999999996"/>
    <n v="21783"/>
    <n v="4.0977369435587798"/>
    <s v="High (1,000+)"/>
    <x v="3"/>
    <n v="53.2"/>
    <s v="Above median"/>
    <b v="0"/>
    <b v="0"/>
    <b v="0"/>
    <n v="1"/>
    <n v="1"/>
    <x v="0"/>
    <s v="https://www.amazon.in/Bajaj-Splendora-Instant-Water-Heater/dp/B097R2V1W8/ref=sr_1_28?qid=1672923592&amp;s=kitchen&amp;sr=1-28"/>
  </r>
  <r>
    <s v="B07YR26BJ3"/>
    <s v="KENT 16052 Elegant Electric Glass Kettle 1.8L 2000 W | Blue LED Illumination | Borosilicate Glass Body | Boil Drying Protection | Used as Boiler | Milk | Tea | Water &amp; Soup | 1 Year Warranty"/>
    <s v="Home&amp;Kitchen"/>
    <x v="3"/>
    <s v="Kitchen&amp;HomeAppliances"/>
    <s v="Kettle&amp;ToasterSets"/>
    <n v="1199"/>
    <n v="2000"/>
    <n v="40"/>
    <n v="4"/>
    <n v="14030"/>
    <n v="4.0178973776411864"/>
    <s v="High (1,000+)"/>
    <x v="4"/>
    <n v="29.6"/>
    <s v="Bottom 25%"/>
    <b v="0"/>
    <b v="0"/>
    <b v="0"/>
    <n v="1.01"/>
    <n v="1"/>
    <x v="0"/>
    <s v="https://www.amazon.in/KENT-Elegant-Electric-Kettle-Silver/dp/B07YR26BJ3/ref=sr_1_29?qid=1672923592&amp;s=kitchen&amp;sr=1-29"/>
  </r>
  <r>
    <s v="B097R45BH8"/>
    <s v="Bajaj New Shakti Neo 15L Vertical Storage Water Heater (Geyser 15 litres) 4 Star BEE Rated Heater For Water Heating with Titanium Armour, Swirl Flow Technology, Glasslined Tank (White), 1 Yr Warranty"/>
    <s v="Home&amp;Kitchen"/>
    <x v="3"/>
    <s v="Heating,Cooling&amp;AirQuality"/>
    <s v="StorageWaterHeaters"/>
    <n v="5499"/>
    <n v="13150"/>
    <n v="58"/>
    <n v="4.2"/>
    <n v="6398"/>
    <n v="4.1572795720368898"/>
    <s v="High (1,000+)"/>
    <x v="3"/>
    <n v="57.9"/>
    <s v="Above median"/>
    <b v="0"/>
    <b v="0"/>
    <b v="0"/>
    <n v="0.86"/>
    <n v="1"/>
    <x v="0"/>
    <s v="https://www.amazon.in/Bajaj-Shakti-Heater-Multiple-Safety/dp/B097R45BH8/ref=sr_1_30?qid=1672923592&amp;s=kitchen&amp;sr=1-30"/>
  </r>
  <r>
    <s v="B09X5C9VLK"/>
    <s v="Lifelong LLMG23 Power Pro 500-Watt Mixer Grinder with 3 Jars (Liquidizing, Wet Grinding and Chutney Jar), Stainless Steel blades, 1 Year Warranty (Black)"/>
    <s v="Home&amp;Kitchen"/>
    <x v="3"/>
    <s v="Kitchen&amp;HomeAppliances"/>
    <s v="MixerGrinders"/>
    <n v="1299"/>
    <n v="3500"/>
    <n v="63"/>
    <n v="3.8"/>
    <n v="44050"/>
    <n v="3.8223987261005141"/>
    <s v="High (1,000+)"/>
    <x v="4"/>
    <n v="33.5"/>
    <s v="Bottom 25%"/>
    <b v="0"/>
    <b v="0"/>
    <b v="1"/>
    <n v="0.45"/>
    <n v="1"/>
    <x v="0"/>
    <s v="https://www.amazon.in/Lifelong-LLMG23-500-Watt-Liquidizing-Stainless/dp/B09X5C9VLK/ref=sr_1_31?qid=1672923592&amp;s=kitchen&amp;sr=1-31"/>
  </r>
  <r>
    <s v="B01C8P29T4"/>
    <s v="Bajaj Majesty DX-11 1000W Dry Iron with Advance Soleplate and Anti-bacterial German Coating Technology, White and Blue"/>
    <s v="Home&amp;Kitchen"/>
    <x v="3"/>
    <s v="Kitchen&amp;HomeAppliances"/>
    <s v="DryIrons"/>
    <n v="599"/>
    <n v="785"/>
    <n v="24"/>
    <n v="4.2"/>
    <n v="24247"/>
    <n v="4.1845030825855796"/>
    <s v="High (1,000+)"/>
    <x v="2"/>
    <n v="57.3"/>
    <s v="Above median"/>
    <b v="0"/>
    <b v="0"/>
    <b v="0"/>
    <n v="0.88"/>
    <n v="1"/>
    <x v="0"/>
    <s v="https://www.amazon.in/Bajaj-Majesty-1000-Watt-Iron-White/dp/B01C8P29T4/ref=sr_1_33?qid=1672923592&amp;s=kitchen&amp;sr=1-33"/>
  </r>
  <r>
    <s v="B00HVXS7WC"/>
    <s v="Bajaj Rex 500W Mixer Grinder with Nutri-Pro Feature, 3 Jars, White"/>
    <s v="Home&amp;Kitchen"/>
    <x v="3"/>
    <s v="Kitchen&amp;HomeAppliances"/>
    <s v="MixerGrinders"/>
    <n v="1999"/>
    <n v="3210"/>
    <n v="38"/>
    <n v="4.2"/>
    <n v="41349"/>
    <n v="4.190378043108316"/>
    <s v="High (1,000+)"/>
    <x v="4"/>
    <n v="54.8"/>
    <s v="Above median"/>
    <b v="0"/>
    <b v="0"/>
    <b v="0"/>
    <n v="0.69"/>
    <n v="1"/>
    <x v="0"/>
    <s v="https://www.amazon.in/Bajaj-Rex-500-Watt-Mixer-Grinder/dp/B00HVXS7WC/ref=sr_1_34?qid=1672923592&amp;s=kitchen&amp;sr=1-34"/>
  </r>
  <r>
    <s v="B096YCN3SD"/>
    <s v="Lifelong LLEK15 Electric Kettle 1.5L with Stainless Steel Body, Easy and Fast Boiling of Water for Instant Noodles, Soup, Tea etc. (1 Year Warranty, Silver)"/>
    <s v="Home&amp;Kitchen"/>
    <x v="3"/>
    <s v="Kitchen&amp;HomeAppliances"/>
    <s v="Kettle&amp;ToasterSets"/>
    <n v="549"/>
    <n v="1000"/>
    <n v="45"/>
    <n v="3.6"/>
    <n v="1074"/>
    <n v="3.977016249701399"/>
    <s v="High (1,000+)"/>
    <x v="2"/>
    <n v="35.200000000000003"/>
    <s v="Bottom 25%"/>
    <b v="0"/>
    <b v="0"/>
    <b v="1"/>
    <n v="0.46"/>
    <n v="1"/>
    <x v="0"/>
    <s v="https://www.amazon.in/Lifelong-LLEK15-Electric-Stainless-Warranty/dp/B096YCN3SD/ref=sr_1_35?qid=1672923592&amp;s=kitchen&amp;sr=1-35"/>
  </r>
  <r>
    <s v="B09LQH3SD9"/>
    <s v="Lifelong LLQH922 Regalia 800 W (ISI Certified) Quartz Room Heater with 2 Power settings, Overheating Protection, 2 Rod Heater (1 Year Warranty, White)"/>
    <s v="Home&amp;Kitchen"/>
    <x v="3"/>
    <s v="Heating,Cooling&amp;AirQuality"/>
    <s v="ElectricHeaters"/>
    <n v="999"/>
    <n v="2000"/>
    <n v="50"/>
    <n v="3.8"/>
    <n v="1163"/>
    <n v="4.0174274879059624"/>
    <s v="High (1,000+)"/>
    <x v="2"/>
    <n v="39.6"/>
    <s v="Below median"/>
    <b v="0"/>
    <b v="0"/>
    <b v="1"/>
    <n v="0.76"/>
    <n v="1"/>
    <x v="0"/>
    <s v="https://www.amazon.in/Lifelong-LLQH922-Certified-Overheating-Protection/dp/B09LQH3SD9/ref=sr_1_36?qid=1672923592&amp;s=kitchen&amp;sr=1-36"/>
  </r>
  <r>
    <s v="B09KNMLH4Y"/>
    <s v="R B Nova Lint/Fabric Shaver for Cloths, Lint Remover for Woolen Sweaters, Blankets, Jackets/Burr Remover Pill Remover from Carpets, Pack of 1"/>
    <s v="Home&amp;Kitchen"/>
    <x v="3"/>
    <s v="Kitchen&amp;HomeAppliances"/>
    <s v="LintShavers"/>
    <n v="398"/>
    <n v="1999"/>
    <n v="80"/>
    <n v="4.0999999999999996"/>
    <n v="257"/>
    <n v="4.0856173881529578"/>
    <s v="Medium (100-999)"/>
    <x v="0"/>
    <n v="64.8"/>
    <s v="Top 25%"/>
    <b v="0"/>
    <b v="0"/>
    <b v="0"/>
    <n v="0.89"/>
    <n v="1"/>
    <x v="0"/>
    <s v="https://www.amazon.in/Remover-Sweaters-Blankets-Jackets-Carpets/dp/B09KNMLH4Y/ref=sr_1_37_mod_primary_new?qid=1672923592&amp;s=kitchen&amp;sbo=RZvfv%2F%2FHxDF%2BO5021pAnSA%3D%3D&amp;sr=1-37"/>
  </r>
  <r>
    <s v="B00ABMASXG"/>
    <s v="Bajaj Immersion Rod Water Heater 1500 Watts, Silver"/>
    <s v="Home&amp;Kitchen"/>
    <x v="3"/>
    <s v="Heating,Cooling&amp;AirQuality"/>
    <s v="ImmersionRods"/>
    <n v="539"/>
    <n v="720"/>
    <n v="25"/>
    <n v="4.0999999999999996"/>
    <n v="36017"/>
    <n v="4.098546716064325"/>
    <s v="High (1,000+)"/>
    <x v="2"/>
    <n v="50.5"/>
    <s v="Below median"/>
    <b v="0"/>
    <b v="0"/>
    <b v="0"/>
    <m/>
    <n v="1"/>
    <x v="0"/>
    <s v="https://www.amazon.in/Bajaj-1500-Watt-Immersion-Heater-Plug/dp/B00ABMASXG/ref=sr_1_38?qid=1672923592&amp;s=kitchen&amp;sr=1-38"/>
  </r>
  <r>
    <s v="B07QDSN9V6"/>
    <s v="INALSA Electric Kettle 1.5 Litre with Stainless Steel Body - Absa|Auto Shut Off &amp; Boil Dry Protection Safety Features| Cordless Base &amp; Cord Winder|Hot Water Kettle |Water Heater Jug"/>
    <s v="Home&amp;Kitchen"/>
    <x v="3"/>
    <s v="Kitchen&amp;HomeAppliances"/>
    <s v="ElectricKettles"/>
    <n v="699"/>
    <n v="1595"/>
    <n v="56"/>
    <n v="4.0999999999999996"/>
    <n v="8090"/>
    <n v="4.0951224713504164"/>
    <s v="High (1,000+)"/>
    <x v="2"/>
    <n v="57.7"/>
    <s v="Above median"/>
    <b v="0"/>
    <b v="0"/>
    <b v="0"/>
    <n v="0.7"/>
    <n v="1"/>
    <x v="0"/>
    <s v="https://www.amazon.in/Inalsa-Electric-Kettle-Absa-1500W-Capacity/dp/B07QDSN9V6/ref=sr_1_39?qid=1672923592&amp;s=kitchen&amp;sr=1-39"/>
  </r>
  <r>
    <s v="B00YMJ0OI8"/>
    <s v="Prestige PIC 20 1600 Watt Induction Cooktop with Push button (Black)"/>
    <s v="Home&amp;Kitchen"/>
    <x v="3"/>
    <s v="Kitchen&amp;HomeAppliances"/>
    <s v="InductionCooktop"/>
    <n v="2148"/>
    <n v="3645"/>
    <n v="41"/>
    <n v="4.0999999999999996"/>
    <n v="31388"/>
    <n v="4.0983553318354167"/>
    <s v="High (1,000+)"/>
    <x v="4"/>
    <n v="44.4"/>
    <s v="Below median"/>
    <b v="0"/>
    <b v="0"/>
    <b v="0"/>
    <n v="1.05"/>
    <n v="1"/>
    <x v="0"/>
    <s v="https://www.amazon.in/Prestige-PIC-20-Induction-Cooktop/dp/B00YMJ0OI8/ref=sr_1_43?qid=1672923592&amp;s=kitchen&amp;sr=1-43"/>
  </r>
  <r>
    <s v="B0B8XNPQPN"/>
    <s v="Pigeon Healthifry Digital Air Fryer, 360° High Speed Air Circulation Technology 1200 W with Non-Stick 4.2 L Basket - Green"/>
    <s v="Home&amp;Kitchen"/>
    <x v="3"/>
    <s v="Kitchen&amp;HomeAppliances"/>
    <s v="AirFryers"/>
    <n v="3599"/>
    <n v="7950"/>
    <n v="55"/>
    <n v="4.2"/>
    <n v="136"/>
    <n v="4.0886595079340298"/>
    <s v="Medium (100-999)"/>
    <x v="3"/>
    <n v="43.4"/>
    <s v="Below median"/>
    <b v="0"/>
    <b v="0"/>
    <b v="0"/>
    <m/>
    <n v="1"/>
    <x v="0"/>
    <s v="https://www.amazon.in/Pigeon-Healthifry-Circulation-Technology-Non-Stick/dp/B0B8XNPQPN/ref=sr_1_44?qid=1672923592&amp;s=kitchen&amp;sr=1-44"/>
  </r>
  <r>
    <s v="B0814P4L98"/>
    <s v="PrettyKrafts Laundry Basket for clothes with Lid &amp; Handles, Toys Organiser, 75 Ltr Black &amp; Grey"/>
    <s v="Home&amp;Kitchen"/>
    <x v="3"/>
    <s v="HomeStorage&amp;Organization"/>
    <s v="LaundryBaskets"/>
    <n v="351"/>
    <n v="999"/>
    <n v="65"/>
    <n v="4"/>
    <n v="5380"/>
    <n v="4.0348306362243171"/>
    <s v="High (1,000+)"/>
    <x v="0"/>
    <n v="44.1"/>
    <s v="Below median"/>
    <b v="0"/>
    <b v="0"/>
    <b v="0"/>
    <n v="1"/>
    <n v="1"/>
    <x v="0"/>
    <s v="https://www.amazon.in/PrettyKrafts-Laundry-Basket-Clothes-Handles/dp/B0814P4L98/ref=sr_1_45?qid=1672923592&amp;s=kitchen&amp;sr=1-45"/>
  </r>
  <r>
    <s v="B008QTK47Q"/>
    <s v="Philips GC1905 1440-Watt Steam Iron with Spray (Blue)"/>
    <s v="Home&amp;Kitchen"/>
    <x v="3"/>
    <s v="Kitchen&amp;HomeAppliances"/>
    <s v="SteamIrons"/>
    <n v="1614"/>
    <n v="1745"/>
    <n v="8"/>
    <n v="4.3"/>
    <n v="37974"/>
    <n v="4.2805850776102652"/>
    <s v="High (1,000+)"/>
    <x v="4"/>
    <n v="53.5"/>
    <s v="Above median"/>
    <b v="0"/>
    <b v="0"/>
    <b v="0"/>
    <n v="0.53"/>
    <n v="1"/>
    <x v="0"/>
    <s v="https://www.amazon.in/Philips-GC1905-1440-Watt-Steam-Spray/dp/B008QTK47Q/ref=sr_1_47?qid=1672923592&amp;s=kitchen&amp;sr=1-47"/>
  </r>
  <r>
    <s v="B088ZTJT2R"/>
    <s v="Havells Immersion HB15 1500 Watt (White Blue)"/>
    <s v="Home&amp;Kitchen"/>
    <x v="3"/>
    <s v="Heating,Cooling&amp;AirQuality"/>
    <s v="ImmersionRods"/>
    <n v="719"/>
    <n v="1295"/>
    <n v="44"/>
    <n v="4.2"/>
    <n v="17218"/>
    <n v="4.1793112219289732"/>
    <s v="High (1,000+)"/>
    <x v="2"/>
    <n v="66.2"/>
    <s v="Top 25%"/>
    <b v="0"/>
    <b v="0"/>
    <b v="0"/>
    <m/>
    <n v="1"/>
    <x v="0"/>
    <s v="https://www.amazon.in/Havells-Immersion-HB15-1500-White/dp/B088ZTJT2R/ref=sr_1_48_mod_primary_new?qid=1672923592&amp;s=kitchen&amp;sbo=RZvfv%2F%2FHxDF%2BO5021pAnSA%3D%3D&amp;sr=1-48"/>
  </r>
  <r>
    <s v="B0BK1K598K"/>
    <s v="AGARO LR2007 Lint Remover, Rechargeable, for Woolen Sweaters, Blankets, Jackets, Burr Remover, Pill Remover From Carpets, Curtains"/>
    <s v="Home&amp;Kitchen"/>
    <x v="3"/>
    <s v="Kitchen&amp;HomeAppliances"/>
    <s v="LintShavers"/>
    <n v="678"/>
    <n v="1499"/>
    <n v="55"/>
    <n v="4.2"/>
    <n v="900"/>
    <n v="4.106903826633955"/>
    <s v="Medium (100-999)"/>
    <x v="2"/>
    <n v="62.2"/>
    <s v="Top 25%"/>
    <b v="0"/>
    <b v="0"/>
    <b v="0"/>
    <n v="1.51"/>
    <n v="1"/>
    <x v="0"/>
    <s v="https://www.amazon.in/AGARO-Rechargeable-Sweaters-Blankets-Curtains/dp/B0BK1K598K/ref=sr_1_49_mod_primary_new?qid=1672923592&amp;s=kitchen&amp;sbo=RZvfv%2F%2FHxDF%2BO5021pAnSA%3D%3D&amp;sr=1-49"/>
  </r>
  <r>
    <s v="B09Y5FZK9N"/>
    <s v="Pigeon 1.5 litre Hot Kettle and Stainless Steel Water Bottle Combo used for boiling Water, Making Tea and Coffee, Instant Noodles, Soup, 1500 Watt with Auto Shut- off Feature - (Silver)"/>
    <s v="Home&amp;Kitchen"/>
    <x v="3"/>
    <s v="Kitchen&amp;HomeAppliances"/>
    <s v="Kettle&amp;ToasterSets"/>
    <n v="809"/>
    <n v="1545"/>
    <n v="48"/>
    <n v="3.7"/>
    <n v="976"/>
    <n v="4.0054108033514444"/>
    <s v="Medium (100-999)"/>
    <x v="2"/>
    <n v="35.1"/>
    <s v="Bottom 25%"/>
    <b v="0"/>
    <b v="0"/>
    <b v="1"/>
    <n v="0.68"/>
    <n v="1"/>
    <x v="0"/>
    <s v="https://www.amazon.in/Pigeon-Stainless-boiling-Instant-Noodles/dp/B09Y5FZK9N/ref=sr_1_50?qid=1672923592&amp;s=kitchen&amp;sr=1-50"/>
  </r>
  <r>
    <s v="B09J2SCVQT"/>
    <s v="NutriPro Juicer Mixer Grinder - Smoothie Maker - 500 Watts (3 Jars 2 Blades)"/>
    <s v="Home&amp;Kitchen"/>
    <x v="3"/>
    <s v="Kitchen&amp;HomeAppliances"/>
    <s v="JuicerMixerGrinders"/>
    <n v="1969"/>
    <n v="5000"/>
    <n v="61"/>
    <n v="4.0999999999999996"/>
    <n v="4927"/>
    <n v="4.0933470385730839"/>
    <s v="High (1,000+)"/>
    <x v="4"/>
    <n v="51.9"/>
    <s v="Above median"/>
    <b v="0"/>
    <b v="0"/>
    <b v="0"/>
    <n v="0.84"/>
    <n v="1"/>
    <x v="0"/>
    <s v="https://www.amazon.in/NutriPro-Bullet-Juicer-Grinder-Blades/dp/B09J2SCVQT/ref=sr_1_52?qid=1672923592&amp;s=kitchen&amp;sr=1-52"/>
  </r>
  <r>
    <s v="B00TDD0YM4"/>
    <s v="Philips GC026/30 Fabric Shaver, Lint Remover for Woolen Sweaters, Blankets, Jackets/Burr Remover Pill Remover from Carpets, Curtains (White)"/>
    <s v="Home&amp;Kitchen"/>
    <x v="3"/>
    <s v="Kitchen&amp;HomeAppliances"/>
    <s v="LintShavers"/>
    <n v="1490"/>
    <n v="1695"/>
    <n v="12"/>
    <n v="4.4000000000000004"/>
    <n v="3543"/>
    <n v="4.2375797812170024"/>
    <s v="High (1,000+)"/>
    <x v="4"/>
    <n v="51.9"/>
    <s v="Above median"/>
    <b v="0"/>
    <b v="0"/>
    <b v="0"/>
    <n v="3.32"/>
    <n v="1"/>
    <x v="0"/>
    <s v="https://www.amazon.in/Philips-GC026-30-Fabric-Shaver/dp/B00TDD0YM4/ref=sr_1_54?qid=1672923592&amp;s=kitchen&amp;sr=1-54"/>
  </r>
  <r>
    <s v="B078KRFWQB"/>
    <s v="Havells Cista Room Heater, White, 2000 Watts"/>
    <s v="Home&amp;Kitchen"/>
    <x v="3"/>
    <s v="Heating,Cooling&amp;AirQuality"/>
    <s v="ElectricHeaters"/>
    <n v="2499"/>
    <n v="3945"/>
    <n v="37"/>
    <n v="3.8"/>
    <n v="2732"/>
    <n v="3.9648993905120982"/>
    <s v="High (1,000+)"/>
    <x v="4"/>
    <n v="22.9"/>
    <s v="Bottom 25%"/>
    <b v="0"/>
    <b v="0"/>
    <b v="1"/>
    <n v="1.9"/>
    <n v="1"/>
    <x v="0"/>
    <s v="https://www.amazon.in/Havells-Cista-room-Heater/dp/B078KRFWQB/ref=sr_1_52?qid=1672923593&amp;s=kitchen&amp;sr=1-52"/>
  </r>
  <r>
    <s v="B07SRM58TP"/>
    <s v="AGARO Regal 800 Watts Handheld Vacuum Cleaner, Lightweight &amp; Durable Body, Small/Mini Size ( Black)"/>
    <s v="Home&amp;Kitchen"/>
    <x v="3"/>
    <s v="Kitchen&amp;HomeAppliances"/>
    <s v="HandheldVacuums"/>
    <n v="1665"/>
    <n v="2099"/>
    <n v="21"/>
    <n v="4"/>
    <n v="14368"/>
    <n v="4.0175637236524544"/>
    <s v="High (1,000+)"/>
    <x v="4"/>
    <n v="20.100000000000001"/>
    <s v="Bottom 25%"/>
    <b v="0"/>
    <b v="0"/>
    <b v="0"/>
    <m/>
    <n v="1"/>
    <x v="0"/>
    <s v="https://www.amazon.in/AGARO-800-Watt-Handheld-Cleaner-Durable/dp/B07SRM58TP/ref=sr_1_53?qid=1672923593&amp;s=kitchen&amp;sr=1-53"/>
  </r>
  <r>
    <s v="B00EDJJ7FS"/>
    <s v="Philips Viva Collection HD4928/01 2100-Watt Induction Cooktop with Feather Touch Sensor and Crystal Glass Plate (Black)"/>
    <s v="Home&amp;Kitchen"/>
    <x v="3"/>
    <s v="Kitchen&amp;HomeAppliances"/>
    <s v="InductionCooktop"/>
    <n v="3229"/>
    <n v="5295"/>
    <n v="39"/>
    <n v="4.2"/>
    <n v="39724"/>
    <n v="4.1900184906046896"/>
    <s v="High (1,000+)"/>
    <x v="3"/>
    <n v="53.3"/>
    <s v="Above median"/>
    <b v="0"/>
    <b v="0"/>
    <b v="0"/>
    <n v="1.58"/>
    <n v="1"/>
    <x v="0"/>
    <s v="https://www.amazon.in/Philips-Collection-HD4928-01-2100-Watt/dp/B00EDJJ7FS/ref=sr_1_54?qid=1672923593&amp;s=kitchen&amp;sr=1-54"/>
  </r>
  <r>
    <s v="B0832W3B7Q"/>
    <s v="Pigeon By Stovekraft ABS Plastic Acer Plus Induction Cooktop 1800 Watts With Feather Touch Control - Black"/>
    <s v="Home&amp;Kitchen"/>
    <x v="3"/>
    <s v="Kitchen&amp;HomeAppliances"/>
    <s v="InductionCooktop"/>
    <n v="1799"/>
    <n v="3595"/>
    <n v="50"/>
    <n v="3.8"/>
    <n v="9791"/>
    <n v="3.8790156853713662"/>
    <s v="High (1,000+)"/>
    <x v="4"/>
    <n v="25"/>
    <s v="Bottom 25%"/>
    <b v="0"/>
    <b v="0"/>
    <b v="1"/>
    <n v="0.88"/>
    <n v="1"/>
    <x v="0"/>
    <s v="https://www.amazon.in/Pigeon-Stovekraft-Acer-Plus-Induction/dp/B0832W3B7Q/ref=sr_1_55?qid=1672923593&amp;s=kitchen&amp;sr=1-55"/>
  </r>
  <r>
    <s v="B07WNK1FFN"/>
    <s v="AGARO Esteem Multi Kettle 1.2 Litre, 600W with 3 Heating Modes &amp; Rapid Boil Technology"/>
    <s v="Home&amp;Kitchen"/>
    <x v="3"/>
    <s v="Kitchen&amp;HomeAppliances"/>
    <s v="ElectricKettles"/>
    <n v="1260"/>
    <n v="1699"/>
    <n v="26"/>
    <n v="4.2"/>
    <n v="2891"/>
    <n v="4.1347620187391314"/>
    <s v="High (1,000+)"/>
    <x v="4"/>
    <n v="46.8"/>
    <s v="Below median"/>
    <b v="0"/>
    <b v="0"/>
    <b v="0"/>
    <n v="1.26"/>
    <n v="1"/>
    <x v="0"/>
    <s v="https://www.amazon.in/Agaro-Esteem-Multi-Kettle-1-2/dp/B07WNK1FFN/ref=sr_1_56?qid=1672923593&amp;s=kitchen&amp;sr=1-56"/>
  </r>
  <r>
    <s v="B009P2LK08"/>
    <s v="Bajaj Minor 1000 Watts Radiant Room Heater (Steel, ISI Approved)"/>
    <s v="Home&amp;Kitchen"/>
    <x v="3"/>
    <s v="Heating,Cooling&amp;AirQuality"/>
    <s v="ElectricHeaters"/>
    <n v="749"/>
    <n v="1129"/>
    <n v="34"/>
    <n v="4"/>
    <n v="2446"/>
    <n v="4.0512908257519236"/>
    <s v="High (1,000+)"/>
    <x v="2"/>
    <n v="38.700000000000003"/>
    <s v="Below median"/>
    <b v="0"/>
    <b v="0"/>
    <b v="0"/>
    <n v="0.56999999999999995"/>
    <n v="1"/>
    <x v="0"/>
    <s v="https://www.amazon.in/Bajaj-Minor-1000-Watt-Room-Heater/dp/B009P2LK08/ref=sr_1_57?qid=1672923593&amp;s=kitchen&amp;sr=1-57"/>
  </r>
  <r>
    <s v="B07DGD4Z4C"/>
    <s v="Butterfly Jet Elite Mixer Grinder, 750W, 4 Jars (Grey)"/>
    <s v="Home&amp;Kitchen"/>
    <x v="3"/>
    <s v="Kitchen&amp;HomeAppliances"/>
    <s v="MixerGrinders"/>
    <n v="3499"/>
    <n v="5795"/>
    <n v="40"/>
    <n v="3.9"/>
    <n v="25340"/>
    <n v="3.923870426653409"/>
    <s v="High (1,000+)"/>
    <x v="3"/>
    <n v="18.399999999999999"/>
    <s v="Bottom 25%"/>
    <b v="0"/>
    <b v="0"/>
    <b v="0"/>
    <n v="1.21"/>
    <n v="1"/>
    <x v="0"/>
    <s v="https://www.amazon.in/Butterfly-Jet-Elite-750-Watt-Grinder/dp/B07DGD4Z4C/ref=sr_1_59?qid=1672923593&amp;s=kitchen&amp;sr=1-59"/>
  </r>
  <r>
    <s v="B07GMFY9QM"/>
    <s v="SOFLIN Egg Boiler Electric Automatic Off 7 Egg Poacher for Steaming, Cooking, Boiling and Frying (400 Watts, Blue)"/>
    <s v="Home&amp;Kitchen"/>
    <x v="3"/>
    <s v="Kitchen&amp;HomeAppliances"/>
    <s v="EggBoilers"/>
    <n v="379"/>
    <n v="999"/>
    <n v="62"/>
    <n v="4.3"/>
    <n v="3096"/>
    <n v="4.1818530424554661"/>
    <s v="High (1,000+)"/>
    <x v="0"/>
    <n v="76.099999999999994"/>
    <s v="Top 25%"/>
    <b v="0"/>
    <b v="0"/>
    <b v="0"/>
    <n v="0.54"/>
    <n v="1"/>
    <x v="0"/>
    <s v="https://www.amazon.in/SOFLIN-Electric-Automatic-Poacher-Steaming/dp/B07GMFY9QM/ref=sr_1_60?qid=1672923593&amp;s=kitchen&amp;sr=1-60"/>
  </r>
  <r>
    <s v="B0BGPN4GGH"/>
    <s v="Lifelong LLQH925 Dyno Quartz Heater 2 Power settings Tip Over Cut-off Switch 800 Watt Silent operation Power Indicator 2 Rod Room Heater (1 Year Warranty, Grey)"/>
    <s v="Home&amp;Kitchen"/>
    <x v="3"/>
    <s v="Heating,Cooling&amp;AirQuality"/>
    <s v="ElectricHeaters"/>
    <n v="1099"/>
    <n v="2400"/>
    <n v="54"/>
    <n v="3.8"/>
    <n v="4"/>
    <n v="4.0843326939282667"/>
    <s v="Low (&lt;100)"/>
    <x v="4"/>
    <n v="50.9"/>
    <s v="Above median"/>
    <b v="0"/>
    <b v="0"/>
    <b v="1"/>
    <n v="0.83"/>
    <n v="1"/>
    <x v="0"/>
    <s v="https://www.amazon.in/Lifelong-LLQH925-settings-operation-Indicator/dp/B0BGPN4GGH/ref=sr_1_62?qid=1672923593&amp;s=kitchen&amp;sr=1-62"/>
  </r>
  <r>
    <s v="B0B2DZ5S6R"/>
    <s v="Amazon Basics 1500 W Electric Kettle (Stainless Steel Body, 1.5 L)"/>
    <s v="Home&amp;Kitchen"/>
    <x v="3"/>
    <s v="Kitchen&amp;HomeAppliances"/>
    <s v="Kettle&amp;ToasterSets"/>
    <n v="749"/>
    <n v="1299"/>
    <n v="42"/>
    <n v="4"/>
    <n v="119"/>
    <n v="4.0820402142678907"/>
    <s v="Medium (100-999)"/>
    <x v="2"/>
    <n v="43.5"/>
    <s v="Below median"/>
    <b v="0"/>
    <b v="0"/>
    <b v="0"/>
    <n v="0.63"/>
    <n v="1"/>
    <x v="0"/>
    <s v="https://www.amazon.in/Amazon-Basics-Electric-Kettle-Stainless/dp/B0B2DZ5S6R/ref=sr_1_63?qid=1672923593&amp;s=kitchen&amp;sr=1-63"/>
  </r>
  <r>
    <s v="B07S851WX5"/>
    <s v="Prestige Sandwich Maker PGMFD 01, Black"/>
    <s v="Home&amp;Kitchen"/>
    <x v="3"/>
    <s v="Kitchen&amp;HomeAppliances"/>
    <s v="SandwichMakers"/>
    <n v="1299"/>
    <n v="1299"/>
    <n v="0"/>
    <n v="4.2"/>
    <n v="40106"/>
    <n v="4.1901054080189839"/>
    <s v="High (1,000+)"/>
    <x v="4"/>
    <n v="48.1"/>
    <s v="Below median"/>
    <b v="0"/>
    <b v="0"/>
    <b v="0"/>
    <n v="0.88"/>
    <n v="1"/>
    <x v="0"/>
    <s v="https://www.amazon.in/Prestige-Sandwich-Maker-PGMFD-01/dp/B07S851WX5/ref=sr_1_67?qid=1672923593&amp;s=kitchen&amp;sr=1-67"/>
  </r>
  <r>
    <s v="B01MY839VW"/>
    <s v="Orient Electric Fabrijoy DIFJ10BP 1000-Watt Dry Iron, Non-Stick (White and Blue)"/>
    <s v="Home&amp;Kitchen"/>
    <x v="3"/>
    <s v="Kitchen&amp;HomeAppliances"/>
    <s v="DryIrons"/>
    <n v="549"/>
    <n v="1090"/>
    <n v="50"/>
    <n v="4.2"/>
    <n v="13029"/>
    <n v="4.1741499622833462"/>
    <s v="High (1,000+)"/>
    <x v="2"/>
    <n v="67.2"/>
    <s v="Top 25%"/>
    <b v="0"/>
    <b v="0"/>
    <b v="0"/>
    <n v="0.81"/>
    <n v="1"/>
    <x v="0"/>
    <s v="https://www.amazon.in/Orient-Electric-Fabrijoy-DIFJ10BP-1000-Watt/dp/B01MY839VW/ref=sr_1_69?qid=1672923593&amp;s=kitchen&amp;sr=1-69"/>
  </r>
  <r>
    <s v="B09LV1CMGH"/>
    <s v="Lifelong LLFH921 Regalia 2000 W Fan Heater, 3 Air Settings, Room Heater with Overheating Protection, 1 Year Warranty ( White, (ISI Certified, Ideal for small to medium room/area)"/>
    <s v="Home&amp;Kitchen"/>
    <x v="3"/>
    <s v="Heating,Cooling&amp;AirQuality"/>
    <s v="FanHeaters"/>
    <n v="899"/>
    <n v="2000"/>
    <n v="55"/>
    <n v="3.6"/>
    <n v="291"/>
    <n v="4.0498431211744954"/>
    <s v="Medium (100-999)"/>
    <x v="2"/>
    <n v="47.5"/>
    <s v="Below median"/>
    <b v="0"/>
    <b v="0"/>
    <b v="1"/>
    <n v="0.83"/>
    <n v="1"/>
    <x v="0"/>
    <s v="https://www.amazon.in/Lifelong-LLFH921-Overheating-Protection-Certified/dp/B09LV1CMGH/ref=sr_1_70?qid=1672923593&amp;s=kitchen&amp;sr=1-70"/>
  </r>
  <r>
    <s v="B01EY310UM"/>
    <s v="Philips GC181 Heavy Weight 1000-Watt Dry Iron, Pack of 1"/>
    <s v="Home&amp;Kitchen"/>
    <x v="3"/>
    <s v="Kitchen&amp;HomeAppliances"/>
    <s v="DryIrons"/>
    <n v="1321"/>
    <n v="1545"/>
    <n v="14"/>
    <n v="4.3"/>
    <n v="15453"/>
    <n v="4.2578303500653547"/>
    <s v="High (1,000+)"/>
    <x v="4"/>
    <n v="54.2"/>
    <s v="Above median"/>
    <b v="0"/>
    <b v="0"/>
    <b v="0"/>
    <n v="1.94"/>
    <n v="1"/>
    <x v="0"/>
    <s v="https://www.amazon.in/Philips-GC181-Heavy-Weight-1000-Watt/dp/B01EY310UM/ref=sr_1_71?qid=1672923593&amp;s=kitchen&amp;sr=1-71"/>
  </r>
  <r>
    <s v="B09NL7LBWT"/>
    <s v="Bulfyss USB Rechargeable Lint Remover Fabric Shaver Pet Hair Remover, Effectively and Quickly Remove Fuzz for Clothes, Sweater, Couch, Sofa, Blanket, Curtain, Wool, Cashmere (Grey, 1 Year Warranty)"/>
    <s v="Home&amp;Kitchen"/>
    <x v="3"/>
    <s v="Kitchen&amp;HomeAppliances"/>
    <s v="LintShavers"/>
    <n v="1099"/>
    <n v="1999"/>
    <n v="45"/>
    <n v="4"/>
    <n v="604"/>
    <n v="4.0729277663301993"/>
    <s v="Medium (100-999)"/>
    <x v="4"/>
    <n v="40.299999999999997"/>
    <s v="Below median"/>
    <b v="0"/>
    <b v="1"/>
    <b v="0"/>
    <n v="2.4500000000000002"/>
    <n v="1"/>
    <x v="0"/>
    <s v="https://www.amazon.in/Bulfyss-Rechargeable-Effectively-Cashmere-Warranty/dp/B09NL7LBWT/ref=sr_1_74?qid=1672923593&amp;s=kitchen&amp;sr=1-74"/>
  </r>
  <r>
    <s v="B008YW8M0G"/>
    <s v="Bajaj DX-7 1000W Dry Iron with Advance Soleplate and Anti-bacterial German Coating Technology, White"/>
    <s v="Home&amp;Kitchen"/>
    <x v="3"/>
    <s v="Kitchen&amp;HomeAppliances"/>
    <s v="DryIrons"/>
    <n v="775"/>
    <n v="875"/>
    <n v="11"/>
    <n v="4.2"/>
    <n v="46647"/>
    <n v="4.1913893034384557"/>
    <s v="High (1,000+)"/>
    <x v="2"/>
    <n v="54.2"/>
    <s v="Above median"/>
    <b v="0"/>
    <b v="0"/>
    <b v="0"/>
    <n v="1.1399999999999999"/>
    <n v="1"/>
    <x v="0"/>
    <s v="https://www.amazon.in/Bajaj-DX-1000-Watt-Dry-Iron/dp/B008YW8M0G/ref=sr_1_75?qid=1672923593&amp;s=kitchen&amp;sr=1-75"/>
  </r>
  <r>
    <s v="B097R3XH9R"/>
    <s v="Bajaj New Shakti Neo 25L Vertical Storage Water Heater (Geyser 25 Litres) 4 Star BEE Rated Heater For Water Heating with Titanium Armour, Swirl Flow Technology, Glasslined Tank(White), 1 Yr Warranty"/>
    <s v="Home&amp;Kitchen"/>
    <x v="3"/>
    <s v="Heating,Cooling&amp;AirQuality"/>
    <s v="StorageWaterHeaters"/>
    <n v="6299"/>
    <n v="15270"/>
    <n v="59"/>
    <n v="4.0999999999999996"/>
    <n v="3233"/>
    <n v="4.0917359862312654"/>
    <s v="High (1,000+)"/>
    <x v="3"/>
    <n v="47"/>
    <s v="Below median"/>
    <b v="0"/>
    <b v="0"/>
    <b v="0"/>
    <n v="0.98"/>
    <n v="1"/>
    <x v="0"/>
    <s v="https://www.amazon.in/Bajaj-Shakti-Heater-Multiple-Safety/dp/B097R3XH9R/ref=sr_1_76?qid=1672923593&amp;s=kitchen&amp;sr=1-76"/>
  </r>
  <r>
    <s v="B08TM71L54"/>
    <s v="PHILIPS Handheld Garment Steamer STH3000/20 - Compact &amp; Foldable, Convenient Vertical Steaming, 1000 Watt Quick Heat Up, up to 20g/min, Kills 99.9%* Bacteria (Reno Blue), Small"/>
    <s v="Home&amp;Kitchen"/>
    <x v="3"/>
    <s v="Kitchen&amp;HomeAppliances"/>
    <s v="SteamIrons"/>
    <n v="3190"/>
    <n v="4195"/>
    <n v="24"/>
    <n v="4"/>
    <n v="1282"/>
    <n v="4.0631259969631914"/>
    <s v="High (1,000+)"/>
    <x v="3"/>
    <n v="24"/>
    <s v="Bottom 25%"/>
    <b v="0"/>
    <b v="0"/>
    <b v="0"/>
    <n v="1.05"/>
    <n v="1"/>
    <x v="0"/>
    <s v="https://www.amazon.in/PHILIPS-Handheld-Garment-STH3000-20/dp/B08TM71L54/ref=sr_1_77?qid=1672923593&amp;s=kitchen&amp;sr=1-77"/>
  </r>
  <r>
    <s v="B0BPBXNQQT"/>
    <s v="Room Heater Warmer Wall-Outlet 400 Watts Electric Handy Room Heater (Room Heaters Home for Bedroom, Reading Books, Work, bathrooms, Rooms, Offices, Home Offices,2022"/>
    <s v="Home&amp;Kitchen"/>
    <x v="3"/>
    <s v="Heating,Cooling&amp;AirQuality"/>
    <s v="ElectricHeaters"/>
    <n v="799"/>
    <n v="1989"/>
    <n v="60"/>
    <n v="4.3"/>
    <n v="70"/>
    <n v="4.088568582304192"/>
    <s v="Low (&lt;100)"/>
    <x v="2"/>
    <n v="58.6"/>
    <s v="Above median"/>
    <b v="0"/>
    <b v="0"/>
    <b v="0"/>
    <n v="0.61"/>
    <n v="1"/>
    <x v="0"/>
    <s v="https://www.amazon.in/Wall-Outlet-Electric-Heaters-Bedroom-bathrooms/dp/B0BPBXNQQT/ref=sr_1_78?qid=1672923593&amp;s=kitchen&amp;sr=1-78"/>
  </r>
  <r>
    <s v="B00W56GLOQ"/>
    <s v="Wonderchef Nutri-blend Mixer, Grinder &amp; Blender | Powerful 400W 22000 RPM motor | Stainless steel Blades | 2 unbreakable jars | 2 Years warranty | Online recipe book by Chef Sanjeev Kapoor | Black"/>
    <s v="Home&amp;Kitchen"/>
    <x v="3"/>
    <s v="Kitchen&amp;HomeAppliances"/>
    <s v="JuicerMixerGrinders"/>
    <n v="2699"/>
    <n v="5000"/>
    <n v="46"/>
    <n v="4"/>
    <n v="26164"/>
    <n v="4.0106407061193527"/>
    <s v="High (1,000+)"/>
    <x v="3"/>
    <n v="26.4"/>
    <s v="Bottom 25%"/>
    <b v="0"/>
    <b v="0"/>
    <b v="0"/>
    <n v="1.1599999999999999"/>
    <n v="1"/>
    <x v="0"/>
    <s v="https://www.amazon.in/Wonderchef-Nutri-Blend-Watts-Juicer-Grinder/dp/B00W56GLOQ/ref=sr_1_76?qid=1672923595&amp;s=kitchen&amp;sr=1-76"/>
  </r>
  <r>
    <s v="B0883KDSXC"/>
    <s v="USHA Armor AR1100WB 1100 W Dry Iron with Black Weilburger Soleplate (Purple)"/>
    <s v="Home&amp;Kitchen"/>
    <x v="3"/>
    <s v="Kitchen&amp;HomeAppliances"/>
    <s v="DryIrons"/>
    <n v="599"/>
    <n v="990"/>
    <n v="39"/>
    <n v="3.9"/>
    <n v="16166"/>
    <n v="3.9348590757799542"/>
    <s v="High (1,000+)"/>
    <x v="2"/>
    <n v="30"/>
    <s v="Bottom 25%"/>
    <b v="0"/>
    <b v="0"/>
    <b v="0"/>
    <n v="0.88"/>
    <n v="1"/>
    <x v="0"/>
    <s v="https://www.amazon.in/Armour-AR1100WB-1100-Watt-Soleplate-Purple/dp/B0883KDSXC/ref=sr_1_77?qid=1672923595&amp;s=kitchen&amp;sr=1-77"/>
  </r>
  <r>
    <s v="B078V8R9BS"/>
    <s v="Butterfly EKN 1.5-Litre Electric Kettle (Silver with Black)"/>
    <s v="Home&amp;Kitchen"/>
    <x v="3"/>
    <s v="Kitchen&amp;HomeAppliances"/>
    <s v="Kettle&amp;ToasterSets"/>
    <n v="749"/>
    <n v="1111"/>
    <n v="33"/>
    <n v="4.2"/>
    <n v="35693"/>
    <n v="4.1889987224006999"/>
    <s v="High (1,000+)"/>
    <x v="2"/>
    <n v="60.4"/>
    <s v="Above median"/>
    <b v="0"/>
    <b v="0"/>
    <b v="0"/>
    <n v="0.63"/>
    <n v="1"/>
    <x v="0"/>
    <s v="https://www.amazon.in/Butterfly-EKN-1-5-Litre-Kettle-Silver/dp/B078V8R9BS/ref=sr_1_78?qid=1672923595&amp;s=kitchen&amp;sr=1-78"/>
  </r>
  <r>
    <s v="B08GSQXLJ2"/>
    <s v="Crompton Arno Neo 15-L 5 Star Rated Storage Water Heater (Geyser) with Advanced 3 Level Safety (Grey)"/>
    <s v="Home&amp;Kitchen"/>
    <x v="3"/>
    <s v="Heating,Cooling&amp;AirQuality"/>
    <s v="StorageWaterHeaters"/>
    <n v="6199"/>
    <n v="10400"/>
    <n v="40"/>
    <n v="4.0999999999999996"/>
    <n v="14391"/>
    <n v="4.0968154400903849"/>
    <s v="High (1,000+)"/>
    <x v="3"/>
    <n v="40.4"/>
    <s v="Below median"/>
    <b v="0"/>
    <b v="0"/>
    <b v="0"/>
    <n v="0.97"/>
    <n v="1"/>
    <x v="0"/>
    <s v="https://www.amazon.in/Crompton-Arno-Neo-ASWH-3015-Star-Rated/dp/B08GSQXLJ2/ref=sr_1_79?qid=1672923595&amp;s=kitchen&amp;sr=1-79"/>
  </r>
  <r>
    <s v="B01M5B0TPW"/>
    <s v="Borosil Chef Delite BCH20DBB21 300-Watt Chopper (Black)"/>
    <s v="Home&amp;Kitchen"/>
    <x v="3"/>
    <s v="Kitchen&amp;HomeAppliances"/>
    <s v="MiniFoodProcessors&amp;Choppers"/>
    <n v="1819"/>
    <n v="2490"/>
    <n v="27"/>
    <n v="4.4000000000000004"/>
    <n v="7946"/>
    <n v="4.2986581621626012"/>
    <s v="High (1,000+)"/>
    <x v="4"/>
    <n v="58.3"/>
    <s v="Above median"/>
    <b v="0"/>
    <b v="0"/>
    <b v="0"/>
    <m/>
    <n v="1"/>
    <x v="0"/>
    <s v="https://www.amazon.in/Borosil-Plastic-Chefdelite-BCH20DBB21-Technology/dp/B01M5B0TPW/ref=sr_1_80?qid=1672923595&amp;s=kitchen&amp;sr=1-80"/>
  </r>
  <r>
    <s v="B082KVTRW8"/>
    <s v="KENT 16055 Amaze Cool Touch Electric Kettle 1.8 L 1500 W | Plastic Outer &amp; Stainless Steel Inside body | Auto shut off Over heating protection | Multipurpose hot water Kettle | 1 Year Warranty"/>
    <s v="Home&amp;Kitchen"/>
    <x v="3"/>
    <s v="Kitchen&amp;HomeAppliances"/>
    <s v="Kettle&amp;ToasterSets"/>
    <n v="1199"/>
    <n v="1900"/>
    <n v="37"/>
    <n v="4"/>
    <n v="1765"/>
    <n v="4.0576099668350638"/>
    <s v="High (1,000+)"/>
    <x v="4"/>
    <n v="33.200000000000003"/>
    <s v="Bottom 25%"/>
    <b v="0"/>
    <b v="0"/>
    <b v="0"/>
    <n v="1.01"/>
    <n v="1"/>
    <x v="0"/>
    <s v="https://www.amazon.in/Amaze-Litre-Electric-Kettle-Stainless/dp/B082KVTRW8/ref=sr_1_81?qid=1672923595&amp;s=kitchen&amp;sr=1-81"/>
  </r>
  <r>
    <s v="B08CFJBZRK"/>
    <s v="Prestige IRIS Plus 750 watt mixer grinder"/>
    <s v="Home&amp;Kitchen"/>
    <x v="3"/>
    <s v="Kitchen&amp;HomeAppliances"/>
    <s v="MixerGrinders"/>
    <n v="3249"/>
    <n v="6295"/>
    <n v="48"/>
    <n v="3.8"/>
    <n v="14062"/>
    <n v="3.8600824197975152"/>
    <s v="High (1,000+)"/>
    <x v="3"/>
    <n v="21.2"/>
    <s v="Bottom 25%"/>
    <b v="0"/>
    <b v="0"/>
    <b v="1"/>
    <n v="1.1200000000000001"/>
    <n v="1"/>
    <x v="0"/>
    <s v="https://www.amazon.in/Prestige-IRIS-mixer-grinder-Black/dp/B08CFJBZRK/ref=sr_1_82?qid=1672923595&amp;s=kitchen&amp;sr=1-82"/>
  </r>
  <r>
    <s v="B07H3WDC4X"/>
    <s v="Simxen Egg Boiler Electric Automatic Off 7 Egg Poacher for Steaming, Cooking Also Boiling and Frying 400 W (Blue, Pink)"/>
    <s v="Home&amp;Kitchen"/>
    <x v="3"/>
    <s v="Kitchen&amp;HomeAppliances"/>
    <s v="EggBoilers"/>
    <n v="349"/>
    <n v="999"/>
    <n v="65"/>
    <n v="4"/>
    <n v="15646"/>
    <n v="4.016407197448582"/>
    <s v="High (1,000+)"/>
    <x v="0"/>
    <n v="49.6"/>
    <s v="Below median"/>
    <b v="0"/>
    <b v="0"/>
    <b v="0"/>
    <n v="0.5"/>
    <n v="1"/>
    <x v="0"/>
    <s v="https://www.amazon.in/Simxen-Electric-Automatic-Steaming-Multicolour/dp/B07H3WDC4X/ref=sr_1_83?qid=1672923595&amp;s=kitchen&amp;sr=1-83"/>
  </r>
  <r>
    <s v="B09ZTZ9N3Q"/>
    <s v="Amazon Basics 2000/1000 Watt Room Heater with Adjustable Thermostat (ISI certified, White color, Ideal for small to medium room/area)"/>
    <s v="Home&amp;Kitchen"/>
    <x v="3"/>
    <s v="Heating,Cooling&amp;AirQuality"/>
    <s v="FanHeaters"/>
    <n v="1049"/>
    <n v="1699"/>
    <n v="38"/>
    <n v="3.1"/>
    <n v="111"/>
    <n v="4.0564190245723033"/>
    <s v="Medium (100-999)"/>
    <x v="4"/>
    <n v="38.6"/>
    <s v="Bottom 25%"/>
    <b v="0"/>
    <b v="0"/>
    <b v="1"/>
    <n v="0.97"/>
    <n v="1"/>
    <x v="0"/>
    <s v="https://www.amazon.in/Amazon-Basics-Adjustable-Thermostat-certified/dp/B09ZTZ9N3Q/ref=sr_1_86?qid=1672923595&amp;s=kitchen&amp;sr=1-86"/>
  </r>
  <r>
    <s v="B083P71WKK"/>
    <s v="HealthSense Weight Machine for Kitchen, Kitchen Food Weighing Scale for Health, Fitness, Home Baking &amp; Cooking with Hanging Design, Touch Button, Tare Function &amp; 1 Year Warranty – Chef-Mate KS 40"/>
    <s v="Home&amp;Kitchen"/>
    <x v="3"/>
    <s v="Kitchen&amp;HomeAppliances"/>
    <s v="DigitalScales"/>
    <n v="799"/>
    <n v="1500"/>
    <n v="47"/>
    <n v="4.3"/>
    <n v="9695"/>
    <n v="4.2397874116054846"/>
    <s v="High (1,000+)"/>
    <x v="2"/>
    <n v="69.400000000000006"/>
    <s v="Top 25%"/>
    <b v="0"/>
    <b v="0"/>
    <b v="0"/>
    <m/>
    <n v="1"/>
    <x v="0"/>
    <s v="https://www.amazon.in/HealthSense-Chef-Mate-KS-40-Weighing/dp/B083P71WKK/ref=sr_1_87?qid=1672923595&amp;s=kitchen&amp;sr=1-87"/>
  </r>
  <r>
    <s v="B097R4D42G"/>
    <s v="Bajaj New Shakti Neo 10L Vertical Storage Water Heater (Geyser 10 Litres) 4 Star BEE Rated Heater For Water Heating with Titanium Armour, Swirl Flow Technology, Glasslined Tank(White), 1 Yr Warranty"/>
    <s v="Home&amp;Kitchen"/>
    <x v="3"/>
    <s v="Heating,Cooling&amp;AirQuality"/>
    <s v="StorageWaterHeaters"/>
    <n v="4999"/>
    <n v="9650"/>
    <n v="48"/>
    <n v="4.2"/>
    <n v="1772"/>
    <n v="4.1215717936002916"/>
    <s v="High (1,000+)"/>
    <x v="3"/>
    <n v="49.9"/>
    <s v="Below median"/>
    <b v="0"/>
    <b v="0"/>
    <b v="0"/>
    <n v="0.78"/>
    <n v="1"/>
    <x v="0"/>
    <s v="https://www.amazon.in/Bajaj-Shakti-Heater-Multiple-Safety/dp/B097R4D42G/ref=sr_1_91?qid=1672923595&amp;s=kitchen&amp;sr=1-91"/>
  </r>
  <r>
    <s v="B07MKMFKPG"/>
    <s v="Bosch Pro 1000W Mixer Grinder MGM8842MIN - Black"/>
    <s v="Home&amp;Kitchen"/>
    <x v="3"/>
    <s v="Kitchen&amp;HomeAppliances"/>
    <s v="MixerGrinders"/>
    <n v="6999"/>
    <n v="10590"/>
    <n v="34"/>
    <n v="4.4000000000000004"/>
    <n v="11499"/>
    <n v="4.3222513574472243"/>
    <s v="High (1,000+)"/>
    <x v="3"/>
    <n v="57.3"/>
    <s v="Above median"/>
    <b v="0"/>
    <b v="0"/>
    <b v="0"/>
    <n v="2.41"/>
    <n v="1"/>
    <x v="0"/>
    <s v="https://www.amazon.in/Bosch-TrueMixx-Pro-Grinder-Watt-MGM8842MIN/dp/B07MKMFKPG/ref=sr_1_92?qid=1672923595&amp;s=kitchen&amp;sr=1-92"/>
  </r>
  <r>
    <s v="B0949FPSFY"/>
    <s v="Bulfyss Stainless Steel Digital Kitchen Weighing Scale &amp; Food Weight Machine for Diet, Nutrition, Health, Fitness, Baking &amp; Cooking (5Kgs, Stainless Steel, 2 Years Warranty)"/>
    <s v="Home&amp;Kitchen"/>
    <x v="3"/>
    <s v="Kitchen&amp;HomeAppliances"/>
    <s v="DigitalKitchenScales"/>
    <n v="799"/>
    <n v="1999"/>
    <n v="60"/>
    <n v="4.0999999999999996"/>
    <n v="2162"/>
    <n v="4.0902420612171184"/>
    <s v="High (1,000+)"/>
    <x v="2"/>
    <n v="56.5"/>
    <s v="Above median"/>
    <b v="0"/>
    <b v="0"/>
    <b v="0"/>
    <n v="1.63"/>
    <n v="1"/>
    <x v="0"/>
    <s v="https://www.amazon.in/Bulfyss-Stainless-Weighing-Nutrition-Warranty/dp/B0949FPSFY/ref=sr_1_93?qid=1672923595&amp;s=kitchen&amp;sr=1-93"/>
  </r>
  <r>
    <s v="B08F47T4X5"/>
    <s v="VR 18 Pcs - 3 Different Size Plastic Food Snack Bag Pouch Clip Sealer Large, Medium, Small Plastic Snack Seal Sealing Bag Clips Vacuum Sealer (Set of 18, Multi-Color) (Multicolor)"/>
    <s v="Home&amp;Kitchen"/>
    <x v="3"/>
    <s v="Kitchen&amp;HomeAppliances"/>
    <s v="VacuumSealers"/>
    <n v="89"/>
    <n v="89"/>
    <n v="0"/>
    <n v="4.2"/>
    <n v="19621"/>
    <n v="4.1814372994496463"/>
    <s v="High (1,000+)"/>
    <x v="0"/>
    <n v="56.8"/>
    <s v="Above median"/>
    <b v="0"/>
    <b v="0"/>
    <b v="0"/>
    <m/>
    <n v="1"/>
    <x v="0"/>
    <s v="https://www.amazon.in/VR-Pcs-Different-Multi-Color-Multicolor/dp/B08F47T4X5/ref=sr_1_94?qid=1672923595&amp;s=kitchen&amp;sr=1-94"/>
  </r>
  <r>
    <s v="B01M0505SJ"/>
    <s v="Orient Electric Apex-FX 1200mm Ultra High Speed 400 RPM Ceiling Fan (Brown)"/>
    <s v="Home&amp;Kitchen"/>
    <x v="3"/>
    <s v="Heating,Cooling&amp;AirQuality"/>
    <s v="CeilingFans"/>
    <n v="1400"/>
    <n v="2485"/>
    <n v="44"/>
    <n v="4.0999999999999996"/>
    <n v="19998"/>
    <n v="4.0975669321639199"/>
    <s v="High (1,000+)"/>
    <x v="4"/>
    <n v="52.5"/>
    <s v="Above median"/>
    <b v="0"/>
    <b v="0"/>
    <b v="0"/>
    <n v="0.7"/>
    <n v="1"/>
    <x v="0"/>
    <s v="https://www.amazon.in/Orient-Electric-Apex-FX-1200mm-Ceiling/dp/B01M0505SJ/ref=sr_1_95?qid=1672923595&amp;s=kitchen&amp;sr=1-95"/>
  </r>
  <r>
    <s v="B08D6RCM3Q"/>
    <s v="PrettyKrafts Folding Laundry Basket for Clothes with Lid &amp; Handle, Toys Organiser, 75 Litre, (Pack of 1), Mushroom Print"/>
    <s v="Home&amp;Kitchen"/>
    <x v="3"/>
    <s v="HomeStorage&amp;Organization"/>
    <s v="LaundryBaskets"/>
    <n v="355"/>
    <n v="899"/>
    <n v="61"/>
    <n v="4.0999999999999996"/>
    <n v="1051"/>
    <n v="4.0879898393436829"/>
    <s v="High (1,000+)"/>
    <x v="0"/>
    <n v="51.7"/>
    <s v="Above median"/>
    <b v="0"/>
    <b v="0"/>
    <b v="0"/>
    <n v="1.01"/>
    <n v="1"/>
    <x v="0"/>
    <s v="https://www.amazon.in/PrettyKrafts-Laundry-Clothes-Storage-Mushroom/dp/B08D6RCM3Q/ref=sr_1_96?qid=1672923595&amp;s=kitchen&amp;sr=1-96"/>
  </r>
  <r>
    <s v="B009P2LITG"/>
    <s v="Bajaj Majesty RX11 2000 Watts Heat Convector Room Heater (White, ISI Approved)"/>
    <s v="Home&amp;Kitchen"/>
    <x v="3"/>
    <s v="Heating,Cooling&amp;AirQuality"/>
    <s v="ElectricHeaters"/>
    <n v="2169"/>
    <n v="3279"/>
    <n v="34"/>
    <n v="4.0999999999999996"/>
    <n v="1716"/>
    <n v="4.0894476757654132"/>
    <s v="High (1,000+)"/>
    <x v="4"/>
    <n v="39.1"/>
    <s v="Below median"/>
    <b v="0"/>
    <b v="0"/>
    <b v="0"/>
    <n v="1.65"/>
    <n v="1"/>
    <x v="0"/>
    <s v="https://www.amazon.in/Bajaj-RX-11-2000-Watt-Convector/dp/B009P2LITG/ref=sr_1_98?qid=1672923595&amp;s=kitchen&amp;sr=1-98"/>
  </r>
  <r>
    <s v="B00V9NHDI4"/>
    <s v="Eureka Forbes Trendy Zip 1000 Watts powerful suction vacuum cleaner with resuable dust bag &amp; 5 accessories,1 year warrantycompact,light weight &amp; easy to use (Black)"/>
    <s v="Home&amp;Kitchen"/>
    <x v="3"/>
    <s v="Kitchen&amp;HomeAppliances"/>
    <s v="CanisterVacuums"/>
    <n v="2799"/>
    <n v="3799"/>
    <n v="26"/>
    <n v="3.9"/>
    <n v="32931"/>
    <n v="3.9189322112003708"/>
    <s v="High (1,000+)"/>
    <x v="3"/>
    <n v="13.8"/>
    <s v="Bottom 25%"/>
    <b v="0"/>
    <b v="0"/>
    <b v="0"/>
    <m/>
    <n v="1"/>
    <x v="0"/>
    <s v="https://www.amazon.in/Eureka-Forbes-Trendy-Zip-1000-Watt/dp/B00V9NHDI4/ref=sr_1_99?qid=1672923595&amp;s=kitchen&amp;sr=1-99"/>
  </r>
  <r>
    <s v="B07WGPBXY9"/>
    <s v="Pigeon by Stovekraft Quartz Electric Kettle (14299) 1.7 Litre with Stainless Steel Body, used for boiling Water, making tea and coffee, instant noodles, soup etc. 1500 Watt (Silver)"/>
    <s v="Home&amp;Kitchen"/>
    <x v="3"/>
    <s v="Kitchen&amp;HomeAppliances"/>
    <s v="ElectricKettles"/>
    <n v="899"/>
    <n v="1249"/>
    <n v="28"/>
    <n v="3.9"/>
    <n v="17424"/>
    <n v="3.932789233317481"/>
    <s v="High (1,000+)"/>
    <x v="2"/>
    <n v="23"/>
    <s v="Bottom 25%"/>
    <b v="0"/>
    <b v="0"/>
    <b v="0"/>
    <n v="0.9"/>
    <n v="1"/>
    <x v="0"/>
    <s v="https://www.amazon.in/Pigeon-Stovekraft-Quartz-Electric-Kettle/dp/B07WGPBXY9/ref=sr_1_100?qid=1672923595&amp;s=kitchen&amp;sr=1-100"/>
  </r>
  <r>
    <s v="B00KRCBA6E"/>
    <s v="Maharaja Whiteline Lava Neo 1200-Watts Halogen Heater (White and Red)"/>
    <s v="Home&amp;Kitchen"/>
    <x v="3"/>
    <s v="Heating,Cooling&amp;AirQuality"/>
    <s v="RoomHeaters"/>
    <n v="2499"/>
    <n v="5000"/>
    <n v="50"/>
    <n v="3.8"/>
    <n v="1889"/>
    <n v="3.9894964331028602"/>
    <s v="High (1,000+)"/>
    <x v="4"/>
    <n v="30"/>
    <s v="Bottom 25%"/>
    <b v="0"/>
    <b v="0"/>
    <b v="1"/>
    <m/>
    <n v="1"/>
    <x v="0"/>
    <s v="https://www.amazon.in/Maharaja-Whiteline-Lava-1200-Watt-Helogen/dp/B00KRCBA6E/ref=sr_1_101?qid=1672923595&amp;s=kitchen&amp;sr=1-101"/>
  </r>
  <r>
    <s v="B0B3X2BY3M"/>
    <s v="Crompton Gracee 5-L Instant Water Heater (Geyser)"/>
    <s v="Home&amp;Kitchen"/>
    <x v="3"/>
    <s v="Heating,Cooling&amp;AirQuality"/>
    <s v="InstantWaterHeaters"/>
    <n v="3599"/>
    <n v="7299"/>
    <n v="51"/>
    <n v="4"/>
    <n v="10324"/>
    <n v="4.022605976763626"/>
    <s v="High (1,000+)"/>
    <x v="3"/>
    <n v="31.7"/>
    <s v="Bottom 25%"/>
    <b v="0"/>
    <b v="0"/>
    <b v="0"/>
    <n v="1.38"/>
    <n v="1"/>
    <x v="0"/>
    <s v="https://www.amazon.in/Crompton-Gracee-Instant-Heater-Geyser/dp/B0B3X2BY3M/ref=sr_1_102?qid=1672923595&amp;s=kitchen&amp;sr=1-102"/>
  </r>
  <r>
    <s v="B00F159RIK"/>
    <s v="Bajaj DX-2 600W Dry Iron with Advance Soleplate and Anti-bacterial German Coating Technology, Black"/>
    <s v="Home&amp;Kitchen"/>
    <x v="3"/>
    <s v="Kitchen&amp;HomeAppliances"/>
    <s v="DryIrons"/>
    <n v="499"/>
    <n v="625"/>
    <n v="20"/>
    <n v="4.2"/>
    <n v="5355"/>
    <n v="4.1523925518706681"/>
    <s v="High (1,000+)"/>
    <x v="0"/>
    <n v="53.6"/>
    <s v="Above median"/>
    <b v="0"/>
    <b v="0"/>
    <b v="0"/>
    <n v="0.73"/>
    <n v="1"/>
    <x v="0"/>
    <s v="https://www.amazon.in/Bajaj-DX-600-Watts-Light-Weight/dp/B00F159RIK/ref=sr_1_100?qid=1672923596&amp;s=kitchen&amp;sr=1-100"/>
  </r>
  <r>
    <s v="B08MV82R99"/>
    <s v="Bajaj Waterproof 1500 Watts Immersion Rod Heater"/>
    <s v="Home&amp;Kitchen"/>
    <x v="3"/>
    <s v="Heating,Cooling&amp;AirQuality"/>
    <s v="ImmersionRods"/>
    <n v="653"/>
    <n v="1020"/>
    <n v="36"/>
    <n v="4.0999999999999996"/>
    <n v="3366"/>
    <n v="4.0918901720811967"/>
    <s v="High (1,000+)"/>
    <x v="2"/>
    <n v="49.3"/>
    <s v="Below median"/>
    <b v="0"/>
    <b v="0"/>
    <b v="0"/>
    <m/>
    <n v="1"/>
    <x v="0"/>
    <s v="https://www.amazon.in/Bajaj-Waterproof-Watts-Immersion-Heater/dp/B08MV82R99/ref=sr_1_101?qid=1672923596&amp;s=kitchen&amp;sr=1-101"/>
  </r>
  <r>
    <s v="B09VKWGZD7"/>
    <s v="AGARO Supreme High Pressure Washer, 1800 Watts, 120 Bars, 6.5L/Min Flow Rate, 8 Meters Outlet Hose, Portable, for Car,Bike and Home Cleaning Purpose, Black and Orange"/>
    <s v="Home&amp;Kitchen"/>
    <x v="3"/>
    <s v="Kitchen&amp;HomeAppliances"/>
    <s v="PressureWashers,Steam&amp;WindowCleaners"/>
    <n v="4789"/>
    <n v="8990"/>
    <n v="47"/>
    <n v="4.3"/>
    <n v="1017"/>
    <n v="4.1304611552841974"/>
    <s v="High (1,000+)"/>
    <x v="3"/>
    <n v="48.8"/>
    <s v="Below median"/>
    <b v="0"/>
    <b v="0"/>
    <b v="0"/>
    <m/>
    <n v="1"/>
    <x v="0"/>
    <s v="https://www.amazon.in/Supreme-Pressure-Portable-Cleaning-Purpose/dp/B09VKWGZD7/ref=sr_1_102?qid=1672923596&amp;s=kitchen&amp;sr=1-102"/>
  </r>
  <r>
    <s v="B009P2LK80"/>
    <s v="Bajaj Deluxe 2000 Watts Halogen Room Heater (Steel, ISI Approved), Multicolor"/>
    <s v="Home&amp;Kitchen"/>
    <x v="3"/>
    <s v="Heating,Cooling&amp;AirQuality"/>
    <s v="HalogenHeaters"/>
    <n v="1409"/>
    <n v="1639"/>
    <n v="14"/>
    <n v="3.7"/>
    <n v="787"/>
    <n v="4.0180984925114442"/>
    <s v="Medium (100-999)"/>
    <x v="4"/>
    <n v="24.1"/>
    <s v="Bottom 25%"/>
    <b v="0"/>
    <b v="0"/>
    <b v="1"/>
    <m/>
    <n v="1"/>
    <x v="0"/>
    <s v="https://www.amazon.in/Bajaj-Delux-2000-Watt-Room-Heater/dp/B009P2LK80/ref=sr_1_103?qid=1672923596&amp;s=kitchen&amp;sr=1-103"/>
  </r>
  <r>
    <s v="B00A7PLVU6"/>
    <s v="Orpat HHB-100E WOB 250-Watt Hand Blender (White)"/>
    <s v="Home&amp;Kitchen"/>
    <x v="3"/>
    <s v="Kitchen&amp;HomeAppliances"/>
    <s v="HandBlenders"/>
    <n v="753"/>
    <n v="899"/>
    <n v="16"/>
    <n v="4.2"/>
    <n v="18462"/>
    <n v="4.1804692610263814"/>
    <s v="High (1,000+)"/>
    <x v="2"/>
    <n v="52.8"/>
    <s v="Above median"/>
    <b v="0"/>
    <b v="0"/>
    <b v="0"/>
    <n v="1.08"/>
    <n v="1"/>
    <x v="0"/>
    <s v="https://www.amazon.in/Orpat-HHB-100E-WOB-250-Watt-Blender/dp/B00A7PLVU6/ref=sr_1_104?qid=1672923596&amp;s=kitchen&amp;sr=1-104"/>
  </r>
  <r>
    <s v="B0B25DJ352"/>
    <s v="GILTON Egg Boiler Electric Automatic Off 7 Egg Poacher for Steaming, Cooking Also Boiling and Frying, Multi Color"/>
    <s v="Home&amp;Kitchen"/>
    <x v="3"/>
    <s v="Kitchen&amp;HomeAppliances"/>
    <s v="EggBoilers"/>
    <n v="353"/>
    <n v="1199"/>
    <n v="71"/>
    <n v="4.3"/>
    <n v="629"/>
    <n v="4.1154819746512157"/>
    <s v="Medium (100-999)"/>
    <x v="0"/>
    <n v="73.8"/>
    <s v="Top 25%"/>
    <b v="0"/>
    <b v="0"/>
    <b v="0"/>
    <n v="0.51"/>
    <n v="1"/>
    <x v="0"/>
    <s v="https://www.amazon.in/Egg-Boiler-Electric-Automatic-Steaming/dp/B0B25DJ352/ref=sr_1_105?qid=1672923596&amp;s=kitchen&amp;sr=1-105"/>
  </r>
  <r>
    <s v="B013B2WGT6"/>
    <s v="HealthSense Chef-Mate KS 33 Digital Kitchen Weighing Scale &amp; Food Weight Machine for Health, Fitness, Home Baking &amp; Cooking with Free Bowl, 1 Year Warranty &amp; Batteries Included"/>
    <s v="Home&amp;Kitchen"/>
    <x v="3"/>
    <s v="Kitchen&amp;HomeAppliances"/>
    <s v="DigitalKitchenScales"/>
    <n v="1099"/>
    <n v="1899"/>
    <n v="42"/>
    <n v="4.3"/>
    <n v="15276"/>
    <n v="4.257438300899798"/>
    <s v="High (1,000+)"/>
    <x v="4"/>
    <n v="65.599999999999994"/>
    <s v="Top 25%"/>
    <b v="0"/>
    <b v="0"/>
    <b v="0"/>
    <n v="2.25"/>
    <n v="1"/>
    <x v="0"/>
    <s v="https://www.amazon.in/Health-Sense-Chef-Mate-Digital-Scale-KS33/dp/B013B2WGT6/ref=sr_1_106?qid=1672923596&amp;s=kitchen&amp;sr=1-106"/>
  </r>
  <r>
    <s v="B097RJ867P"/>
    <s v="PHILIPS Digital Air Fryer HD9252/90 with Touch Panel, uses up to 90% less fat, 7 Pre-set Menu, 1400W, 4.1 Liter, with Rapid Air Technology (Black), Large"/>
    <s v="Home&amp;Kitchen"/>
    <x v="3"/>
    <s v="Kitchen&amp;HomeAppliances"/>
    <s v="AirFryers"/>
    <n v="8799"/>
    <n v="11595"/>
    <n v="24"/>
    <n v="4.4000000000000004"/>
    <n v="2981"/>
    <n v="4.2240437594247524"/>
    <s v="High (1,000+)"/>
    <x v="3"/>
    <n v="47.6"/>
    <s v="Below median"/>
    <b v="0"/>
    <b v="0"/>
    <b v="0"/>
    <m/>
    <n v="1"/>
    <x v="0"/>
    <s v="https://www.amazon.in/PHILIPS-Digital-HD9252-90-Technology/dp/B097RJ867P/ref=sr_1_107?qid=1672923596&amp;s=kitchen&amp;sr=1-107"/>
  </r>
  <r>
    <s v="B091V8HK8Z"/>
    <s v="Milton Go Electro 2.0 Stainless Steel Electric Kettle, 1 Piece, 2 Litres, Silver | Power Indicator | 1500 Watts | Auto Cut-off | Detachable 360 Degree Connector | Boiler for Water"/>
    <s v="Home&amp;Kitchen"/>
    <x v="3"/>
    <s v="Kitchen&amp;HomeAppliances"/>
    <s v="ElectricKettles"/>
    <n v="1345"/>
    <n v="1750"/>
    <n v="23"/>
    <n v="3.8"/>
    <n v="2466"/>
    <n v="3.9719417342346972"/>
    <s v="High (1,000+)"/>
    <x v="4"/>
    <n v="19.3"/>
    <s v="Bottom 25%"/>
    <b v="0"/>
    <b v="0"/>
    <b v="1"/>
    <n v="1.35"/>
    <n v="1"/>
    <x v="0"/>
    <s v="https://www.amazon.in/Milton-Electric-Stainless-Kettle-Litres/dp/B091V8HK8Z/ref=sr_1_108?qid=1672923596&amp;s=kitchen&amp;sr=1-108"/>
  </r>
  <r>
    <s v="B071VNHMX2"/>
    <s v="Philips Daily Collection HD2582/00 830-Watt 2-Slice Pop-up Toaster (White)"/>
    <s v="Home&amp;Kitchen"/>
    <x v="3"/>
    <s v="Kitchen&amp;HomeAppliances"/>
    <s v="Pop-upToasters"/>
    <n v="2095"/>
    <n v="2095"/>
    <n v="0"/>
    <n v="4.5"/>
    <n v="7949"/>
    <n v="4.3665575794459137"/>
    <s v="High (1,000+)"/>
    <x v="4"/>
    <n v="54.3"/>
    <s v="Above median"/>
    <b v="0"/>
    <b v="0"/>
    <b v="0"/>
    <m/>
    <n v="1"/>
    <x v="0"/>
    <s v="https://www.amazon.in/Philips-Collection-HD2582-00-830-Watt/dp/B071VNHMX2/ref=sr_1_109?qid=1672923596&amp;s=kitchen&amp;sr=1-109"/>
  </r>
  <r>
    <s v="B08MVSGXMY"/>
    <s v="Crompton Insta Comfy 800 Watt Room Heater with 2 Heat Settings(Grey Blue)"/>
    <s v="Home&amp;Kitchen"/>
    <x v="3"/>
    <s v="Heating,Cooling&amp;AirQuality"/>
    <s v="ElectricHeaters"/>
    <n v="1498"/>
    <n v="2300"/>
    <n v="35"/>
    <n v="3.8"/>
    <n v="95"/>
    <n v="4.0776251695867307"/>
    <s v="Low (&lt;100)"/>
    <x v="4"/>
    <n v="37.9"/>
    <s v="Bottom 25%"/>
    <b v="0"/>
    <b v="0"/>
    <b v="1"/>
    <n v="1.1399999999999999"/>
    <n v="1"/>
    <x v="0"/>
    <s v="https://www.amazon.in/Crompton-Insta-Comfy-Heater-Settings/dp/B08MVSGXMY/ref=sr_1_110?qid=1672923596&amp;s=kitchen&amp;sr=1-110"/>
  </r>
  <r>
    <s v="B00H0B29DI"/>
    <s v="USHA Heat Convector 812 T 2000-Watt with Instant Heating Feature (Black)"/>
    <s v="Home&amp;Kitchen"/>
    <x v="3"/>
    <s v="Heating,Cooling&amp;AirQuality"/>
    <s v="HeatConvectors"/>
    <n v="2199"/>
    <n v="2990"/>
    <n v="26"/>
    <n v="3.8"/>
    <n v="1558"/>
    <n v="4.0012854227386176"/>
    <s v="High (1,000+)"/>
    <x v="4"/>
    <n v="21.2"/>
    <s v="Bottom 25%"/>
    <b v="0"/>
    <b v="0"/>
    <b v="1"/>
    <m/>
    <n v="1"/>
    <x v="0"/>
    <s v="https://www.amazon.in/Usha-Convector-2000-Watt-Instant-Heating/dp/B00H0B29DI/ref=sr_1_111?qid=1672923596&amp;s=kitchen&amp;sr=1-111"/>
  </r>
  <r>
    <s v="B01GZSQJPA"/>
    <s v="Philips HL7756/00 Mixer Grinder, 750W, 3 Jars (Black)"/>
    <s v="Home&amp;Kitchen"/>
    <x v="3"/>
    <s v="Kitchen&amp;HomeAppliances"/>
    <s v="MixerGrinders"/>
    <n v="3699"/>
    <n v="4295"/>
    <n v="14"/>
    <n v="4.0999999999999996"/>
    <n v="26543"/>
    <n v="4.0980923954952342"/>
    <s v="High (1,000+)"/>
    <x v="3"/>
    <n v="33.299999999999997"/>
    <s v="Bottom 25%"/>
    <b v="0"/>
    <b v="0"/>
    <b v="0"/>
    <n v="1.28"/>
    <n v="1"/>
    <x v="0"/>
    <s v="https://www.amazon.in/Philips-HL7756-00-750-Watt-Grinder/dp/B01GZSQJPA/ref=sr_1_115?qid=1672923596&amp;s=kitchen&amp;sr=1-115"/>
  </r>
  <r>
    <s v="B08VGFX2B6"/>
    <s v="Kuber Industries Waterproof Round Non Wovan Laundry Bag/Hamper|Metalic Printed With Handles|Foldable Bin &amp; 45 Liter Capicity|Size 37 x 37 x 49, Pack of 1 (Beige &amp; Brown)-KUBMART11450"/>
    <s v="Home&amp;Kitchen"/>
    <x v="3"/>
    <s v="HomeStorage&amp;Organization"/>
    <s v="LaundryBaskets"/>
    <n v="177"/>
    <n v="199"/>
    <n v="11"/>
    <n v="4.0999999999999996"/>
    <n v="3688"/>
    <n v="4.0922406672949219"/>
    <s v="High (1,000+)"/>
    <x v="0"/>
    <n v="40"/>
    <s v="Below median"/>
    <b v="0"/>
    <b v="0"/>
    <b v="0"/>
    <n v="0.5"/>
    <n v="1"/>
    <x v="0"/>
    <s v="https://www.amazon.in/Kuber-Industries-Foldable-Laundry-KUBMART11450/dp/B08VGFX2B6/ref=sr_1_116?qid=1672923596&amp;s=kitchen&amp;sr=1-116"/>
  </r>
  <r>
    <s v="B09GYBZPHF"/>
    <s v="Lifelong LLMG93 500 Watt Duos Mixer Grinder, 2 Stainless Steel Jar (Liquidizing and Chutney Jar)| ABS Body, Stainless Steel Blades, 3 Speed Options with Whip (1 Year Warranty, Black)"/>
    <s v="Home&amp;Kitchen"/>
    <x v="3"/>
    <s v="Kitchen&amp;HomeAppliances"/>
    <s v="MixerGrinders"/>
    <n v="1149"/>
    <n v="2499"/>
    <n v="54"/>
    <n v="3.8"/>
    <n v="4383"/>
    <n v="3.931476163732222"/>
    <s v="High (1,000+)"/>
    <x v="4"/>
    <n v="32.4"/>
    <s v="Bottom 25%"/>
    <b v="0"/>
    <b v="0"/>
    <b v="1"/>
    <n v="0.4"/>
    <n v="1"/>
    <x v="0"/>
    <s v="https://www.amazon.in/Lifelong-LLMG93-Stainless-Liquidizing-Warranty/dp/B09GYBZPHF/ref=sr_1_118?qid=1672923596&amp;s=kitchen&amp;sr=1-118"/>
  </r>
  <r>
    <s v="B0B4KPCBSH"/>
    <s v="IKEA Frother for Milk"/>
    <s v="Home&amp;Kitchen"/>
    <x v="3"/>
    <s v="Kitchen&amp;HomeAppliances"/>
    <s v="ElectricGrinders"/>
    <n v="244"/>
    <n v="499"/>
    <n v="51"/>
    <n v="3.3"/>
    <n v="478"/>
    <n v="3.9961889144395268"/>
    <s v="Medium (100-999)"/>
    <x v="0"/>
    <n v="41.8"/>
    <s v="Below median"/>
    <b v="0"/>
    <b v="0"/>
    <b v="1"/>
    <m/>
    <n v="1"/>
    <x v="0"/>
    <s v="https://www.amazon.in/Ikea-45454-IKEA-Frother-Milk/dp/B0B4KPCBSH/ref=sr_1_119_mod_primary_new?qid=1672923596&amp;s=kitchen&amp;sbo=RZvfv%2F%2FHxDF%2BO5021pAnSA%3D%3D&amp;sr=1-119"/>
  </r>
  <r>
    <s v="B09CGLY5CX"/>
    <s v="Crompton Insta Comfort Heater 2000 Watts Heat Convector with Adjustable Thermostats, Hybrid Cyan, Standard (‎ACGRH- INSTACOMFORT)"/>
    <s v="Home&amp;Kitchen"/>
    <x v="3"/>
    <s v="Heating,Cooling&amp;AirQuality"/>
    <s v="ElectricHeaters"/>
    <n v="1959"/>
    <n v="2400"/>
    <n v="18"/>
    <n v="4"/>
    <n v="237"/>
    <n v="4.0796197253858768"/>
    <s v="Medium (100-999)"/>
    <x v="4"/>
    <n v="30.8"/>
    <s v="Bottom 25%"/>
    <b v="0"/>
    <b v="0"/>
    <b v="0"/>
    <n v="1.49"/>
    <n v="1"/>
    <x v="0"/>
    <s v="https://www.amazon.in/Crompton-convector-adjustable-Thermostats-Standard/dp/B09CGLY5CX/ref=sr_1_120_mod_primary_new?qid=1672923596&amp;s=kitchen&amp;sbo=RZvfv%2F%2FHxDF%2BO5021pAnSA%3D%3D&amp;sr=1-120"/>
  </r>
  <r>
    <s v="B09JN37WBX"/>
    <s v="Lint Remover Woolen Clothes Lint Extractor Battery Lint Removing Machine Bhur Remover"/>
    <s v="Home&amp;Kitchen"/>
    <x v="3"/>
    <s v="Kitchen&amp;HomeAppliances"/>
    <s v="LintShavers"/>
    <n v="319"/>
    <n v="749"/>
    <n v="57"/>
    <n v="4.5999999999999996"/>
    <n v="124"/>
    <n v="4.1010778571158664"/>
    <s v="Medium (100-999)"/>
    <x v="0"/>
    <n v="66.099999999999994"/>
    <s v="Top 25%"/>
    <b v="0"/>
    <b v="0"/>
    <b v="0"/>
    <n v="0.71"/>
    <n v="1"/>
    <x v="0"/>
    <s v="https://www.amazon.in/Remover-Clothes-Extractor-Battery-Removing/dp/B09JN37WBX/ref=sr_1_121?qid=1672923596&amp;s=kitchen&amp;sr=1-121"/>
  </r>
  <r>
    <s v="B01I1LDZGA"/>
    <s v="Pigeon Kessel Multipurpose Kettle (12173) 1.2 litres with Stainless Steel Body, used for boiling Water and milk, Tea, Coffee, Oats, Noodles, Soup etc. 600 Watt (Black &amp; Silver)"/>
    <s v="Home&amp;Kitchen"/>
    <x v="3"/>
    <s v="Kitchen&amp;HomeAppliances"/>
    <s v="ElectricKettles"/>
    <n v="1499"/>
    <n v="1775"/>
    <n v="16"/>
    <n v="3.9"/>
    <n v="14667"/>
    <n v="3.9376944079698748"/>
    <s v="High (1,000+)"/>
    <x v="4"/>
    <n v="15.1"/>
    <s v="Bottom 25%"/>
    <b v="0"/>
    <b v="0"/>
    <b v="0"/>
    <n v="1.5"/>
    <n v="1"/>
    <x v="0"/>
    <s v="https://www.amazon.in/Pigeon-Kessel-1-2-Litre-Multi-purpose-Kettle/dp/B01I1LDZGA/ref=sr_1_125_mod_primary_new?qid=1672923596&amp;s=kitchen&amp;sbo=RZvfv%2F%2FHxDF%2BO5021pAnSA%3D%3D&amp;sr=1-125"/>
  </r>
  <r>
    <s v="B0BN2576GQ"/>
    <s v="C (DEVICE) Lint Remover for Woolen Clothes, Electric Lint Remover, Best Lint Shaver for Clothes Pack of 1"/>
    <s v="Home&amp;Kitchen"/>
    <x v="3"/>
    <s v="Kitchen&amp;HomeAppliances"/>
    <s v="LintShavers"/>
    <n v="469"/>
    <n v="1599"/>
    <n v="71"/>
    <n v="3.7"/>
    <n v="6"/>
    <n v="4.0840225797215908"/>
    <s v="Low (&lt;100)"/>
    <x v="0"/>
    <n v="60.8"/>
    <s v="Top 25%"/>
    <b v="0"/>
    <b v="0"/>
    <b v="1"/>
    <n v="1.04"/>
    <n v="1"/>
    <x v="0"/>
    <s v="https://www.amazon.in/DEVICE-Remover-Woolen-Clothes-Electric/dp/B0BN2576GQ/ref=sr_1_126?qid=1672923596&amp;s=kitchen&amp;sr=1-126"/>
  </r>
  <r>
    <s v="B06XPYRWV5"/>
    <s v="Pigeon by Stovekraft 2 Slice Auto Pop up Toaster. A Smart Bread Toaster for Your Home (750 Watt) (black)"/>
    <s v="Home&amp;Kitchen"/>
    <x v="3"/>
    <s v="Kitchen&amp;HomeAppliances"/>
    <s v="Pop-upToasters"/>
    <n v="1099"/>
    <n v="1795"/>
    <n v="39"/>
    <n v="4.2"/>
    <n v="4244"/>
    <n v="4.1457864349816793"/>
    <s v="High (1,000+)"/>
    <x v="4"/>
    <n v="54.3"/>
    <s v="Above median"/>
    <b v="0"/>
    <b v="0"/>
    <b v="0"/>
    <m/>
    <n v="1"/>
    <x v="0"/>
    <s v="https://www.amazon.in/Pigeon-2-Slice-Pop-up-Toaster-Black/dp/B06XPYRWV5/ref=sr_1_124?qid=1672923597&amp;s=kitchen&amp;sr=1-124"/>
  </r>
  <r>
    <s v="B01N1XVVLC"/>
    <s v="Bajaj OFR Room Heater, 13 Fin 2900 Watts Oil Filled Room Heater with 400W PTC Ceramic Fan Heater, ISI Approved (Majesty 13F Plus Black)"/>
    <s v="Home&amp;Kitchen"/>
    <x v="3"/>
    <s v="Heating,Cooling&amp;AirQuality"/>
    <s v="FanHeaters"/>
    <n v="9590"/>
    <n v="15999"/>
    <n v="40"/>
    <n v="4.0999999999999996"/>
    <n v="1017"/>
    <n v="4.087904402485786"/>
    <s v="High (1,000+)"/>
    <x v="3"/>
    <n v="34.1"/>
    <s v="Bottom 25%"/>
    <b v="0"/>
    <b v="0"/>
    <b v="0"/>
    <n v="8.8800000000000008"/>
    <n v="1"/>
    <x v="0"/>
    <s v="https://www.amazon.in/Bajaj-Majesty-Filled-Radiator-Heater/dp/B01N1XVVLC/ref=sr_1_125?qid=1672923597&amp;s=kitchen&amp;sr=1-125"/>
  </r>
  <r>
    <s v="B00O2R38C4"/>
    <s v="Luminous Vento Deluxe 150 mm Exhaust Fan for Kitchen, Bathroom with Strong Air Suction, Rust Proof Body and Dust Protection Shutters (2-Year Warranty, White)"/>
    <s v="Home&amp;Kitchen"/>
    <x v="3"/>
    <s v="Heating,Cooling&amp;AirQuality"/>
    <s v="ExhaustFans"/>
    <n v="999"/>
    <n v="1490"/>
    <n v="33"/>
    <n v="4.0999999999999996"/>
    <n v="12999"/>
    <n v="4.0965509704788241"/>
    <s v="High (1,000+)"/>
    <x v="2"/>
    <n v="48.9"/>
    <s v="Below median"/>
    <b v="0"/>
    <b v="0"/>
    <b v="0"/>
    <m/>
    <n v="1"/>
    <x v="0"/>
    <s v="https://www.amazon.in/Luminous-Vento-Deluxe-30-Watt-Ventilator/dp/B00O2R38C4/ref=sr_1_126?qid=1672923597&amp;s=kitchen&amp;sr=1-126"/>
  </r>
  <r>
    <s v="B0B2CZTCL2"/>
    <s v="Wipro Vesta 1.8 litre Cool touch electric Kettle with Auto cut off | Double Layer outer body | Triple Protection - Dry Boil, Steam &amp; Over Heat |Stainless Steel Inner Body | (Black, 1500 Watt)"/>
    <s v="Home&amp;Kitchen"/>
    <x v="3"/>
    <s v="Kitchen&amp;HomeAppliances"/>
    <s v="Kettle&amp;ToasterSets"/>
    <n v="1299"/>
    <n v="1999"/>
    <n v="35"/>
    <n v="3.8"/>
    <n v="311"/>
    <n v="4.0629039135094676"/>
    <s v="Medium (100-999)"/>
    <x v="4"/>
    <n v="32.6"/>
    <s v="Bottom 25%"/>
    <b v="0"/>
    <b v="0"/>
    <b v="1"/>
    <n v="1.1000000000000001"/>
    <n v="1"/>
    <x v="0"/>
    <s v="https://www.amazon.in/electric-Kettle-Double-Triple-Protection/dp/B0B2CZTCL2/ref=sr_1_127?qid=1672923597&amp;s=kitchen&amp;sr=1-127"/>
  </r>
  <r>
    <s v="B00PVT30YI"/>
    <s v="Kitchen Mart Stainless Steel South Indian Filter Coffee Drip Maker, Madras Kappi, Drip Decotion Maker160ml (2 Cup)"/>
    <s v="Home&amp;Kitchen"/>
    <x v="3"/>
    <s v="Kitchen&amp;HomeAppliances"/>
    <s v="DripCoffeeMachines"/>
    <n v="292"/>
    <n v="499"/>
    <n v="41"/>
    <n v="4.0999999999999996"/>
    <n v="4238"/>
    <n v="4.0927740880795973"/>
    <s v="High (1,000+)"/>
    <x v="0"/>
    <n v="53"/>
    <s v="Above median"/>
    <b v="0"/>
    <b v="0"/>
    <b v="0"/>
    <m/>
    <n v="1"/>
    <x v="0"/>
    <s v="https://www.amazon.in/Kitchen-Stainless-Indian-Filter-Coffee/dp/B00PVT30YI/ref=sr_1_128?qid=1672923597&amp;s=kitchen&amp;sr=1-128"/>
  </r>
  <r>
    <s v="B00SH18114"/>
    <s v="Ikea 903.391.72 Polypropylene Plastic Solid Bevara Sealing Clip (Multicolour) - 30 Pack, Adjustable"/>
    <s v="Home&amp;Kitchen"/>
    <x v="3"/>
    <s v="Kitchen&amp;HomeAppliances"/>
    <s v="VacuumSealers"/>
    <n v="160"/>
    <n v="299"/>
    <n v="46"/>
    <n v="4.5999999999999996"/>
    <n v="2781"/>
    <n v="4.3036660948545604"/>
    <s v="High (1,000+)"/>
    <x v="0"/>
    <n v="79.099999999999994"/>
    <s v="Top 25%"/>
    <b v="0"/>
    <b v="0"/>
    <b v="0"/>
    <m/>
    <n v="1"/>
    <x v="0"/>
    <s v="https://www.amazon.in/Ikea-903-391-72-Sealing-assorted-30-pack/dp/B00SH18114/ref=sr_1_129_mod_primary_new?qid=1672923597&amp;s=kitchen&amp;sbo=RZvfv%2F%2FHxDF%2BO5021pAnSA%3D%3D&amp;sr=1-129"/>
  </r>
  <r>
    <s v="B00E9G8KOY"/>
    <s v="HUL Pureit Germkill kit for Classic 23 L water purifier - 1500 L Capacity"/>
    <s v="Home&amp;Kitchen"/>
    <x v="3"/>
    <s v="Kitchen&amp;HomeAppliances"/>
    <s v="WaterPurifierAccessories"/>
    <n v="600"/>
    <n v="600"/>
    <n v="0"/>
    <n v="4.0999999999999996"/>
    <n v="10907"/>
    <n v="4.0960591084686468"/>
    <s v="High (1,000+)"/>
    <x v="2"/>
    <n v="41.2"/>
    <s v="Below median"/>
    <b v="0"/>
    <b v="0"/>
    <b v="0"/>
    <n v="2.6"/>
    <n v="1"/>
    <x v="0"/>
    <s v="https://www.amazon.in/HUL-Pureit-Germkill-Classic-Purifier/dp/B00E9G8KOY/ref=sr_1_130?qid=1672923597&amp;s=kitchen&amp;sr=1-130"/>
  </r>
  <r>
    <s v="B00H3H03Q4"/>
    <s v="HUL Pureit Germkill kit for Classic 23 L water purifier - 3000 L Capacity"/>
    <s v="Home&amp;Kitchen"/>
    <x v="3"/>
    <s v="Kitchen&amp;HomeAppliances"/>
    <s v="WaterCartridges"/>
    <n v="1130"/>
    <n v="1130"/>
    <n v="0"/>
    <n v="4.2"/>
    <n v="13250"/>
    <n v="4.1744857658592691"/>
    <s v="High (1,000+)"/>
    <x v="4"/>
    <n v="46.8"/>
    <s v="Below median"/>
    <b v="0"/>
    <b v="0"/>
    <b v="0"/>
    <m/>
    <n v="1"/>
    <x v="0"/>
    <s v="https://www.amazon.in/HUL-Pureit-Germkill-Classic-Purifier/dp/B00H3H03Q4/ref=sr_1_131?qid=1672923597&amp;s=kitchen&amp;sr=1-131"/>
  </r>
  <r>
    <s v="B0756K5DYZ"/>
    <s v="Prestige Iris 750 Watt Mixer Grinder with 3 Stainless Steel Jar + 1 Juicer Jar (White and Blue)"/>
    <s v="Home&amp;Kitchen"/>
    <x v="3"/>
    <s v="Kitchen&amp;HomeAppliances"/>
    <s v="MixerGrinders"/>
    <n v="3249"/>
    <n v="6295"/>
    <n v="48"/>
    <n v="3.9"/>
    <n v="43070"/>
    <n v="3.9148334829804261"/>
    <s v="High (1,000+)"/>
    <x v="3"/>
    <n v="22.2"/>
    <s v="Bottom 25%"/>
    <b v="0"/>
    <b v="0"/>
    <b v="0"/>
    <n v="1.1200000000000001"/>
    <n v="1"/>
    <x v="0"/>
    <s v="https://www.amazon.in/Prestige-Iris-Grinder-Stainless-Juicer/dp/B0756K5DYZ/ref=sr_1_132?qid=1672923597&amp;s=kitchen&amp;sr=1-132"/>
  </r>
  <r>
    <s v="B0188KPKB2"/>
    <s v="Preethi Blue Leaf Diamond MG-214 mixer grinder 750 watt (Blue/White), 3 jars &amp; Flexi Lid, FBT motor with 2yr Guarantee &amp; Lifelong Free Service"/>
    <s v="Home&amp;Kitchen"/>
    <x v="3"/>
    <s v="Kitchen&amp;HomeAppliances"/>
    <s v="MixerGrinders"/>
    <n v="3599"/>
    <n v="9455"/>
    <n v="62"/>
    <n v="4.0999999999999996"/>
    <n v="11828"/>
    <n v="4.0962919144145999"/>
    <s v="High (1,000+)"/>
    <x v="3"/>
    <n v="51.7"/>
    <s v="Above median"/>
    <b v="0"/>
    <b v="0"/>
    <b v="0"/>
    <n v="1.24"/>
    <n v="1"/>
    <x v="0"/>
    <s v="https://www.amazon.in/Preethi-Blue-Leaf-Diamond-750-Watt/dp/B0188KPKB2/ref=sr_1_133?qid=1672923597&amp;s=kitchen&amp;sr=1-133"/>
  </r>
  <r>
    <s v="B091KNVNS9"/>
    <s v="Themisto 350 Watts Egg Boiler-Blue"/>
    <s v="Home&amp;Kitchen"/>
    <x v="3"/>
    <s v="Kitchen&amp;HomeAppliances"/>
    <s v="EggBoilers"/>
    <n v="368"/>
    <n v="699"/>
    <n v="47"/>
    <n v="4.0999999999999996"/>
    <n v="1240"/>
    <n v="4.0884435965378936"/>
    <s v="High (1,000+)"/>
    <x v="0"/>
    <n v="52.5"/>
    <s v="Above median"/>
    <b v="0"/>
    <b v="0"/>
    <b v="0"/>
    <n v="0.53"/>
    <n v="1"/>
    <x v="0"/>
    <s v="https://www.amazon.in/Themisto-350-Watts-Egg-Boiler-Blue/dp/B091KNVNS9/ref=sr_1_134?qid=1672923597&amp;s=kitchen&amp;sr=1-134"/>
  </r>
  <r>
    <s v="B075JJ5NQC"/>
    <s v="Butterfly Smart Mixer Grinder, 750W, 4 Jars (Grey)"/>
    <s v="Home&amp;Kitchen"/>
    <x v="3"/>
    <s v="Kitchen&amp;HomeAppliances"/>
    <s v="MixerGrinders"/>
    <n v="3199"/>
    <n v="4999"/>
    <n v="36"/>
    <n v="4"/>
    <n v="20869"/>
    <n v="4.0129281242182087"/>
    <s v="High (1,000+)"/>
    <x v="3"/>
    <n v="21.5"/>
    <s v="Bottom 25%"/>
    <b v="0"/>
    <b v="0"/>
    <b v="0"/>
    <n v="1.1000000000000001"/>
    <n v="1"/>
    <x v="0"/>
    <s v="https://www.amazon.in/Butterfly-Smart-750-Watt-Mixer-Grinder/dp/B075JJ5NQC/ref=sr_1_135?qid=1672923597&amp;s=kitchen&amp;sr=1-135"/>
  </r>
  <r>
    <s v="B0B5KZ3C53"/>
    <s v="KENT Smart Multi Cooker Cum Kettle 1.2 Liter 800 Watts, Electric Cooker with Steamer &amp; Boiler for Idlis, Instant Noodles, Momos, Eggs, &amp; Steam Vegetables, Inner Stainless Steel &amp; Cool Touch Outer Body"/>
    <s v="Home&amp;Kitchen"/>
    <x v="3"/>
    <s v="Kitchen&amp;HomeAppliances"/>
    <s v="Rice&amp;PastaCookers"/>
    <n v="1599"/>
    <n v="2900"/>
    <n v="45"/>
    <n v="3.7"/>
    <n v="441"/>
    <n v="4.0442819297444554"/>
    <s v="Medium (100-999)"/>
    <x v="4"/>
    <n v="33"/>
    <s v="Bottom 25%"/>
    <b v="0"/>
    <b v="0"/>
    <b v="1"/>
    <m/>
    <n v="1"/>
    <x v="0"/>
    <s v="https://www.amazon.in/KENT-Electric-Steamer-Vegetables-Stainless/dp/B0B5KZ3C53/ref=sr_1_139?qid=1672923597&amp;s=kitchen&amp;sr=1-139"/>
  </r>
  <r>
    <s v="B09NTHQRW3"/>
    <s v="InstaCuppa Portable Blender for Smoothie, Milk Shakes, Crushing Ice and Juices, USB Rechargeable Personal Blender Machine for Kitchen with 2000 mAh Rechargeable Battery, 150 Watt Motor, 400 ML"/>
    <s v="Home&amp;Kitchen"/>
    <x v="3"/>
    <s v="Kitchen&amp;HomeAppliances"/>
    <s v="HandBlenders"/>
    <n v="1999"/>
    <n v="2499"/>
    <n v="20"/>
    <n v="4.0999999999999996"/>
    <n v="1034"/>
    <n v="4.0879472723195693"/>
    <s v="High (1,000+)"/>
    <x v="4"/>
    <n v="30.5"/>
    <s v="Bottom 25%"/>
    <b v="0"/>
    <b v="1"/>
    <b v="0"/>
    <n v="2.86"/>
    <n v="1"/>
    <x v="0"/>
    <s v="https://www.amazon.in/InstaCuppa-Portable-Smoothie-Crushing-Rechargeable/dp/B09NTHQRW3/ref=sr_1_140?qid=1672923597&amp;s=kitchen&amp;sr=1-140"/>
  </r>
  <r>
    <s v="B008YW3CYM"/>
    <s v="USHA EI 1602 1000 W Lightweight Dry Iron with Non-Stick Soleplate (Multi-colour)"/>
    <s v="Home&amp;Kitchen"/>
    <x v="3"/>
    <s v="Kitchen&amp;HomeAppliances"/>
    <s v="DryIrons"/>
    <n v="616"/>
    <n v="1190"/>
    <n v="48"/>
    <n v="4.0999999999999996"/>
    <n v="37126"/>
    <n v="4.098586132816826"/>
    <s v="High (1,000+)"/>
    <x v="2"/>
    <n v="57.3"/>
    <s v="Above median"/>
    <b v="0"/>
    <b v="0"/>
    <b v="0"/>
    <n v="0.91"/>
    <n v="1"/>
    <x v="0"/>
    <s v="https://www.amazon.in/Usha-EI-1602-1000-Watt-Lightweight/dp/B008YW3CYM/ref=sr_1_141?qid=1672923597&amp;s=kitchen&amp;sr=1-141"/>
  </r>
  <r>
    <s v="B07QHHCB27"/>
    <s v="KENT 16044 Hand Blender Stainless Steel 400 W | Variable Speed Control | Easy to Clean and Store | Low Noise Operation"/>
    <s v="Home&amp;Kitchen"/>
    <x v="3"/>
    <s v="Kitchen&amp;HomeAppliances"/>
    <s v="HandBlenders"/>
    <n v="1499"/>
    <n v="2100"/>
    <n v="29"/>
    <n v="4.0999999999999996"/>
    <n v="6355"/>
    <n v="4.0942860481028722"/>
    <s v="High (1,000+)"/>
    <x v="4"/>
    <n v="39.200000000000003"/>
    <s v="Below median"/>
    <b v="0"/>
    <b v="0"/>
    <b v="0"/>
    <n v="2.14"/>
    <n v="1"/>
    <x v="0"/>
    <s v="https://www.amazon.in/Kent-KENT-Hand-Blender/dp/B07QHHCB27/ref=sr_1_142?qid=1672923597&amp;s=kitchen&amp;sr=1-142"/>
  </r>
  <r>
    <s v="B0BMFD94VD"/>
    <s v="White Feather Portable Heat Sealer Mini Sealing Machine for Food Storage Vacuum Bag, Chip, Plastic, Snack Bags, Package Home Closer Storage Tool (Multicolor) Random Colour"/>
    <s v="Home&amp;Kitchen"/>
    <x v="3"/>
    <s v="Kitchen&amp;HomeAppliances"/>
    <s v="VacuumSealers"/>
    <n v="199"/>
    <n v="499"/>
    <n v="60"/>
    <n v="3.3"/>
    <n v="12"/>
    <n v="4.0821404402386579"/>
    <s v="Low (&lt;100)"/>
    <x v="0"/>
    <n v="58"/>
    <s v="Above median"/>
    <b v="0"/>
    <b v="0"/>
    <b v="1"/>
    <m/>
    <n v="1"/>
    <x v="0"/>
    <s v="https://www.amazon.in/White-Feather-Portable-Sealing-Multicolor/dp/B0BMFD94VD/ref=sr_1_143?qid=1672923597&amp;s=kitchen&amp;sr=1-143"/>
  </r>
  <r>
    <s v="B00HZIOGXW"/>
    <s v="Crompton IHL 152 1500-Watt Immersion Water Heater with Copper Heating Element (Black)"/>
    <s v="Home&amp;Kitchen"/>
    <x v="3"/>
    <s v="Heating,Cooling&amp;AirQuality"/>
    <s v="ImmersionRods"/>
    <n v="610"/>
    <n v="825"/>
    <n v="26"/>
    <n v="4.0999999999999996"/>
    <n v="13165"/>
    <n v="4.0965847934828421"/>
    <s v="High (1,000+)"/>
    <x v="2"/>
    <n v="48.7"/>
    <s v="Below median"/>
    <b v="0"/>
    <b v="0"/>
    <b v="0"/>
    <m/>
    <n v="1"/>
    <x v="0"/>
    <s v="https://www.amazon.in/Crompton-CG-IHL-1500-Watt-Immersion-Compatible/dp/B00HZIOGXW/ref=sr_1_144?qid=1672923597&amp;s=kitchen&amp;sr=1-144"/>
  </r>
  <r>
    <s v="B09CKSYBLR"/>
    <s v="InstaCuppa Rechargeable Mini Electric Chopper - Stainless Steel Blades, One Touch Operation, for Mincing Garlic, Ginger, Onion, Vegetable, Meat, Nuts, (White, 250 ML, Pack of 1, 45 Watts)"/>
    <s v="Home&amp;Kitchen"/>
    <x v="3"/>
    <s v="Kitchen&amp;HomeAppliances"/>
    <s v="MiniFoodProcessors&amp;Choppers"/>
    <n v="999"/>
    <n v="1499"/>
    <n v="33"/>
    <n v="4.0999999999999996"/>
    <n v="1646"/>
    <n v="4.089311101355424"/>
    <s v="High (1,000+)"/>
    <x v="2"/>
    <n v="41.5"/>
    <s v="Below median"/>
    <b v="0"/>
    <b v="0"/>
    <b v="0"/>
    <m/>
    <n v="1"/>
    <x v="0"/>
    <s v="https://www.amazon.in/InstaCuppa-Rechargeable-Mini-Electric-Chopper/dp/B09CKSYBLR/ref=sr_1_145?qid=1672923597&amp;s=kitchen&amp;sr=1-145"/>
  </r>
  <r>
    <s v="B072J83V9W"/>
    <s v="Philips PowerPro FC9352/01 Compact Bagless Vacuum Cleaner (Blue)"/>
    <s v="Home&amp;Kitchen"/>
    <x v="3"/>
    <s v="Kitchen&amp;HomeAppliances"/>
    <s v="CanisterVacuums"/>
    <n v="8999"/>
    <n v="9995"/>
    <n v="10"/>
    <n v="4.4000000000000004"/>
    <n v="17994"/>
    <n v="4.3454617742596842"/>
    <s v="High (1,000+)"/>
    <x v="3"/>
    <n v="50.4"/>
    <s v="Below median"/>
    <b v="0"/>
    <b v="0"/>
    <b v="0"/>
    <m/>
    <n v="1"/>
    <x v="0"/>
    <s v="https://www.amazon.in/Philips-PowerPro-FC9352-01-Compact/dp/B072J83V9W/ref=sr_1_146?qid=1672923597&amp;s=kitchen&amp;sr=1-146"/>
  </r>
  <r>
    <s v="B09MTLG4TP"/>
    <s v="SAIELLIN Electric Lint Remover for Clothes Fabric Shaver Lint Shaver for Woolen Clothes Blanket Jackets Stainless Steel Blades, Clothes and Furniture Lint Roller for Fabrics Portable Lint Shavers (White Orange)"/>
    <s v="Home&amp;Kitchen"/>
    <x v="3"/>
    <s v="Kitchen&amp;HomeAppliances"/>
    <s v="LintShavers"/>
    <n v="453"/>
    <n v="999"/>
    <n v="55"/>
    <n v="4.3"/>
    <n v="610"/>
    <n v="4.114680181059077"/>
    <s v="Medium (100-999)"/>
    <x v="0"/>
    <n v="65.400000000000006"/>
    <s v="Top 25%"/>
    <b v="0"/>
    <b v="0"/>
    <b v="0"/>
    <n v="1.01"/>
    <n v="1"/>
    <x v="0"/>
    <s v="https://www.amazon.in/SAIELLIN-Clothes-Sweater-Defuzzer-Trimmer/dp/B09MTLG4TP/ref=sr_1_147?qid=1672923597&amp;s=kitchen&amp;sr=1-147"/>
  </r>
  <r>
    <s v="B097XJQZ8H"/>
    <s v="Cookwell Bullet Mixer Grinder (5 Jars, 3 Blades, Silver)"/>
    <s v="Home&amp;Kitchen"/>
    <x v="3"/>
    <s v="Kitchen&amp;HomeAppliances"/>
    <s v="MixerGrinders"/>
    <n v="2464"/>
    <n v="6000"/>
    <n v="59"/>
    <n v="4.0999999999999996"/>
    <n v="8866"/>
    <n v="4.0954221872495404"/>
    <s v="High (1,000+)"/>
    <x v="4"/>
    <n v="50.4"/>
    <s v="Below median"/>
    <b v="0"/>
    <b v="0"/>
    <b v="0"/>
    <n v="0.85"/>
    <n v="1"/>
    <x v="0"/>
    <s v="https://www.amazon.in/Cookwell-Bullet-Mixer-Grinder-Silver/dp/B097XJQZ8H/ref=sr_1_148?qid=1672923597&amp;s=kitchen&amp;sr=1-148"/>
  </r>
  <r>
    <s v="B00935MD1C"/>
    <s v="Prestige PRWO 1.8-2 700-Watts Delight Electric Rice Cooker with 2 Aluminium Cooking Pans - 1.8 Liters, White"/>
    <s v="Home&amp;Kitchen"/>
    <x v="3"/>
    <s v="Kitchen&amp;HomeAppliances"/>
    <s v="Rice&amp;PastaCookers"/>
    <n v="2719"/>
    <n v="3945"/>
    <n v="31"/>
    <n v="3.7"/>
    <n v="13406"/>
    <n v="3.784293274990874"/>
    <s v="High (1,000+)"/>
    <x v="3"/>
    <n v="13.7"/>
    <s v="Bottom 25%"/>
    <b v="0"/>
    <b v="0"/>
    <b v="1"/>
    <m/>
    <n v="1"/>
    <x v="0"/>
    <s v="https://www.amazon.in/Prestige-PRWO-1-8-2-700-Watts-Aluminium/dp/B00935MD1C/ref=sr_1_149?qid=1672923597&amp;s=kitchen&amp;sr=1-149"/>
  </r>
  <r>
    <s v="B0BR4F878Q"/>
    <s v="Swiffer Instant Electric Water Heater Faucet Tap Home-Kitchen Instantaneous Water Heater Tank less for Tap, LED Electric Head Water Heaters Tail Gallon Comfort(3000W) ((Pack of 1))"/>
    <s v="Home&amp;Kitchen"/>
    <x v="3"/>
    <s v="Heating,Cooling&amp;AirQuality"/>
    <s v="InstantWaterHeaters"/>
    <n v="1439"/>
    <n v="1999"/>
    <n v="28"/>
    <n v="4.8"/>
    <n v="53803"/>
    <n v="4.7532435068171184"/>
    <s v="High (1,000+)"/>
    <x v="4"/>
    <n v="69.099999999999994"/>
    <s v="Top 25%"/>
    <b v="0"/>
    <b v="0"/>
    <b v="0"/>
    <n v="0.55000000000000004"/>
    <n v="1"/>
    <x v="0"/>
    <s v="https://www.amazon.in/Swiffer-Instant-Electric-Home-Kitchen-Instantaneous/dp/B0BR4F878Q/ref=sr_1_150?qid=1672923597&amp;s=kitchen&amp;sr=1-150"/>
  </r>
  <r>
    <s v="B0B3G5XZN5"/>
    <s v="InstaCuppa Portable Blender for Smoothie, Milk Shakes, Crushing Ice and Juices, USB Rechargeable Personal Blender Machine for Kitchen with 4000 mAh Rechargeable Battery, 230 Watt Motor, 500 ML"/>
    <s v="Home&amp;Kitchen"/>
    <x v="3"/>
    <s v="Kitchen&amp;HomeAppliances"/>
    <s v="HandBlenders"/>
    <n v="2799"/>
    <n v="3499"/>
    <n v="20"/>
    <n v="4.5"/>
    <n v="546"/>
    <n v="4.1372726219521443"/>
    <s v="Medium (100-999)"/>
    <x v="3"/>
    <n v="40.5"/>
    <s v="Below median"/>
    <b v="0"/>
    <b v="0"/>
    <b v="0"/>
    <n v="4"/>
    <n v="1"/>
    <x v="0"/>
    <s v="https://www.amazon.in/InstaCuppa-Portable-Smoothie-Crushing-Rechargeable/dp/B0B3G5XZN5/ref=sr_1_148?qid=1672923598&amp;s=kitchen&amp;sr=1-148"/>
  </r>
  <r>
    <s v="B07WKB69RS"/>
    <s v="Lifelong LLWH106 Flash 3 Litres Instant Water Heater for Home Use, 8 Bar Pressure,Power On/Off Indicator and Advanced Safety, (3000W, ISI Certified, 2 Years Warranty)"/>
    <s v="Home&amp;Kitchen"/>
    <x v="3"/>
    <s v="Heating,Cooling&amp;AirQuality"/>
    <s v="InstantWaterHeaters"/>
    <n v="2088"/>
    <n v="5550"/>
    <n v="62"/>
    <n v="4"/>
    <n v="5292"/>
    <n v="4.0351691525408153"/>
    <s v="High (1,000+)"/>
    <x v="4"/>
    <n v="42.4"/>
    <s v="Below median"/>
    <b v="0"/>
    <b v="0"/>
    <b v="0"/>
    <n v="0.8"/>
    <n v="1"/>
    <x v="0"/>
    <s v="https://www.amazon.in/Lifelong-Flash-Instant-Heater-Certified/dp/B07WKB69RS/ref=sr_1_149?qid=1672923598&amp;s=kitchen&amp;sr=1-149"/>
  </r>
  <r>
    <s v="B09DL9978Y"/>
    <s v="Hindware Atlantic Compacto 3 Litre Instant water heater with Stainless Steel Tank, Robust Construction, Pressure Relief Valve And I-thermostat Feature (White And Grey)"/>
    <s v="Home&amp;Kitchen"/>
    <x v="3"/>
    <s v="Heating,Cooling&amp;AirQuality"/>
    <s v="InstantWaterHeaters"/>
    <n v="2399"/>
    <n v="4590"/>
    <n v="48"/>
    <n v="4.0999999999999996"/>
    <n v="444"/>
    <n v="4.0862567673079324"/>
    <s v="Medium (100-999)"/>
    <x v="4"/>
    <n v="42.7"/>
    <s v="Below median"/>
    <b v="0"/>
    <b v="0"/>
    <b v="0"/>
    <n v="0.92"/>
    <n v="1"/>
    <x v="0"/>
    <s v="https://www.amazon.in/Hindware-Atlantic-Compacto-Instant-HI03PDW30/dp/B09DL9978Y/ref=sr_1_151?qid=1672923598&amp;s=kitchen&amp;sr=1-151"/>
  </r>
  <r>
    <s v="B06XMZV7RH"/>
    <s v="ATOM Selves-MH 200 GM Digital Pocket Scale"/>
    <s v="Home&amp;Kitchen"/>
    <x v="3"/>
    <s v="Kitchen&amp;HomeAppliances"/>
    <s v="DigitalKitchenScales"/>
    <n v="308"/>
    <n v="499"/>
    <n v="38"/>
    <n v="3.9"/>
    <n v="4584"/>
    <n v="3.983231185728247"/>
    <s v="High (1,000+)"/>
    <x v="0"/>
    <n v="34.1"/>
    <s v="Bottom 25%"/>
    <b v="0"/>
    <b v="0"/>
    <b v="0"/>
    <n v="0.63"/>
    <n v="1"/>
    <x v="0"/>
    <s v="https://www.amazon.in/Atom-Selves-A100-Digital-Pocket-Silver/dp/B06XMZV7RH/ref=sr_1_152?qid=1672923598&amp;s=kitchen&amp;sr=1-152"/>
  </r>
  <r>
    <s v="B09WMTJPG7"/>
    <s v="Crompton InstaBliss 3-L Instant Water Heater (Geyser) with Advanced 4 Level Safety"/>
    <s v="Home&amp;Kitchen"/>
    <x v="3"/>
    <s v="Heating,Cooling&amp;AirQuality"/>
    <s v="InstantWaterHeaters"/>
    <n v="2599"/>
    <n v="4400"/>
    <n v="41"/>
    <n v="4.0999999999999996"/>
    <n v="14947"/>
    <n v="4.0969100773233276"/>
    <s v="High (1,000+)"/>
    <x v="3"/>
    <n v="44.8"/>
    <s v="Below median"/>
    <b v="0"/>
    <b v="0"/>
    <b v="0"/>
    <n v="1"/>
    <n v="1"/>
    <x v="0"/>
    <s v="https://www.amazon.in/Crompton-InstaBliss-Instant-Heater-Advanced/dp/B09WMTJPG7/ref=sr_1_153?qid=1672923598&amp;s=kitchen&amp;sr=1-153"/>
  </r>
  <r>
    <s v="B09ZK6THRR"/>
    <s v="Croma 1100 W Dry Iron with Weilburger Dual Soleplate Coating (CRSHAH702SIR11, White)"/>
    <s v="Home&amp;Kitchen"/>
    <x v="3"/>
    <s v="Kitchen&amp;HomeAppliances"/>
    <s v="DryIrons"/>
    <n v="479"/>
    <n v="1000"/>
    <n v="52"/>
    <n v="4.2"/>
    <n v="1559"/>
    <n v="4.1184326020258979"/>
    <s v="High (1,000+)"/>
    <x v="0"/>
    <n v="64"/>
    <s v="Top 25%"/>
    <b v="0"/>
    <b v="0"/>
    <b v="0"/>
    <n v="0.7"/>
    <n v="1"/>
    <x v="0"/>
    <s v="https://www.amazon.in/Croma-Weilburger-Soleplate-Coating-CRSHAH702SIR11/dp/B09ZK6THRR/ref=sr_1_154?qid=1672923598&amp;s=kitchen&amp;sr=1-154"/>
  </r>
  <r>
    <s v="B07MP21WJD"/>
    <s v="Lint Roller with 40 Paper Sheets, 22 x 5 cm (Grey)"/>
    <s v="Home&amp;Kitchen"/>
    <x v="3"/>
    <s v="Kitchen&amp;HomeAppliances"/>
    <s v="LintShavers"/>
    <n v="245"/>
    <n v="299"/>
    <n v="18"/>
    <n v="4.0999999999999996"/>
    <n v="1660"/>
    <n v="4.0893386983274898"/>
    <s v="High (1,000+)"/>
    <x v="0"/>
    <n v="43.3"/>
    <s v="Below median"/>
    <b v="0"/>
    <b v="0"/>
    <b v="0"/>
    <n v="0.55000000000000004"/>
    <n v="1"/>
    <x v="0"/>
    <s v="https://www.amazon.in/Ikea-Lint-Roller-Paper-Sheets/dp/B07MP21WJD/ref=sr_1_156_mod_primary_new?qid=1672923598&amp;s=kitchen&amp;sbo=RZvfv%2F%2FHxDF%2BO5021pAnSA%3D%3D&amp;sr=1-156"/>
  </r>
  <r>
    <s v="B09XB1R2F3"/>
    <s v="Portable Lint Remover Pet Fur Remover Clothes Fuzz Remover Pet Hairball Quick Epilator Shaver Removing Dust Pet Hair from Clothing Furniture Perfect for Clothing,Furniture,Couch,Carpet (Standard)"/>
    <s v="Home&amp;Kitchen"/>
    <x v="3"/>
    <s v="Kitchen&amp;HomeAppliances"/>
    <s v="LintShavers"/>
    <n v="179"/>
    <n v="799"/>
    <n v="78"/>
    <n v="3.5"/>
    <n v="132"/>
    <n v="4.0648193841778957"/>
    <s v="Medium (100-999)"/>
    <x v="0"/>
    <n v="62.1"/>
    <s v="Top 25%"/>
    <b v="0"/>
    <b v="0"/>
    <b v="1"/>
    <n v="0.4"/>
    <n v="1"/>
    <x v="0"/>
    <s v="https://www.amazon.in/Portable-Hairball-Epilator-Removing-Furniture/dp/B09XB1R2F3/ref=sr_1_157?qid=1672923598&amp;s=kitchen&amp;sr=1-157"/>
  </r>
  <r>
    <s v="B08Y5QJXSR"/>
    <s v="atomberg Renesa 1200mm BLDC Motor with Remote 3 Blade Energy Saving Ceiling Fan (Matt Black)"/>
    <s v="Home&amp;Kitchen"/>
    <x v="3"/>
    <s v="Heating,Cooling&amp;AirQuality"/>
    <s v="CeilingFans"/>
    <n v="3569"/>
    <n v="5190"/>
    <n v="31"/>
    <n v="4.3"/>
    <n v="28629"/>
    <n v="4.274983841183051"/>
    <s v="High (1,000+)"/>
    <x v="3"/>
    <n v="57.6"/>
    <s v="Above median"/>
    <b v="0"/>
    <b v="0"/>
    <b v="0"/>
    <n v="1.79"/>
    <n v="1"/>
    <x v="0"/>
    <s v="https://www.amazon.in/Atomberg-Renesa-Motor-Remote-Ceiling/dp/B08Y5QJXSR/ref=sr_1_158?qid=1672923598&amp;s=kitchen&amp;sr=1-158"/>
  </r>
  <r>
    <s v="B07WJXCTG9"/>
    <s v="Pigeon by Stovekraft Amaze Plus Electric Kettle (14313) with Stainless Steel Body, 1.8 litre, used for boiling Water, making tea and coffee, instant noodles, soup etc. 1500 Watt (Silver)"/>
    <s v="Home&amp;Kitchen"/>
    <x v="3"/>
    <s v="Kitchen&amp;HomeAppliances"/>
    <s v="ElectricKettles"/>
    <n v="699"/>
    <n v="1345"/>
    <n v="48"/>
    <n v="3.9"/>
    <n v="8446"/>
    <n v="3.956902083931753"/>
    <s v="High (1,000+)"/>
    <x v="2"/>
    <n v="34.1"/>
    <s v="Bottom 25%"/>
    <b v="0"/>
    <b v="0"/>
    <b v="0"/>
    <n v="0.7"/>
    <n v="1"/>
    <x v="0"/>
    <s v="https://www.amazon.in/Pigeon-stovekraft-Amaze-Plus-1-8/dp/B07WJXCTG9/ref=sr_1_159?qid=1672923598&amp;s=kitchen&amp;sr=1-159"/>
  </r>
  <r>
    <s v="B09NBZ36F7"/>
    <s v="Usha CookJoy (CJ1600WPC) 1600 Watt Induction cooktop (Black)"/>
    <s v="Home&amp;Kitchen"/>
    <x v="3"/>
    <s v="Kitchen&amp;HomeAppliances"/>
    <s v="InductionCooktop"/>
    <n v="2089"/>
    <n v="4000"/>
    <n v="48"/>
    <n v="4.2"/>
    <n v="11199"/>
    <n v="4.1709881423440711"/>
    <s v="High (1,000+)"/>
    <x v="4"/>
    <n v="55.7"/>
    <s v="Above median"/>
    <b v="0"/>
    <b v="0"/>
    <b v="0"/>
    <n v="1.02"/>
    <n v="1"/>
    <x v="0"/>
    <s v="https://www.amazon.in/CookJoy-CJ1600WPC-Induction-cooktop-Black/dp/B09NBZ36F7/ref=sr_1_163?qid=1672923598&amp;s=kitchen&amp;sr=1-163"/>
  </r>
  <r>
    <s v="B0912WJ87V"/>
    <s v="Reffair AX30 [MAX] Portable Air Purifier for Car, Home &amp; Office | Smart Ionizer Function | H13 Grade True HEPA Filter [Internationally Tested] Aromabuds Fragrance Option - Black"/>
    <s v="Car&amp;Motorbike"/>
    <x v="2"/>
    <s v="CarAccessories"/>
    <s v="AirPurifiers&amp;Ionizers"/>
    <n v="2339"/>
    <n v="4000"/>
    <n v="42"/>
    <n v="3.8"/>
    <n v="1118"/>
    <n v="4.0194322490893999"/>
    <s v="High (1,000+)"/>
    <x v="4"/>
    <n v="30.9"/>
    <s v="Bottom 25%"/>
    <b v="0"/>
    <b v="0"/>
    <b v="1"/>
    <m/>
    <n v="1"/>
    <x v="0"/>
    <s v="https://www.amazon.in/Reffair-AX30-MAX-Internationally-Aromabuds/dp/B0912WJ87V/ref=sr_1_164?qid=1672923598&amp;s=kitchen&amp;sr=1-164"/>
  </r>
  <r>
    <s v="B0BMTZ4T1D"/>
    <s v="!!1000 Watt/2000-Watt Room Heater!! Fan Heater!!Pure White!!HN-2500!!Made in India!!"/>
    <s v="Home&amp;Kitchen"/>
    <x v="3"/>
    <s v="Heating,Cooling&amp;AirQuality"/>
    <s v="FanHeaters"/>
    <n v="784"/>
    <n v="1599"/>
    <n v="51"/>
    <n v="4.5"/>
    <n v="11"/>
    <n v="4.0858457908257098"/>
    <s v="Low (&lt;100)"/>
    <x v="2"/>
    <n v="52.6"/>
    <s v="Above median"/>
    <b v="0"/>
    <b v="0"/>
    <b v="0"/>
    <n v="0.73"/>
    <n v="1"/>
    <x v="0"/>
    <s v="https://www.amazon.in/2000-Watt-Heater-White-HN-2500-India/dp/B0BMTZ4T1D/ref=sr_1_165?qid=1672923598&amp;s=kitchen&amp;sr=1-165"/>
  </r>
  <r>
    <s v="B07Z51CGGH"/>
    <s v="Eureka Forbes Wet &amp; Dry Ultimo 1400 Watts Multipurpose Vacuum Cleaner,Power Suction &amp; Blower with 20 litres Tank Capacity,6 Accessories,1 Year Warranty,Compact,Light Weight &amp; Easy to use (Red)"/>
    <s v="Home&amp;Kitchen"/>
    <x v="3"/>
    <s v="Kitchen&amp;HomeAppliances"/>
    <s v="Wet-DryVacuums"/>
    <n v="5499"/>
    <n v="9999"/>
    <n v="45"/>
    <n v="3.8"/>
    <n v="4353"/>
    <n v="3.9319621824509658"/>
    <s v="High (1,000+)"/>
    <x v="3"/>
    <n v="20.2"/>
    <s v="Bottom 25%"/>
    <b v="0"/>
    <b v="0"/>
    <b v="1"/>
    <m/>
    <n v="1"/>
    <x v="0"/>
    <s v="https://www.amazon.in/Eureka-Forbes-Wet-Dry-Ultimo/dp/B07Z51CGGH/ref=sr_1_166?qid=1672923598&amp;s=kitchen&amp;sr=1-166"/>
  </r>
  <r>
    <s v="B0BDG6QDYD"/>
    <s v="Activa Heat-Max 2000 Watts Room Heater (White color ) with ABS body"/>
    <s v="Home&amp;Kitchen"/>
    <x v="3"/>
    <s v="Heating,Cooling&amp;AirQuality"/>
    <s v="FanHeaters"/>
    <n v="899"/>
    <n v="1990"/>
    <n v="55"/>
    <n v="4.0999999999999996"/>
    <n v="185"/>
    <n v="4.0853550580572042"/>
    <s v="Medium (100-999)"/>
    <x v="2"/>
    <n v="53"/>
    <s v="Above median"/>
    <b v="0"/>
    <b v="0"/>
    <b v="0"/>
    <n v="0.83"/>
    <n v="1"/>
    <x v="0"/>
    <s v="https://www.amazon.in/Activa-Heat-Max-Watts-Heater-White/dp/B0BDG6QDYD/ref=sr_1_167?qid=1672923598&amp;s=kitchen&amp;sr=1-167"/>
  </r>
  <r>
    <s v="B00YQLG7GK"/>
    <s v="PHILIPS HL1655/00 Hand Blender, White Jar 250W"/>
    <s v="Home&amp;Kitchen"/>
    <x v="3"/>
    <s v="Kitchen&amp;HomeAppliances"/>
    <s v="HandBlenders"/>
    <n v="1695"/>
    <n v="1695"/>
    <n v="0"/>
    <n v="4.2"/>
    <n v="14290"/>
    <n v="4.1759556344927748"/>
    <s v="High (1,000+)"/>
    <x v="4"/>
    <n v="43.6"/>
    <s v="Below median"/>
    <b v="0"/>
    <b v="0"/>
    <b v="0"/>
    <n v="2.42"/>
    <n v="1"/>
    <x v="0"/>
    <s v="https://www.amazon.in/Philips-Collection-HL1655-00-250-Watt/dp/B00YQLG7GK/ref=sr_1_169?qid=1672923598&amp;s=kitchen&amp;sr=1-169"/>
  </r>
  <r>
    <s v="B00SMJPA9C"/>
    <s v="Bajaj DX-2 600W Dry Iron with Advance Soleplate and Anti-Bacterial German Coating Technology, Grey"/>
    <s v="Home&amp;Kitchen"/>
    <x v="3"/>
    <s v="Kitchen&amp;HomeAppliances"/>
    <s v="DryIrons"/>
    <n v="499"/>
    <n v="940"/>
    <n v="47"/>
    <n v="4.0999999999999996"/>
    <n v="3036"/>
    <n v="4.091496520067782"/>
    <s v="High (1,000+)"/>
    <x v="0"/>
    <n v="53.3"/>
    <s v="Above median"/>
    <b v="0"/>
    <b v="0"/>
    <b v="0"/>
    <n v="0.73"/>
    <n v="1"/>
    <x v="0"/>
    <s v="https://www.amazon.in/Bajaj-DX-600-Watt-Light-Weight/dp/B00SMJPA9C/ref=sr_1_170?qid=1672923598&amp;s=kitchen&amp;sr=1-170"/>
  </r>
  <r>
    <s v="B0B9RN5X8B"/>
    <s v="V-Guard Zio Instant Water Geyser | 3 Litre | 3000 W Heating | White-Blue | | 2 Year Warranty"/>
    <s v="Home&amp;Kitchen"/>
    <x v="3"/>
    <s v="Heating,Cooling&amp;AirQuality"/>
    <s v="InstantWaterHeaters"/>
    <n v="2699"/>
    <n v="4700"/>
    <n v="43"/>
    <n v="4.2"/>
    <n v="1296"/>
    <n v="4.1141917745736514"/>
    <s v="High (1,000+)"/>
    <x v="3"/>
    <n v="49.8"/>
    <s v="Below median"/>
    <b v="0"/>
    <b v="0"/>
    <b v="0"/>
    <n v="1.04"/>
    <n v="1"/>
    <x v="0"/>
    <s v="https://www.amazon.in/V-Guard-Instant-Heating-White-Blue-Warranty/dp/B0B9RN5X8B/ref=sr_1_171?qid=1672923598&amp;s=kitchen&amp;sr=1-171"/>
  </r>
  <r>
    <s v="B08QW937WV"/>
    <s v="Homeistic Applience™ Instant Electric Water Heater Faucet Tap For Kitchen And Bathroom Sink Digital Water Heating Tap with Shower Head ABS Body- Shock Proof (Pack Of 1. White)"/>
    <s v="Home&amp;Kitchen"/>
    <x v="3"/>
    <s v="Heating,Cooling&amp;AirQuality"/>
    <s v="InstantWaterHeaters"/>
    <n v="1448"/>
    <n v="2999"/>
    <n v="52"/>
    <n v="4.5"/>
    <n v="19"/>
    <n v="4.0867219599843487"/>
    <s v="Low (&lt;100)"/>
    <x v="4"/>
    <n v="49.7"/>
    <s v="Below median"/>
    <b v="0"/>
    <b v="0"/>
    <b v="0"/>
    <n v="0.56000000000000005"/>
    <n v="1"/>
    <x v="0"/>
    <s v="https://www.amazon.in/Homeistic-Applience-Electric-bathroom-Tankless/dp/B08QW937WV/ref=sr_1_173?qid=1672923598&amp;s=kitchen&amp;sr=1-173"/>
  </r>
  <r>
    <s v="B0B4PPD89B"/>
    <s v="Kitchenwell 18Pc Plastic Food Snack Bag Pouch Clip Sealer for Keeping Food Fresh for Home, Kitchen, Camping Snack Seal Sealing Bag Clips (Multi-Color) | (Pack of 18)|"/>
    <s v="Home&amp;Kitchen"/>
    <x v="3"/>
    <s v="Kitchen&amp;HomeAppliances"/>
    <s v="VacuumSealers"/>
    <n v="79"/>
    <n v="79"/>
    <n v="0"/>
    <n v="4"/>
    <n v="97"/>
    <n v="4.0825078615574082"/>
    <s v="Low (&lt;100)"/>
    <x v="0"/>
    <n v="38.299999999999997"/>
    <s v="Bottom 25%"/>
    <b v="0"/>
    <b v="0"/>
    <b v="0"/>
    <m/>
    <n v="1"/>
    <x v="0"/>
    <s v="https://www.amazon.in/Kitchenwell-Plastic-Keeping-Kitchen-Multi-Color/dp/B0B4PPD89B/ref=sr_1_174?qid=1672923598&amp;s=kitchen&amp;sr=1-174"/>
  </r>
  <r>
    <s v="B08GM5S4CQ"/>
    <s v="Havells Instanio 10 Litre Storage Water Heater with Flexi Pipe and Free installation (White Blue)"/>
    <s v="Home&amp;Kitchen"/>
    <x v="3"/>
    <s v="Heating,Cooling&amp;AirQuality"/>
    <s v="StorageWaterHeaters"/>
    <n v="6990"/>
    <n v="14290"/>
    <n v="51"/>
    <n v="4.4000000000000004"/>
    <n v="1771"/>
    <n v="4.1855677404320621"/>
    <s v="High (1,000+)"/>
    <x v="3"/>
    <n v="57.5"/>
    <s v="Above median"/>
    <b v="0"/>
    <b v="0"/>
    <b v="0"/>
    <n v="1.0900000000000001"/>
    <n v="1"/>
    <x v="0"/>
    <s v="https://www.amazon.in/Havells-Instanio-Storage-Heater-installation/dp/B08GM5S4CQ/ref=sr_1_172?qid=1672923600&amp;s=kitchen&amp;sr=1-172"/>
  </r>
  <r>
    <s v="B00NM6MO26"/>
    <s v="Prestige PIC 16.0+ 1900W Induction Cooktop with Soft Touch Push Buttons (Black)"/>
    <s v="Home&amp;Kitchen"/>
    <x v="3"/>
    <s v="Kitchen&amp;HomeAppliances"/>
    <s v="InductionCooktop"/>
    <n v="2698"/>
    <n v="3945"/>
    <n v="32"/>
    <n v="4"/>
    <n v="15034"/>
    <n v="4.0169414035421918"/>
    <s v="High (1,000+)"/>
    <x v="3"/>
    <n v="21.2"/>
    <s v="Bottom 25%"/>
    <b v="0"/>
    <b v="0"/>
    <b v="0"/>
    <n v="1.32"/>
    <n v="1"/>
    <x v="0"/>
    <s v="https://www.amazon.in/Prestige-1900-Induction-Cooktop-button/dp/B00NM6MO26/ref=sr_1_173?qid=1672923600&amp;s=kitchen&amp;sr=1-173"/>
  </r>
  <r>
    <s v="B083M7WPZD"/>
    <s v="AGARO 33398 Rapid 1000-Watt, 10-Litre Wet &amp; Dry Vacuum Cleaner, with Blower Function (Red &amp; Black)"/>
    <s v="Home&amp;Kitchen"/>
    <x v="3"/>
    <s v="Kitchen&amp;HomeAppliances"/>
    <s v="Wet-DryVacuums"/>
    <n v="3199"/>
    <n v="5999"/>
    <n v="47"/>
    <n v="4"/>
    <n v="3242"/>
    <n v="4.0454620731930637"/>
    <s v="High (1,000+)"/>
    <x v="3"/>
    <n v="31.1"/>
    <s v="Bottom 25%"/>
    <b v="0"/>
    <b v="0"/>
    <b v="0"/>
    <m/>
    <n v="1"/>
    <x v="0"/>
    <s v="https://www.amazon.in/AGARO-1000-Watt-10-Litre-Cleaner-Function/dp/B083M7WPZD/ref=sr_1_174?qid=1672923600&amp;s=kitchen&amp;sr=1-174"/>
  </r>
  <r>
    <s v="B07GLSKXS1"/>
    <s v="KENT 16026 Electric Kettle Stainless Steel 1.8 L | 1500W | Superfast Boiling | Auto Shut-Off | Boil Dry Protection | 360° Rotating Base | Water Level Indicator"/>
    <s v="Home&amp;Kitchen"/>
    <x v="3"/>
    <s v="Kitchen&amp;HomeAppliances"/>
    <s v="Kettle&amp;ToasterSets"/>
    <n v="1199"/>
    <n v="1950"/>
    <n v="39"/>
    <n v="3.9"/>
    <n v="2832"/>
    <n v="4.0053437094064464"/>
    <s v="High (1,000+)"/>
    <x v="4"/>
    <n v="27.5"/>
    <s v="Bottom 25%"/>
    <b v="0"/>
    <b v="0"/>
    <b v="0"/>
    <n v="1.01"/>
    <n v="1"/>
    <x v="0"/>
    <s v="https://www.amazon.in/Kent-16026-1-8-Liter-Electric-Kettle/dp/B07GLSKXS1/ref=sr_1_175?qid=1672923600&amp;s=kitchen&amp;sr=1-175"/>
  </r>
  <r>
    <s v="B09F6KL23R"/>
    <s v="SKYTONE Stainless Steel Electric Meat Grinders with Bowl 700W Heavy for Kitchen Food Chopper, Meat, Vegetables, Onion , Garlic Slicer Dicer, Fruit &amp; Nuts Blender (2L, 700 Watts)"/>
    <s v="Home&amp;Kitchen"/>
    <x v="3"/>
    <s v="Kitchen&amp;HomeAppliances"/>
    <s v="MiniFoodProcessors&amp;Choppers"/>
    <n v="1414"/>
    <n v="2799"/>
    <n v="49"/>
    <n v="4"/>
    <n v="1498"/>
    <n v="4.0605339970878838"/>
    <s v="High (1,000+)"/>
    <x v="4"/>
    <n v="37.6"/>
    <s v="Bottom 25%"/>
    <b v="0"/>
    <b v="0"/>
    <b v="0"/>
    <m/>
    <n v="1"/>
    <x v="0"/>
    <s v="https://www.amazon.in/SKYTONE-Stainless-Electric-Grinders-Vegetables/dp/B09F6KL23R/ref=sr_1_178?qid=1672923600&amp;s=kitchen&amp;sr=1-178"/>
  </r>
  <r>
    <s v="B094G9L9LT"/>
    <s v="KENT 16088 Vogue Electric Kettle 1.8 Litre 1500 W | Stainless Steel body | Auto shut off over heating protection | 1 Year Warranty"/>
    <s v="Home&amp;Kitchen"/>
    <x v="3"/>
    <s v="Kitchen&amp;HomeAppliances"/>
    <s v="ElectricKettles"/>
    <n v="999"/>
    <n v="1950"/>
    <n v="49"/>
    <n v="3.8"/>
    <n v="305"/>
    <n v="4.0632917250598188"/>
    <s v="Medium (100-999)"/>
    <x v="2"/>
    <n v="41.6"/>
    <s v="Below median"/>
    <b v="0"/>
    <b v="0"/>
    <b v="1"/>
    <n v="1"/>
    <n v="1"/>
    <x v="0"/>
    <s v="https://www.amazon.in/1-8Litre-Electric-Kettle-Stainless-16088/dp/B094G9L9LT/ref=sr_1_179?qid=1672923600&amp;s=kitchen&amp;sr=1-179"/>
  </r>
  <r>
    <s v="B09FZ89DK6"/>
    <s v="Eureka Forbes Supervac 1600 Watts Powerful Suction,bagless Vacuum Cleaner with cyclonic Technology,7 Accessories,1 Year Warranty,Compact,Lightweight &amp; Easy to use (Red)"/>
    <s v="Home&amp;Kitchen"/>
    <x v="3"/>
    <s v="Kitchen&amp;HomeAppliances"/>
    <s v="CanisterVacuums"/>
    <n v="5999"/>
    <n v="9999"/>
    <n v="40"/>
    <n v="4.2"/>
    <n v="1191"/>
    <n v="4.1123728861776154"/>
    <s v="High (1,000+)"/>
    <x v="3"/>
    <n v="43.3"/>
    <s v="Below median"/>
    <b v="0"/>
    <b v="0"/>
    <b v="0"/>
    <m/>
    <n v="1"/>
    <x v="0"/>
    <s v="https://www.amazon.in/Eureka-Forbes-Powerful-Technology-GFCDSFSVL00000/dp/B09FZ89DK6/ref=sr_1_180?qid=1672923600&amp;s=kitchen&amp;sr=1-180"/>
  </r>
  <r>
    <s v="B0811VCGL5"/>
    <s v="Mi Air Purifier 3 with True HEPA Filter, removes air pollutants, smoke, odor, bacteria &amp; viruses with 99.97% efficiency, coverage area up to 484 sq. ft., Wi-Fi &amp; Voice control - Alexa/GA (white)"/>
    <s v="Home&amp;Kitchen"/>
    <x v="3"/>
    <s v="Heating,Cooling&amp;AirQuality"/>
    <s v="HEPAAirPurifiers"/>
    <n v="9970"/>
    <n v="12999"/>
    <n v="23"/>
    <n v="4.3"/>
    <n v="4049"/>
    <n v="4.1962669259016598"/>
    <s v="High (1,000+)"/>
    <x v="3"/>
    <n v="46.7"/>
    <s v="Below median"/>
    <b v="0"/>
    <b v="0"/>
    <b v="0"/>
    <m/>
    <n v="1"/>
    <x v="0"/>
    <s v="https://www.amazon.in/Mi-Purifier-Filter-Smart-Connectivity/dp/B0811VCGL5/ref=sr_1_182?qid=1672923600&amp;s=kitchen&amp;sr=1-182"/>
  </r>
  <r>
    <s v="B07FXLC2G2"/>
    <s v="Tata Swach Bulb 6000-Litre Cartridge, 1 Piece, White, Hollow Fiber Membrane"/>
    <s v="Home&amp;Kitchen"/>
    <x v="3"/>
    <s v="Kitchen&amp;HomeAppliances"/>
    <s v="WaterFilters&amp;Purifiers"/>
    <n v="698"/>
    <n v="699"/>
    <n v="0"/>
    <n v="4.2"/>
    <n v="3160"/>
    <n v="4.1372970880001176"/>
    <s v="High (1,000+)"/>
    <x v="2"/>
    <n v="46.7"/>
    <s v="Below median"/>
    <b v="0"/>
    <b v="0"/>
    <b v="0"/>
    <n v="0.1"/>
    <n v="1"/>
    <x v="0"/>
    <s v="https://www.amazon.in/Tata-Swach-Bulb-6000-Litre-Cartridge/dp/B07FXLC2G2/ref=sr_1_183?qid=1672923600&amp;s=kitchen&amp;sr=1-183"/>
  </r>
  <r>
    <s v="B01LYU3BZF"/>
    <s v="Havells Ambrose 1200mm Ceiling Fan (Gold Mist Wood)"/>
    <s v="Home&amp;Kitchen"/>
    <x v="3"/>
    <s v="Heating,Cooling&amp;AirQuality"/>
    <s v="CeilingFans"/>
    <n v="2199"/>
    <n v="3190"/>
    <n v="31"/>
    <n v="4.3"/>
    <n v="9650"/>
    <n v="4.2395853936015522"/>
    <s v="High (1,000+)"/>
    <x v="4"/>
    <n v="58.4"/>
    <s v="Above median"/>
    <b v="0"/>
    <b v="0"/>
    <b v="0"/>
    <n v="1.1000000000000001"/>
    <n v="1"/>
    <x v="0"/>
    <s v="https://www.amazon.in/Havells-Ambrose-1200mm-Ceiling-Gold/dp/B01LYU3BZF/ref=sr_1_187?qid=1672923600&amp;s=kitchen&amp;sr=1-187"/>
  </r>
  <r>
    <s v="B083RC4WFJ"/>
    <s v="PrettyKrafts Laundry Bag / Basket for Dirty Clothes, Folding Round Laundry Bag,Set of 2, Black Wave"/>
    <s v="Home&amp;Kitchen"/>
    <x v="3"/>
    <s v="HomeStorage&amp;Organization"/>
    <s v="LaundryBags"/>
    <n v="320"/>
    <n v="799"/>
    <n v="60"/>
    <n v="4.2"/>
    <n v="3846"/>
    <n v="4.1429505279201964"/>
    <s v="High (1,000+)"/>
    <x v="0"/>
    <n v="64.3"/>
    <s v="Top 25%"/>
    <b v="0"/>
    <b v="0"/>
    <b v="0"/>
    <m/>
    <n v="1"/>
    <x v="0"/>
    <s v="https://www.amazon.in/PrettyKrafts-Canvas-Laundry-Storage-Black/dp/B083RC4WFJ/ref=sr_1_188?qid=1672923600&amp;s=kitchen&amp;sr=1-188"/>
  </r>
  <r>
    <s v="B09SFRNKSR"/>
    <s v="FABWARE Lint Remover for Clothes - Sticky Lint Roller for Clothes, Furniture, Wool, Coat, Car Seats, Carpet, Fabric, Dust Cleaner, Pet Hair Remover with 1 Handle &amp; 1 Refill Total 60 Sheets &amp; 1 Cover"/>
    <s v="Home&amp;Kitchen"/>
    <x v="3"/>
    <s v="Kitchen&amp;HomeAppliances"/>
    <s v="LintShavers"/>
    <n v="298"/>
    <n v="499"/>
    <n v="40"/>
    <n v="4.4000000000000004"/>
    <n v="290"/>
    <n v="4.1072027369971167"/>
    <s v="Medium (100-999)"/>
    <x v="0"/>
    <n v="58.4"/>
    <s v="Above median"/>
    <b v="0"/>
    <b v="0"/>
    <b v="0"/>
    <n v="0.66"/>
    <n v="1"/>
    <x v="0"/>
    <s v="https://www.amazon.in/FABWARE-Lint-Remover-Clothes-Furniture/dp/B09SFRNKSR/ref=sr_1_189?qid=1672923600&amp;s=kitchen&amp;sr=1-189"/>
  </r>
  <r>
    <s v="B07NRTCDS5"/>
    <s v="Brayden Fito Atom Rechargeable Smoothie Blender with 2000 mAh Battery and 3.7V Motor with 400ml Tritan Jar (Blue)"/>
    <s v="Home&amp;Kitchen"/>
    <x v="3"/>
    <s v="Kitchen&amp;HomeAppliances"/>
    <s v="JuicerMixerGrinders"/>
    <n v="1199"/>
    <n v="1499"/>
    <n v="20"/>
    <n v="3.8"/>
    <n v="2206"/>
    <n v="3.9794318659094938"/>
    <s v="High (1,000+)"/>
    <x v="4"/>
    <n v="19.7"/>
    <s v="Bottom 25%"/>
    <b v="0"/>
    <b v="0"/>
    <b v="1"/>
    <n v="0.51"/>
    <n v="1"/>
    <x v="0"/>
    <s v="https://www.amazon.in/Brayden-Portable-Smoothie-Blender-Rechargeable/dp/B07NRTCDS5/ref=sr_1_190?qid=1672923600&amp;s=kitchen&amp;sr=1-190"/>
  </r>
  <r>
    <s v="B07SPVMSC6"/>
    <s v="Bajaj Frore 1200 mm Ceiling Fan (Brown)"/>
    <s v="Home&amp;Kitchen"/>
    <x v="3"/>
    <s v="Heating,Cooling&amp;AirQuality"/>
    <s v="CeilingFans"/>
    <n v="1399"/>
    <n v="2660"/>
    <n v="47"/>
    <n v="4.0999999999999996"/>
    <n v="9349"/>
    <n v="4.0955908242139198"/>
    <s v="High (1,000+)"/>
    <x v="4"/>
    <n v="52.2"/>
    <s v="Above median"/>
    <b v="0"/>
    <b v="0"/>
    <b v="0"/>
    <n v="0.7"/>
    <n v="1"/>
    <x v="0"/>
    <s v="https://www.amazon.in/Bajaj-Frore-1200-Brown-Ceiling/dp/B07SPVMSC6/ref=sr_1_192?qid=1672923600&amp;s=kitchen&amp;sr=1-192"/>
  </r>
  <r>
    <s v="B09H3BXWTK"/>
    <s v="Venus Digital Kitchen Weighing Scale &amp; Food Weight Machine for Health, Fitness, Home Baking &amp; Cooking Scale, 2 Year Warranty &amp; Battery Included (Weighing Scale Without Bowl) Capacity 10 Kg, 1 Gm"/>
    <s v="Home&amp;Kitchen"/>
    <x v="3"/>
    <s v="Kitchen&amp;HomeAppliances"/>
    <s v="DigitalKitchenScales"/>
    <n v="599"/>
    <n v="2799"/>
    <n v="79"/>
    <n v="3.9"/>
    <n v="578"/>
    <n v="4.06004817225684"/>
    <s v="Medium (100-999)"/>
    <x v="2"/>
    <n v="57.6"/>
    <s v="Above median"/>
    <b v="0"/>
    <b v="0"/>
    <b v="0"/>
    <n v="1.22"/>
    <n v="1"/>
    <x v="0"/>
    <s v="https://www.amazon.in/Venus-Weighing-Warranty-Included-Capacity/dp/B09H3BXWTK/ref=sr_1_193?qid=1672923600&amp;s=kitchen&amp;sr=1-193"/>
  </r>
  <r>
    <s v="B0073QGKAS"/>
    <s v="Bajaj ATX 4 750-Watt Pop-up Toaster (White)"/>
    <s v="Home&amp;Kitchen"/>
    <x v="3"/>
    <s v="Kitchen&amp;HomeAppliances"/>
    <s v="Pop-upToasters"/>
    <n v="1499"/>
    <n v="1499"/>
    <n v="0"/>
    <n v="4.3"/>
    <n v="9331"/>
    <n v="4.2381134984290529"/>
    <s v="High (1,000+)"/>
    <x v="4"/>
    <n v="50.3"/>
    <s v="Below median"/>
    <b v="0"/>
    <b v="0"/>
    <b v="0"/>
    <m/>
    <n v="1"/>
    <x v="0"/>
    <s v="https://www.amazon.in/Bajaj-ATX-750-Watt-Pop-up-Toaster/dp/B0073QGKAS/ref=sr_1_194?qid=1672923600&amp;s=kitchen&amp;sr=1-194"/>
  </r>
  <r>
    <s v="B08GJ57MKL"/>
    <s v="Coway Professional Air Purifier for Home, Longest Filter Life 8500 Hrs, Green True HEPA Filter, Traps 99.99% Virus &amp; PM 0.1 Particles, Warranty 7 Years (AirMega 150 (AP-1019C))"/>
    <s v="Home&amp;Kitchen"/>
    <x v="3"/>
    <s v="Heating,Cooling&amp;AirQuality"/>
    <s v="HEPAAirPurifiers"/>
    <n v="14400"/>
    <n v="59900"/>
    <n v="76"/>
    <n v="4.4000000000000004"/>
    <n v="3837"/>
    <n v="4.243863292543038"/>
    <s v="High (1,000+)"/>
    <x v="1"/>
    <n v="71.099999999999994"/>
    <s v="Top 25%"/>
    <b v="0"/>
    <b v="0"/>
    <b v="0"/>
    <m/>
    <n v="1"/>
    <x v="0"/>
    <s v="https://www.amazon.in/Coway-Professional-Purifier-Anti-Virus-AP-1019C/dp/B08GJ57MKL/ref=sr_1_195?qid=1672923600&amp;s=kitchen&amp;sr=1-195"/>
  </r>
  <r>
    <s v="B009DA69W6"/>
    <s v="KENT Gold Optima Gravity Water Purifier (11016) | UF Technology Based | Non-Electric &amp; Chemical Free | Counter Top | 10L Storage | White"/>
    <s v="Home&amp;Kitchen"/>
    <x v="3"/>
    <s v="Kitchen&amp;HomeAppliances"/>
    <s v="WaterFilters&amp;Purifiers"/>
    <n v="1699"/>
    <n v="1900"/>
    <n v="11"/>
    <n v="3.6"/>
    <n v="11456"/>
    <n v="3.7198172679095061"/>
    <s v="High (1,000+)"/>
    <x v="4"/>
    <n v="10"/>
    <s v="Bottom 25%"/>
    <b v="0"/>
    <b v="0"/>
    <b v="1"/>
    <n v="0.25"/>
    <n v="1"/>
    <x v="0"/>
    <s v="https://www.amazon.in/Gold-Optima-10-Litres-Non-electric-Purifier/dp/B009DA69W6/ref=sr_1_196?qid=1672923600&amp;s=kitchen&amp;sr=1-196"/>
  </r>
  <r>
    <s v="B099PR2GQJ"/>
    <s v="HOMEPACK 750W Radiant Room Home Office Heaters For Winter"/>
    <s v="Home&amp;Kitchen"/>
    <x v="3"/>
    <s v="Heating,Cooling&amp;AirQuality"/>
    <s v="ElectricHeaters"/>
    <n v="649"/>
    <n v="999"/>
    <n v="35"/>
    <n v="3.8"/>
    <n v="49"/>
    <n v="4.0809757553931032"/>
    <s v="Low (&lt;100)"/>
    <x v="2"/>
    <n v="43.7"/>
    <s v="Below median"/>
    <b v="0"/>
    <b v="0"/>
    <b v="1"/>
    <n v="0.49"/>
    <n v="1"/>
    <x v="0"/>
    <s v="https://www.amazon.in/HOMEPACK%C2%AE-Radiant-Office-Heaters-Portable/dp/B099PR2GQJ/ref=sr_1_197?qid=1672923600&amp;s=kitchen&amp;sr=1-197"/>
  </r>
  <r>
    <s v="B08G8H8DPL"/>
    <s v="Bajaj Rex 750W Mixer Grinder with Nutri Pro Feature, 4 Jars, White"/>
    <s v="Home&amp;Kitchen"/>
    <x v="3"/>
    <s v="Kitchen&amp;HomeAppliances"/>
    <s v="MixerGrinders"/>
    <n v="3249"/>
    <n v="6375"/>
    <n v="49"/>
    <n v="4"/>
    <n v="4978"/>
    <n v="4.0364325944374819"/>
    <s v="High (1,000+)"/>
    <x v="3"/>
    <n v="30.7"/>
    <s v="Bottom 25%"/>
    <b v="0"/>
    <b v="0"/>
    <b v="0"/>
    <n v="1.1200000000000001"/>
    <n v="1"/>
    <x v="0"/>
    <s v="https://www.amazon.in/Bajaj-Rex-Mixer-Grinder-White/dp/B08G8H8DPL/ref=sr_1_198?qid=1672923600&amp;s=kitchen&amp;sr=1-198"/>
  </r>
  <r>
    <s v="B08VGM3YMF"/>
    <s v="Heart Home Waterproof Round Non Wovan Laundry Bag/Hamper|Metalic Printed With Handles|Foldable Bin &amp; 45 Liter Capicity|Size 37 x 37 x 49, Pack of 1 (Grey &amp; Black)-HEARTXY11447"/>
    <s v="Home&amp;Kitchen"/>
    <x v="3"/>
    <s v="HomeStorage&amp;Organization"/>
    <s v="LaundryBaskets"/>
    <n v="199"/>
    <n v="499"/>
    <n v="60"/>
    <n v="4.0999999999999996"/>
    <n v="1996"/>
    <n v="4.0899607695894442"/>
    <s v="High (1,000+)"/>
    <x v="0"/>
    <n v="57.1"/>
    <s v="Above median"/>
    <b v="0"/>
    <b v="0"/>
    <b v="0"/>
    <n v="0.56999999999999995"/>
    <n v="1"/>
    <x v="0"/>
    <s v="https://www.amazon.in/Heart-Home-Foldable-Organiser-HEARTXY11447/dp/B08VGM3YMF/ref=sr_1_196?qid=1672923601&amp;s=kitchen&amp;sr=1-196"/>
  </r>
  <r>
    <s v="B08TTRVWKY"/>
    <s v="MILTON Smart Egg Boiler 360-Watts (Transparent and Silver Grey), Boil Up to 7 Eggs"/>
    <s v="Home&amp;Kitchen"/>
    <x v="3"/>
    <s v="Kitchen&amp;HomeAppliances"/>
    <s v="EggBoilers"/>
    <n v="1099"/>
    <n v="1899"/>
    <n v="42"/>
    <n v="4.3"/>
    <n v="1811"/>
    <n v="4.1546136344632307"/>
    <s v="High (1,000+)"/>
    <x v="4"/>
    <n v="56.5"/>
    <s v="Above median"/>
    <b v="0"/>
    <b v="0"/>
    <b v="0"/>
    <n v="1.57"/>
    <n v="1"/>
    <x v="0"/>
    <s v="https://www.amazon.in/MILTON-Smart-Egg-Boiler-Transparent/dp/B08TTRVWKY/ref=sr_1_197?qid=1672923601&amp;s=kitchen&amp;sr=1-197"/>
  </r>
  <r>
    <s v="B07T4D9FNY"/>
    <s v="iBELL SEK15L Premium 1.5 Litre Stainless Steel Electric Kettle,1500W Auto Cut-Off Feature,Silver with Black"/>
    <s v="Home&amp;Kitchen"/>
    <x v="3"/>
    <s v="Kitchen&amp;HomeAppliances"/>
    <s v="ElectricKettles"/>
    <n v="664"/>
    <n v="1490"/>
    <n v="55"/>
    <n v="4"/>
    <n v="2198"/>
    <n v="4.0534248958444454"/>
    <s v="High (1,000+)"/>
    <x v="2"/>
    <n v="46.5"/>
    <s v="Below median"/>
    <b v="0"/>
    <b v="0"/>
    <b v="0"/>
    <n v="0.66"/>
    <n v="1"/>
    <x v="0"/>
    <s v="https://www.amazon.in/Premium-Stainless-Electric-Cut-Off-Feature/dp/B07T4D9FNY/ref=sr_1_199?qid=1672923601&amp;s=kitchen&amp;sr=1-199"/>
  </r>
  <r>
    <s v="B07RX42D3D"/>
    <s v="Tosaa T2STSR Sandwich Gas Toaster Regular (Black)"/>
    <s v="Home&amp;Kitchen"/>
    <x v="3"/>
    <s v="Kitchen&amp;HomeAppliances"/>
    <s v="SandwichMakers"/>
    <n v="260"/>
    <n v="350"/>
    <n v="26"/>
    <n v="3.9"/>
    <n v="13127"/>
    <n v="3.9411314184363548"/>
    <s v="High (1,000+)"/>
    <x v="0"/>
    <n v="28.6"/>
    <s v="Bottom 25%"/>
    <b v="0"/>
    <b v="0"/>
    <b v="0"/>
    <n v="0.18"/>
    <n v="1"/>
    <x v="0"/>
    <s v="https://www.amazon.in/Tosaa-Nonstick-Sandwich-Toaster-Regular/dp/B07RX42D3D/ref=sr_1_200?qid=1672923601&amp;s=kitchen&amp;sr=1-200"/>
  </r>
  <r>
    <s v="B08WRKSF9D"/>
    <s v="V-Guard Divino 5 Star Rated 15 Litre Storage Water Heater (Geyser) with Advanced Safety Features, White"/>
    <s v="Home&amp;Kitchen"/>
    <x v="3"/>
    <s v="Heating,Cooling&amp;AirQuality"/>
    <s v="StorageWaterHeaters"/>
    <n v="6499"/>
    <n v="8500"/>
    <n v="24"/>
    <n v="4.4000000000000004"/>
    <n v="5865"/>
    <n v="4.2767529568092248"/>
    <s v="High (1,000+)"/>
    <x v="3"/>
    <n v="53"/>
    <s v="Above median"/>
    <b v="0"/>
    <b v="0"/>
    <b v="0"/>
    <n v="1.02"/>
    <n v="1"/>
    <x v="0"/>
    <s v="https://www.amazon.in/V-Guard-Divino-Storage-15-Vertical/dp/B08WRKSF9D/ref=sr_1_201?qid=1672923601&amp;s=kitchen&amp;sr=1-201"/>
  </r>
  <r>
    <s v="B09R83SFYV"/>
    <s v="Akiara® - Makes life easy Mini Sewing Machine with Table Set | Tailoring Machine | Hand Sewing Machine with extension table, foot pedal, adapter"/>
    <s v="Home&amp;Kitchen"/>
    <x v="3"/>
    <s v="Kitchen&amp;HomeAppliances"/>
    <s v="Sewing&amp;EmbroideryMachines"/>
    <n v="1484"/>
    <n v="2499"/>
    <n v="41"/>
    <n v="3.7"/>
    <n v="1067"/>
    <n v="3.9996560910406491"/>
    <s v="High (1,000+)"/>
    <x v="4"/>
    <n v="26.2"/>
    <s v="Bottom 25%"/>
    <b v="0"/>
    <b v="0"/>
    <b v="1"/>
    <m/>
    <n v="1"/>
    <x v="0"/>
    <s v="https://www.amazon.in/akiara-Machine-Stitching-extension-adapter/dp/B09R83SFYV/ref=sr_1_202?qid=1672923601&amp;s=kitchen&amp;sr=1-202"/>
  </r>
  <r>
    <s v="B07989VV5K"/>
    <s v="Usha Steam Pro SI 3713, 1300 W Steam Iron, Powerful steam Output up to 18 g/min, Non-Stick Soleplate (White &amp; Blue)"/>
    <s v="Home&amp;Kitchen"/>
    <x v="3"/>
    <s v="Kitchen&amp;HomeAppliances"/>
    <s v="SteamIrons"/>
    <n v="999"/>
    <n v="1560"/>
    <n v="36"/>
    <n v="3.6"/>
    <n v="4881"/>
    <n v="3.810960732536683"/>
    <s v="High (1,000+)"/>
    <x v="2"/>
    <n v="22.4"/>
    <s v="Bottom 25%"/>
    <b v="0"/>
    <b v="0"/>
    <b v="1"/>
    <n v="0.33"/>
    <n v="1"/>
    <x v="0"/>
    <s v="https://www.amazon.in/Usha-Steam-3713-1300-Watt-White/dp/B07989VV5K/ref=sr_1_203?qid=1672923601&amp;s=kitchen&amp;sr=1-203"/>
  </r>
  <r>
    <s v="B07FL3WRX5"/>
    <s v="Wonderchef Nutri-blend Complete Kitchen Machine | 22000 RPM Mixer Grinder, Blender, Chopper, Juicer | 400W Powerful motor | SS Blades | 4 Unbreakable Jars | 2 Years Warranty | Online Recipe Book By Chef Sanjeev Kapoor | Black"/>
    <s v="Home&amp;Kitchen"/>
    <x v="3"/>
    <s v="Kitchen&amp;HomeAppliances"/>
    <s v="JuicerMixerGrinders"/>
    <n v="3299"/>
    <n v="6500"/>
    <n v="49"/>
    <n v="3.7"/>
    <n v="11217"/>
    <n v="3.7966113082333068"/>
    <s v="High (1,000+)"/>
    <x v="3"/>
    <n v="20.6"/>
    <s v="Bottom 25%"/>
    <b v="0"/>
    <b v="0"/>
    <b v="1"/>
    <n v="1.41"/>
    <n v="1"/>
    <x v="0"/>
    <s v="https://www.amazon.in/Wonderchef-Nutri-Blend-CKM-Jars-Black/dp/B07FL3WRX5/ref=sr_1_204?qid=1672923601&amp;s=kitchen&amp;sr=1-204"/>
  </r>
  <r>
    <s v="B0BPCJM7TB"/>
    <s v="WIDEWINGS Electric Handheld Milk Wand Mixer Frother for Latte Coffee Hot Milk, Milk Frother for Coffee, Egg Beater, Hand Blender, Coffee Beater with Stand"/>
    <s v="Home&amp;Kitchen"/>
    <x v="3"/>
    <s v="Kitchen&amp;HomeAppliances"/>
    <s v="HandBlenders"/>
    <n v="259"/>
    <n v="999"/>
    <n v="74"/>
    <n v="4"/>
    <n v="43"/>
    <n v="4.0836786471372521"/>
    <s v="Low (&lt;100)"/>
    <x v="0"/>
    <n v="63.1"/>
    <s v="Top 25%"/>
    <b v="0"/>
    <b v="0"/>
    <b v="0"/>
    <n v="0.37"/>
    <n v="1"/>
    <x v="0"/>
    <s v="https://www.amazon.in/WIDEWINGS-Electric-Handheld-Frother-Blender/dp/B0BPCJM7TB/ref=sr_1_205?qid=1672923601&amp;s=kitchen&amp;sr=1-205"/>
  </r>
  <r>
    <s v="B08H673XKN"/>
    <s v="Morphy Richards Icon Superb 750W Mixer Grinder, 4 Jars, Silver and Black"/>
    <s v="Home&amp;Kitchen"/>
    <x v="3"/>
    <s v="Kitchen&amp;HomeAppliances"/>
    <s v="MixerGrinders"/>
    <n v="3249"/>
    <n v="7795"/>
    <n v="58"/>
    <n v="4.2"/>
    <n v="4664"/>
    <n v="4.1484885885813583"/>
    <s v="High (1,000+)"/>
    <x v="3"/>
    <n v="57.3"/>
    <s v="Above median"/>
    <b v="0"/>
    <b v="0"/>
    <b v="0"/>
    <n v="1.1200000000000001"/>
    <n v="1"/>
    <x v="0"/>
    <s v="https://www.amazon.in/Morphy-Richards-Icon-Superb-Grinder/dp/B08H673XKN/ref=sr_1_206?qid=1672923601&amp;s=kitchen&amp;sr=1-206"/>
  </r>
  <r>
    <s v="B07DXRGWDJ"/>
    <s v="Philips Handheld Garment Steamer GC360/30 - Vertical &amp; Horizontal Steaming, 1200 Watt, up to 22g/min"/>
    <s v="Home&amp;Kitchen"/>
    <x v="3"/>
    <s v="Kitchen&amp;HomeAppliances"/>
    <s v="SteamIrons"/>
    <n v="4280"/>
    <n v="5995"/>
    <n v="29"/>
    <n v="3.8"/>
    <n v="2112"/>
    <n v="3.9823030201175951"/>
    <s v="High (1,000+)"/>
    <x v="3"/>
    <n v="16.600000000000001"/>
    <s v="Bottom 25%"/>
    <b v="0"/>
    <b v="0"/>
    <b v="1"/>
    <n v="1.4"/>
    <n v="1"/>
    <x v="0"/>
    <s v="https://www.amazon.in/Philips-Handheld-Garment-Steamer-Purple/dp/B07DXRGWDJ/ref=sr_1_207?qid=1672923601&amp;s=kitchen&amp;sr=1-207"/>
  </r>
  <r>
    <s v="B08243SKCK"/>
    <s v="Vedini Transparent Empty Refillable Reusable Fine Mist Spray Bottle for Perfume, Travel with DIY Sticker Set ( 100ml, Pack of 4)"/>
    <s v="Home&amp;Kitchen"/>
    <x v="3"/>
    <s v="HomeStorage&amp;Organization"/>
    <s v="SprayBottles"/>
    <n v="189"/>
    <n v="299"/>
    <n v="37"/>
    <n v="4.2"/>
    <n v="2737"/>
    <n v="4.1332162615094727"/>
    <s v="High (1,000+)"/>
    <x v="0"/>
    <n v="55.8"/>
    <s v="Above median"/>
    <b v="0"/>
    <b v="0"/>
    <b v="0"/>
    <m/>
    <n v="1"/>
    <x v="0"/>
    <s v="https://www.amazon.in/Vedini-Refillable-Spray-Bottle-Transparent/dp/B08243SKCK/ref=sr_1_212?qid=1672923601&amp;s=kitchen&amp;sr=1-212"/>
  </r>
  <r>
    <s v="B09SPTNG58"/>
    <s v="Crompton Sea Sapphira 1200 mm Ultra High Speed 3 Blade Ceiling Fan (Lustre Brown, Pack of 1)"/>
    <s v="Home&amp;Kitchen"/>
    <x v="3"/>
    <s v="Heating,Cooling&amp;AirQuality"/>
    <s v="CeilingFans"/>
    <n v="1449"/>
    <n v="2349"/>
    <n v="38"/>
    <n v="3.9"/>
    <n v="9019"/>
    <n v="3.9543511396691171"/>
    <s v="High (1,000+)"/>
    <x v="4"/>
    <n v="27.7"/>
    <s v="Bottom 25%"/>
    <b v="0"/>
    <b v="0"/>
    <b v="0"/>
    <n v="0.72"/>
    <n v="1"/>
    <x v="0"/>
    <s v="https://www.amazon.in/CROMPTON-Sapphira-Ultra-Ceiling-Lustre/dp/B09SPTNG58/ref=sr_1_213?qid=1672923601&amp;s=kitchen&amp;sr=1-213"/>
  </r>
  <r>
    <s v="B083J64CBB"/>
    <s v="Kuber Industries Waterproof Canvas Laundry Bag/Hamper|Metalic Printed With Handles|Foldable Bin &amp; 45 Liter Capicity|Size 37 x 37 x 46, Pack of 1 (Brown)"/>
    <s v="Home&amp;Kitchen"/>
    <x v="3"/>
    <s v="HomeStorage&amp;Organization"/>
    <s v="LaundryBaskets"/>
    <n v="199"/>
    <n v="499"/>
    <n v="60"/>
    <n v="4"/>
    <n v="10234"/>
    <n v="4.0227513372400816"/>
    <s v="High (1,000+)"/>
    <x v="0"/>
    <n v="44.5"/>
    <s v="Below median"/>
    <b v="0"/>
    <b v="0"/>
    <b v="0"/>
    <n v="0.56999999999999995"/>
    <n v="1"/>
    <x v="0"/>
    <s v="https://www.amazon.in/Kuber-Industries-Waterproof-Organizer-CTKTC034616/dp/B083J64CBB/ref=sr_1_214?qid=1672923601&amp;s=kitchen&amp;sr=1-214"/>
  </r>
  <r>
    <s v="B08JV91JTK"/>
    <s v="JM SELLER 180 W 2021 Edition Electric Beater High Speed Hand Mixer Egg Beater for Cake Making and Whipping Cream with 7 Speed Control (White) with Free Spatula and Oil Brush"/>
    <s v="Home&amp;Kitchen"/>
    <x v="3"/>
    <s v="Kitchen&amp;HomeAppliances"/>
    <s v="HandMixers"/>
    <n v="474"/>
    <n v="1299"/>
    <n v="64"/>
    <n v="4.0999999999999996"/>
    <n v="550"/>
    <n v="4.0865945719839569"/>
    <s v="Medium (100-999)"/>
    <x v="0"/>
    <n v="59.9"/>
    <s v="Above median"/>
    <b v="0"/>
    <b v="0"/>
    <b v="0"/>
    <m/>
    <n v="1"/>
    <x v="0"/>
    <s v="https://www.amazon.in/JM-SELLER-Electric-Beater-180-Watt/dp/B08JV91JTK/ref=sr_1_215?qid=1672923601&amp;s=kitchen&amp;sr=1-215"/>
  </r>
  <r>
    <s v="B0BQ3K23Y1"/>
    <s v="Oratech Coffee Frother electric, milk frother electric, coffee beater, cappuccino maker, Coffee Foamer, Mocktail Mixer, Coffee Foam Maker, coffee whisker electric, Froth Maker, coffee stirrers electric, coffee frothers, Coffee Blender, (6 Month Warranty) (Multicolour)"/>
    <s v="Home&amp;Kitchen"/>
    <x v="3"/>
    <s v="Kitchen&amp;HomeAppliances"/>
    <s v="HandBlenders"/>
    <n v="279"/>
    <n v="499"/>
    <n v="44"/>
    <n v="4.8"/>
    <n v="28"/>
    <n v="4.0899192960508666"/>
    <s v="Low (&lt;100)"/>
    <x v="0"/>
    <n v="53.2"/>
    <s v="Above median"/>
    <b v="0"/>
    <b v="0"/>
    <b v="0"/>
    <n v="0.4"/>
    <n v="1"/>
    <x v="0"/>
    <s v="https://www.amazon.in/Oratech-electric-cappuccino-Mocktail-Multicolour/dp/B0BQ3K23Y1/ref=sr_1_216?qid=1672923601&amp;s=kitchen&amp;sr=1-216"/>
  </r>
  <r>
    <s v="B09MT94QLL"/>
    <s v="Havells Glaze 74W Pearl Ivory Gold Ceiling Fan, Sweep: 1200 Mm"/>
    <s v="Home&amp;Kitchen"/>
    <x v="3"/>
    <s v="Heating,Cooling&amp;AirQuality"/>
    <s v="CeilingFans"/>
    <n v="1999"/>
    <n v="4775"/>
    <n v="58"/>
    <n v="4.2"/>
    <n v="1353"/>
    <n v="4.1151479018044794"/>
    <s v="High (1,000+)"/>
    <x v="4"/>
    <n v="59.6"/>
    <s v="Above median"/>
    <b v="0"/>
    <b v="0"/>
    <b v="0"/>
    <n v="1"/>
    <n v="1"/>
    <x v="0"/>
    <s v="https://www.amazon.in/Havells-Glaze-Pearl-Ivory-Ceiling/dp/B09MT94QLL/ref=sr_1_217?qid=1672923601&amp;s=kitchen&amp;sr=1-217"/>
  </r>
  <r>
    <s v="B07NKNBTT3"/>
    <s v="Pick Ur Needs® Lint Remover for Clothes High Range Rechargeable Lint Shaver for All Types of Clothes, Fabrics, Blanket with 1 Extra Blade Multicolor (Rechargeable)"/>
    <s v="Home&amp;Kitchen"/>
    <x v="3"/>
    <s v="Kitchen&amp;HomeAppliances"/>
    <s v="LintShavers"/>
    <n v="799"/>
    <n v="1230"/>
    <n v="35"/>
    <n v="4.0999999999999996"/>
    <n v="2138"/>
    <n v="4.0902023712703688"/>
    <s v="High (1,000+)"/>
    <x v="2"/>
    <n v="44.3"/>
    <s v="Below median"/>
    <b v="0"/>
    <b v="0"/>
    <b v="0"/>
    <n v="1.78"/>
    <n v="1"/>
    <x v="0"/>
    <s v="https://www.amazon.in/Ur-NeedsTM-Rocklight-Remover-Fabric/dp/B07NKNBTT3/ref=sr_1_218?qid=1672923601&amp;s=kitchen&amp;sr=1-218"/>
  </r>
  <r>
    <s v="B09KPXTZXN"/>
    <s v="Rico Japanese Technology Rechargeable Wireless Electric Chopper with Replacement Warranty - Stainless Steel Blades, One Touch Operation, 10 Seconds Chopping, Mincing Vegetable, Meat - 250 ML, 30 Watts"/>
    <s v="Home&amp;Kitchen"/>
    <x v="3"/>
    <s v="Kitchen&amp;HomeAppliances"/>
    <s v="MiniFoodProcessors&amp;Choppers"/>
    <n v="949"/>
    <n v="1999"/>
    <n v="53"/>
    <n v="4"/>
    <n v="1679"/>
    <n v="4.0585204615787589"/>
    <s v="High (1,000+)"/>
    <x v="2"/>
    <n v="43.2"/>
    <s v="Below median"/>
    <b v="0"/>
    <b v="0"/>
    <b v="0"/>
    <m/>
    <n v="1"/>
    <x v="0"/>
    <s v="https://www.amazon.in/Rico-Japanese-Technology-Rechargeable-Replacement/dp/B09KPXTZXN/ref=sr_1_220?qid=1672923601&amp;s=kitchen&amp;sr=1-220"/>
  </r>
  <r>
    <s v="B078HG2ZPS"/>
    <s v="Butterfly Smart Wet Grinder, 2L (White) with Coconut Scrapper Attachment, Output - 150 W, Input 260 W"/>
    <s v="Home&amp;Kitchen"/>
    <x v="3"/>
    <s v="Kitchen&amp;HomeAppliances"/>
    <s v="WetGrinders"/>
    <n v="3657.66"/>
    <n v="5156"/>
    <n v="29"/>
    <n v="3.9"/>
    <n v="12837"/>
    <n v="3.941850001004898"/>
    <s v="High (1,000+)"/>
    <x v="3"/>
    <n v="15.5"/>
    <s v="Bottom 25%"/>
    <b v="0"/>
    <b v="0"/>
    <b v="0"/>
    <m/>
    <n v="1"/>
    <x v="0"/>
    <s v="https://www.amazon.in/Butterfly-150-Watt-Grinder-Scrapper-Attachment/dp/B078HG2ZPS/ref=sr_1_221?qid=1672923601&amp;s=kitchen&amp;sr=1-221"/>
  </r>
  <r>
    <s v="B07N2MGB3G"/>
    <s v="AGARO Marvel 9 Liters Oven Toaster Griller, Cake Baking OTG (Black)"/>
    <s v="Home&amp;Kitchen"/>
    <x v="3"/>
    <s v="Kitchen&amp;HomeAppliances"/>
    <s v="OvenToasterGrills"/>
    <n v="1699"/>
    <n v="1999"/>
    <n v="15"/>
    <n v="4.0999999999999996"/>
    <n v="8873"/>
    <n v="4.0954247233335286"/>
    <s v="High (1,000+)"/>
    <x v="4"/>
    <n v="34.700000000000003"/>
    <s v="Bottom 25%"/>
    <b v="0"/>
    <b v="0"/>
    <b v="0"/>
    <m/>
    <n v="1"/>
    <x v="0"/>
    <s v="https://www.amazon.in/AGARO-Marvel-Litre-Toaster-Griller/dp/B07N2MGB3G/ref=sr_1_222?qid=1672923601&amp;s=kitchen&amp;sr=1-222"/>
  </r>
  <r>
    <s v="B008LN8KDM"/>
    <s v="Philips GC1920/28 1440-Watt Non-Stick Soleplate Steam Iron"/>
    <s v="Home&amp;Kitchen"/>
    <x v="3"/>
    <s v="Kitchen&amp;HomeAppliances"/>
    <s v="SteamIrons"/>
    <n v="1849"/>
    <n v="2095"/>
    <n v="12"/>
    <n v="4.3"/>
    <n v="7681"/>
    <n v="4.229190290704838"/>
    <s v="High (1,000+)"/>
    <x v="4"/>
    <n v="50.1"/>
    <s v="Below median"/>
    <b v="0"/>
    <b v="0"/>
    <b v="0"/>
    <n v="0.61"/>
    <n v="1"/>
    <x v="0"/>
    <s v="https://www.amazon.in/Philips-GC1920-28-1440-Watt-Non-Stick/dp/B008LN8KDM/ref=sr_1_220?qid=1672923603&amp;s=kitchen&amp;sr=1-220"/>
  </r>
  <r>
    <s v="B08MZNT7GP"/>
    <s v="Havells OFR 13 Wave Fin with PTC Fan Heater 2900 Watts (Black)"/>
    <s v="Home&amp;Kitchen"/>
    <x v="3"/>
    <s v="Heating,Cooling&amp;AirQuality"/>
    <s v="FanHeaters"/>
    <n v="12499"/>
    <n v="19825"/>
    <n v="37"/>
    <n v="4.0999999999999996"/>
    <n v="322"/>
    <n v="4.0858462704568037"/>
    <s v="Medium (100-999)"/>
    <x v="1"/>
    <n v="31"/>
    <s v="Bottom 25%"/>
    <b v="0"/>
    <b v="0"/>
    <b v="0"/>
    <n v="11.58"/>
    <n v="1"/>
    <x v="0"/>
    <s v="https://www.amazon.in/Havells-OFR-13-Wave-Fin/dp/B08MZNT7GP/ref=sr_1_221?qid=1672923603&amp;s=kitchen&amp;sr=1-221"/>
  </r>
  <r>
    <s v="B009P2L7CO"/>
    <s v="Bajaj DHX-9 1000W Heavy Weight Dry Iron with Advance Soleplate and Anti-Bacterial German Coating Technology, Ivory"/>
    <s v="Home&amp;Kitchen"/>
    <x v="3"/>
    <s v="Kitchen&amp;HomeAppliances"/>
    <s v="DryIrons"/>
    <n v="1099"/>
    <n v="1920"/>
    <n v="43"/>
    <n v="4.2"/>
    <n v="9772"/>
    <n v="4.1679292985836804"/>
    <s v="High (1,000+)"/>
    <x v="4"/>
    <n v="58"/>
    <s v="Above median"/>
    <b v="0"/>
    <b v="0"/>
    <b v="0"/>
    <n v="1.62"/>
    <n v="1"/>
    <x v="0"/>
    <s v="https://www.amazon.in/Bajaj-DHX-1000-Watt-Ivory-Color/dp/B009P2L7CO/ref=sr_1_222?qid=1672923603&amp;s=kitchen&amp;sr=1-222"/>
  </r>
  <r>
    <s v="B07YC8JHMB"/>
    <s v="Aquasure From Aquaguard Amaze RO+UV+MTDS,7L storage water purifier,suitable for borewell,tanker,municipal water (Grey) from Eureka Forbes"/>
    <s v="Home&amp;Kitchen"/>
    <x v="3"/>
    <s v="Kitchen&amp;HomeAppliances"/>
    <s v="WaterFilters&amp;Purifiers"/>
    <n v="8199"/>
    <n v="16000"/>
    <n v="49"/>
    <n v="3.9"/>
    <n v="18497"/>
    <n v="3.9312086566041828"/>
    <s v="High (1,000+)"/>
    <x v="3"/>
    <n v="21"/>
    <s v="Bottom 25%"/>
    <b v="0"/>
    <b v="0"/>
    <b v="0"/>
    <n v="1.21"/>
    <n v="1"/>
    <x v="0"/>
    <s v="https://www.amazon.in/Eureka-Forbes-Amaze-RO-MTDS/dp/B07YC8JHMB/ref=sr_1_223?qid=1672923603&amp;s=kitchen&amp;sr=1-223"/>
  </r>
  <r>
    <s v="B0BNQMF152"/>
    <s v="ROYAL STEP Portable Electric USB Juice Maker Juicer Bottle Blender Grinder Mixer,6 Blades Rechargeable Bottle with (MULTII) (MULTI COLOUR 6 BLED JUICER MIXER)"/>
    <s v="Home&amp;Kitchen"/>
    <x v="3"/>
    <s v="Kitchen&amp;HomeAppliances"/>
    <s v="JuicerMixerGrinders"/>
    <n v="499"/>
    <n v="2199"/>
    <n v="77"/>
    <n v="3.7"/>
    <n v="53"/>
    <n v="4.0792921220497478"/>
    <s v="Low (&lt;100)"/>
    <x v="0"/>
    <n v="61"/>
    <s v="Top 25%"/>
    <b v="0"/>
    <b v="0"/>
    <b v="1"/>
    <n v="0.21"/>
    <n v="1"/>
    <x v="0"/>
    <s v="https://www.amazon.in/ROYAL-STEP-Portable-Electric-Rechargeable/dp/B0BNQMF152/ref=sr_1_224?qid=1672923603&amp;s=kitchen&amp;sr=1-224"/>
  </r>
  <r>
    <s v="B08J7VCT12"/>
    <s v="KENT 16068 Zoom Vacuum Cleaner for Home and Car 130 W | Cordless, Hoseless, Rechargeable HEPA Filters Vacuum Cleaner with Cyclonic Technology | Bagless Design and Multi Nozzle Operation | Blue"/>
    <s v="Home&amp;Kitchen"/>
    <x v="3"/>
    <s v="Kitchen&amp;HomeAppliances"/>
    <s v="HandheldVacuums"/>
    <n v="6999"/>
    <n v="14999"/>
    <n v="53"/>
    <n v="4.0999999999999996"/>
    <n v="1728"/>
    <n v="4.0894707388545326"/>
    <s v="High (1,000+)"/>
    <x v="3"/>
    <n v="41.2"/>
    <s v="Below median"/>
    <b v="0"/>
    <b v="0"/>
    <b v="0"/>
    <m/>
    <n v="1"/>
    <x v="0"/>
    <s v="https://www.amazon.in/Kent-Zoom-Vacuum-Cleaner-16068/dp/B08J7VCT12/ref=sr_1_225?qid=1672923603&amp;s=kitchen&amp;sr=1-225"/>
  </r>
  <r>
    <s v="B0989W6J2F"/>
    <s v="ENEM Sealing Machine | 12 Inch (300 mm) | 1 Year Warranty | Full Customer Support | Beep Sound Function | Plastic Packing Machine | Plastic Bag Sealing Machine | Heat Sealer Machine | Plastic Sealing Machine | Blue | Made in India"/>
    <s v="Home&amp;Kitchen"/>
    <x v="3"/>
    <s v="Kitchen&amp;HomeAppliances"/>
    <s v="VacuumSealers"/>
    <n v="1595"/>
    <n v="1799"/>
    <n v="11"/>
    <n v="4"/>
    <n v="2877"/>
    <n v="4.0479613060743764"/>
    <s v="High (1,000+)"/>
    <x v="4"/>
    <n v="22.4"/>
    <s v="Bottom 25%"/>
    <b v="0"/>
    <b v="0"/>
    <b v="0"/>
    <m/>
    <n v="1"/>
    <x v="0"/>
    <s v="https://www.amazon.in/Sealing-Machine-Warranty-Function-Plastic/dp/B0989W6J2F/ref=sr_1_226?qid=1672923603&amp;s=kitchen&amp;sr=1-226"/>
  </r>
  <r>
    <s v="B0B84KSH3X"/>
    <s v="Wipro Vesta 1200 Watt GD203 Heavyweight Automatic Dry Iron| Quick Heat Up| Anti bacterial German Weilburger Double Coated Black Soleplate |2 Years Warranty"/>
    <s v="Home&amp;Kitchen"/>
    <x v="3"/>
    <s v="Kitchen&amp;HomeAppliances"/>
    <s v="DryIrons"/>
    <n v="1049"/>
    <n v="1950"/>
    <n v="46"/>
    <n v="3.8"/>
    <n v="250"/>
    <n v="4.0669007082070561"/>
    <s v="Medium (100-999)"/>
    <x v="4"/>
    <n v="40.200000000000003"/>
    <s v="Below median"/>
    <b v="0"/>
    <b v="0"/>
    <b v="1"/>
    <n v="1.54"/>
    <n v="1"/>
    <x v="0"/>
    <s v="https://www.amazon.in/Heavyweight-Automatic-bacterial-Weilburger-Soleplate/dp/B0B84KSH3X/ref=sr_1_227?qid=1672923603&amp;s=kitchen&amp;sr=1-227"/>
  </r>
  <r>
    <s v="B08HLC7Z3G"/>
    <s v="Inalsa Electric Kettle Prism Inox - 1350 W with LED Illumination &amp; Boro-Silicate Body, 1.8 L Capacity along with Cordless Base, 2 Year Warranty (Black)"/>
    <s v="Home&amp;Kitchen"/>
    <x v="3"/>
    <s v="Kitchen&amp;HomeAppliances"/>
    <s v="Kettle&amp;ToasterSets"/>
    <n v="1182"/>
    <n v="2995"/>
    <n v="61"/>
    <n v="4.2"/>
    <n v="5178"/>
    <n v="4.151450041013458"/>
    <s v="High (1,000+)"/>
    <x v="4"/>
    <n v="65.7"/>
    <s v="Top 25%"/>
    <b v="0"/>
    <b v="0"/>
    <b v="0"/>
    <n v="1"/>
    <n v="1"/>
    <x v="0"/>
    <s v="https://www.amazon.in/Inalsa-Electric-Kettle-Prism-Inox/dp/B08HLC7Z3G/ref=sr_1_229?qid=1672923603&amp;s=kitchen&amp;sr=1-229"/>
  </r>
  <r>
    <s v="B0BN6M3TCM"/>
    <s v="VRPRIME Lint Roller Lint Remover for Clothes, Pet | 360 Sheets Reusable Sticky Easy-Tear Sheet Brush for Clothes, Furniture, Carpet, Dog Fur, Sweater, Dust &amp; Dirt (4 Rolls - 90 Sheet Each Roll)"/>
    <s v="Home&amp;Kitchen"/>
    <x v="3"/>
    <s v="Kitchen&amp;HomeAppliances"/>
    <s v="LintShavers"/>
    <n v="499"/>
    <n v="999"/>
    <n v="50"/>
    <n v="4.5999999999999996"/>
    <n v="79"/>
    <n v="4.0952333962464706"/>
    <s v="Low (&lt;100)"/>
    <x v="0"/>
    <n v="56.9"/>
    <s v="Above median"/>
    <b v="0"/>
    <b v="0"/>
    <b v="0"/>
    <n v="1.1100000000000001"/>
    <n v="1"/>
    <x v="0"/>
    <s v="https://www.amazon.in/VRPRIME-Remover-Reusable-Easy-Tear-Furniture/dp/B0BN6M3TCM/ref=sr_1_230?qid=1672923603&amp;s=kitchen&amp;sr=1-230"/>
  </r>
  <r>
    <s v="B01L6MT7E0"/>
    <s v="Philips AC1215/20 Air purifier, removes 99.97% airborne pollutants, 4-stage filtration with True HEPA filter (white)"/>
    <s v="Home&amp;Kitchen"/>
    <x v="3"/>
    <s v="Heating,Cooling&amp;AirQuality"/>
    <s v="HEPAAirPurifiers"/>
    <n v="8799"/>
    <n v="11995"/>
    <n v="27"/>
    <n v="4.0999999999999996"/>
    <n v="4157"/>
    <n v="4.0927001820418987"/>
    <s v="High (1,000+)"/>
    <x v="3"/>
    <n v="32.1"/>
    <s v="Bottom 25%"/>
    <b v="0"/>
    <b v="0"/>
    <b v="0"/>
    <m/>
    <n v="1"/>
    <x v="0"/>
    <s v="https://www.amazon.in/Philips-AC1215-20-Purifier-White/dp/B01L6MT7E0/ref=sr_1_231?qid=1672923603&amp;s=kitchen&amp;sr=1-231"/>
  </r>
  <r>
    <s v="B0B9F9PT8R"/>
    <s v="Eopora PTC Ceramic Fast Heating Room Heater for Bedroom, 1500/1000 Watts Room Heater for Home, Electric Heater, Electric Fan Heater for Home Office Bedroom (White)"/>
    <s v="Home&amp;Kitchen"/>
    <x v="3"/>
    <s v="Heating,Cooling&amp;AirQuality"/>
    <s v="ElectricHeaters"/>
    <n v="1529"/>
    <n v="2999"/>
    <n v="49"/>
    <n v="3.3"/>
    <n v="29"/>
    <n v="4.0786335465332497"/>
    <s v="Low (&lt;100)"/>
    <x v="4"/>
    <n v="44.2"/>
    <s v="Below median"/>
    <b v="0"/>
    <b v="0"/>
    <b v="1"/>
    <n v="1.1599999999999999"/>
    <n v="1"/>
    <x v="0"/>
    <s v="https://www.amazon.in/Eopora-Ceramic-Heating-Bedroom-Electric/dp/B0B9F9PT8R/ref=sr_1_235?qid=1672923603&amp;s=kitchen&amp;sr=1-235"/>
  </r>
  <r>
    <s v="B0883LQJ6B"/>
    <s v="Usha Goliath GO1200WG Heavy Weight 1200-Watt Dry Iron, 1.8 Kg(Red)"/>
    <s v="Home&amp;Kitchen"/>
    <x v="3"/>
    <s v="Kitchen&amp;HomeAppliances"/>
    <s v="DryIrons"/>
    <n v="1199"/>
    <n v="1690"/>
    <n v="29"/>
    <n v="4.2"/>
    <n v="4580"/>
    <n v="4.1479699240852046"/>
    <s v="High (1,000+)"/>
    <x v="4"/>
    <n v="50"/>
    <s v="Below median"/>
    <b v="0"/>
    <b v="0"/>
    <b v="0"/>
    <n v="1.76"/>
    <n v="1"/>
    <x v="0"/>
    <s v="https://www.amazon.in/Goliath-GO1200WG-Weight-1200-Watt-Maroon/dp/B0883LQJ6B/ref=sr_1_236?qid=1672923603&amp;s=kitchen&amp;sr=1-236"/>
  </r>
  <r>
    <s v="B099Z83VRC"/>
    <s v="Wipro Vesta Electric Egg Boiler, 360 Watts, 3 Boiling Modes, Stainless Steel Body and Heating Plate, Boils up to 7 Eggs at a time, Automatic Shut Down, White, Standard (VB021070)"/>
    <s v="Home&amp;Kitchen"/>
    <x v="3"/>
    <s v="Kitchen&amp;HomeAppliances"/>
    <s v="EggBoilers"/>
    <n v="1052"/>
    <n v="1790"/>
    <n v="41"/>
    <n v="4.3"/>
    <n v="1404"/>
    <n v="4.1431605713114914"/>
    <s v="High (1,000+)"/>
    <x v="4"/>
    <n v="55.2"/>
    <s v="Above median"/>
    <b v="0"/>
    <b v="0"/>
    <b v="0"/>
    <n v="1.51"/>
    <n v="1"/>
    <x v="0"/>
    <s v="https://www.amazon.in/Wipro-Electric-Stainless-Automatic-VB021070/dp/B099Z83VRC/ref=sr_1_237?qid=1672923603&amp;s=kitchen&amp;sr=1-237"/>
  </r>
  <r>
    <s v="B00S9BSJC8"/>
    <s v="Philips Viva Collection HR1832/00 1.5-Litre400-Watt Juicer (Ink Black)"/>
    <s v="Home&amp;Kitchen"/>
    <x v="3"/>
    <s v="Kitchen&amp;HomeAppliances"/>
    <s v="Juicers"/>
    <n v="6499"/>
    <n v="8995"/>
    <n v="28"/>
    <n v="4.3"/>
    <n v="2810"/>
    <n v="4.1767119196167082"/>
    <s v="High (1,000+)"/>
    <x v="3"/>
    <n v="45"/>
    <s v="Below median"/>
    <b v="0"/>
    <b v="0"/>
    <b v="0"/>
    <m/>
    <n v="1"/>
    <x v="0"/>
    <s v="https://www.amazon.in/Philips-Viva-Collection-HR1832-1-5-Litre400-Watt/dp/B00S9BSJC8/ref=sr_1_238?qid=1672923603&amp;s=kitchen&amp;sr=1-238"/>
  </r>
  <r>
    <s v="B0B4SJKRDF"/>
    <s v="Kitchenwell Multipurpose Portable Electronic Digital Weighing Scale Weight Machine | Weight Machine | 10 Kg"/>
    <s v="Home&amp;Kitchen"/>
    <x v="3"/>
    <s v="Kitchen&amp;HomeAppliances"/>
    <s v="DigitalScales"/>
    <n v="239"/>
    <n v="239"/>
    <n v="0"/>
    <n v="4.3"/>
    <n v="7"/>
    <n v="4.0850349095850413"/>
    <s v="Low (&lt;100)"/>
    <x v="0"/>
    <n v="37.700000000000003"/>
    <s v="Bottom 25%"/>
    <b v="0"/>
    <b v="0"/>
    <b v="0"/>
    <m/>
    <n v="1"/>
    <x v="0"/>
    <s v="https://www.amazon.in/Kitchenwell-Multipurpose-Portable-Electronic-Scale/dp/B0B4SJKRDF/ref=sr_1_239?qid=1672923603&amp;s=kitchen&amp;sr=1-239"/>
  </r>
  <r>
    <s v="B0BM4KTNL1"/>
    <s v="FIGMENT Handheld Milk Frother Rechargeable, 3-Speed Electric Frother for Coffee with 2 Whisks and Coffee Decoration Tool, Coffee Frother Mixer, CRESCENT ENTERPRISES VRW0.50BK (A1)"/>
    <s v="Home&amp;Kitchen"/>
    <x v="3"/>
    <s v="Kitchen&amp;HomeAppliances"/>
    <s v="HandBlenders"/>
    <n v="699"/>
    <n v="1599"/>
    <n v="56"/>
    <n v="4.7"/>
    <n v="1729"/>
    <n v="4.2783827900720777"/>
    <s v="High (1,000+)"/>
    <x v="2"/>
    <n v="77.599999999999994"/>
    <s v="Top 25%"/>
    <b v="0"/>
    <b v="0"/>
    <b v="0"/>
    <n v="1"/>
    <n v="1"/>
    <x v="0"/>
    <s v="https://www.amazon.in/FIGMENT-Rechargeable-Decoration-ENTERPRISES-A1/dp/B0BM4KTNL1/ref=sr_1_240?qid=1672923603&amp;s=kitchen&amp;sr=1-240"/>
  </r>
  <r>
    <s v="B08S6RKT4L"/>
    <s v="Balzano High Speed Nutri Blender/Mixer/Smoothie Maker - 500 Watt - Silver, 2 Jar"/>
    <s v="Home&amp;Kitchen"/>
    <x v="3"/>
    <s v="Kitchen&amp;HomeAppliances"/>
    <s v="SmallKitchenAppliances"/>
    <n v="2599"/>
    <n v="4290"/>
    <n v="39"/>
    <n v="4.4000000000000004"/>
    <n v="2116"/>
    <n v="4.1981524354309459"/>
    <s v="High (1,000+)"/>
    <x v="3"/>
    <n v="55.3"/>
    <s v="Above median"/>
    <b v="0"/>
    <b v="0"/>
    <b v="0"/>
    <m/>
    <n v="1"/>
    <x v="0"/>
    <s v="https://www.amazon.in/Balzano-Speed-Nutri-Blender-Smoothie/dp/B08S6RKT4L/ref=sr_1_241?qid=1672923603&amp;s=kitchen&amp;sr=1-241"/>
  </r>
  <r>
    <s v="B09SZ5TWHW"/>
    <s v="Swiss Military VC03 Wireless Car Vacuum Cleaner | Wireless Vacuum Cleaner for Home, Car, Living Room | Wireless Vacuum Cleaner Dust Collection/Lighting Car Pet Hair Vacuum with Powerful Motor"/>
    <s v="Home&amp;Kitchen"/>
    <x v="3"/>
    <s v="Kitchen&amp;HomeAppliances"/>
    <s v="HandheldVacuums"/>
    <n v="1547"/>
    <n v="2890"/>
    <n v="46"/>
    <n v="3.9"/>
    <n v="463"/>
    <n v="4.0644039975578794"/>
    <s v="Medium (100-999)"/>
    <x v="4"/>
    <n v="36.200000000000003"/>
    <s v="Bottom 25%"/>
    <b v="0"/>
    <b v="0"/>
    <b v="0"/>
    <m/>
    <n v="1"/>
    <x v="0"/>
    <s v="https://www.amazon.in/Swiss-Military-VC03-Wireless-Collection/dp/B09SZ5TWHW/ref=sr_1_242?qid=1672923603&amp;s=kitchen&amp;sr=1-242"/>
  </r>
  <r>
    <s v="B0BLC2BYPX"/>
    <s v="Zuvexa USB Rechargeable Electric Foam Maker - Handheld Milk Wand Mixer Frother for Hot Milk, Hand Blender Coffee, Egg Beater (Black)"/>
    <s v="Home&amp;Kitchen"/>
    <x v="3"/>
    <s v="Kitchen&amp;HomeAppliances"/>
    <s v="HandBlenders"/>
    <n v="499"/>
    <n v="1299"/>
    <n v="62"/>
    <n v="4.7"/>
    <n v="54"/>
    <n v="4.0933418293412327"/>
    <s v="Low (&lt;100)"/>
    <x v="0"/>
    <n v="62.3"/>
    <s v="Top 25%"/>
    <b v="0"/>
    <b v="0"/>
    <b v="0"/>
    <n v="0.71"/>
    <n v="1"/>
    <x v="0"/>
    <s v="https://www.amazon.in/Zuvexa-Rechargeable-Electric-Foam-Maker/dp/B0BLC2BYPX/ref=sr_1_243?qid=1672923603&amp;s=kitchen&amp;sr=1-243"/>
  </r>
  <r>
    <s v="B00P0R95EA"/>
    <s v="Usha IH2415 1500-Watt Immersion Heater (Silver)"/>
    <s v="Home&amp;Kitchen"/>
    <x v="3"/>
    <s v="Heating,Cooling&amp;AirQuality"/>
    <s v="ImmersionRods"/>
    <n v="510"/>
    <n v="640"/>
    <n v="20"/>
    <n v="4.0999999999999996"/>
    <n v="7229"/>
    <n v="4.0947403986426618"/>
    <s v="High (1,000+)"/>
    <x v="2"/>
    <n v="46.1"/>
    <s v="Below median"/>
    <b v="0"/>
    <b v="0"/>
    <b v="0"/>
    <m/>
    <n v="1"/>
    <x v="0"/>
    <s v="https://www.amazon.in/Usha-IH2415-1500-Watt-Immersion-Heater/dp/B00P0R95EA/ref=sr_1_244?qid=1672923603&amp;s=kitchen&amp;sr=1-244"/>
  </r>
  <r>
    <s v="B07W4HTS8Q"/>
    <s v="ACTIVA Instant 3 LTR 3 KVA SPECIAL Anti Rust Coated Tank Geyser with Full ABS Body with 5 Year Warranty Premium (White)"/>
    <s v="Home&amp;Kitchen"/>
    <x v="3"/>
    <s v="Heating,Cooling&amp;AirQuality"/>
    <s v="InstantWaterHeaters"/>
    <n v="1899"/>
    <n v="3790"/>
    <n v="50"/>
    <n v="3.8"/>
    <n v="3842"/>
    <n v="3.9408296524006592"/>
    <s v="High (1,000+)"/>
    <x v="4"/>
    <n v="30.9"/>
    <s v="Bottom 25%"/>
    <b v="0"/>
    <b v="0"/>
    <b v="1"/>
    <n v="0.73"/>
    <n v="1"/>
    <x v="0"/>
    <s v="https://www.amazon.in/ACTIVA-Instant-SPCEIAL-Warranty-Premium/dp/B07W4HTS8Q/ref=sr_1_245?qid=1672923603&amp;s=kitchen&amp;sr=1-245"/>
  </r>
  <r>
    <s v="B078JBK4GX"/>
    <s v="Havells Instanio 1-Litre 3KW Instant Water Heater (Geyser), White Blue"/>
    <s v="Home&amp;Kitchen"/>
    <x v="3"/>
    <s v="Heating,Cooling&amp;AirQuality"/>
    <s v="InstantWaterHeaters"/>
    <n v="2599"/>
    <n v="4560"/>
    <n v="43"/>
    <n v="4.4000000000000004"/>
    <n v="646"/>
    <n v="4.1308470209097914"/>
    <s v="Medium (100-999)"/>
    <x v="3"/>
    <n v="51.3"/>
    <s v="Above median"/>
    <b v="0"/>
    <b v="0"/>
    <b v="0"/>
    <n v="1"/>
    <n v="1"/>
    <x v="0"/>
    <s v="https://www.amazon.in/Havells-Instanio-1-Litre-Instant-Geyser/dp/B078JBK4GX/ref=sr_1_244?qid=1672923605&amp;s=kitchen&amp;sr=1-244"/>
  </r>
  <r>
    <s v="B08S7V8YTN"/>
    <s v="Lifelong 2-in1 Egg Boiler and Poacher 500-Watt (Transparent and Silver Grey), Boil 8 eggs, Poach 4 eggs, Easy to clean| 3 Boiling Modes, Stainless Steel Body and Heating Plate, Automatic Turn-Off"/>
    <s v="Home&amp;Kitchen"/>
    <x v="3"/>
    <s v="Kitchen&amp;HomeAppliances"/>
    <s v="EggBoilers"/>
    <n v="1199"/>
    <n v="3500"/>
    <n v="66"/>
    <n v="4.3"/>
    <n v="1802"/>
    <n v="4.1543784871382554"/>
    <s v="High (1,000+)"/>
    <x v="4"/>
    <n v="67.900000000000006"/>
    <s v="Top 25%"/>
    <b v="0"/>
    <b v="0"/>
    <b v="0"/>
    <n v="1.72"/>
    <n v="1"/>
    <x v="0"/>
    <s v="https://www.amazon.in/Lifelong-Boiler-Poacher-500-Watt-Transparent/dp/B08S7V8YTN/ref=sr_1_245?qid=1672923605&amp;s=kitchen&amp;sr=1-245"/>
  </r>
  <r>
    <s v="B07H5PBN54"/>
    <s v="INDIAS®™ Electro-Instant Water Geyser A.B.S. Body Shock Proof Can be Used in Bathroom, Kitchen, wash Area, Hotels, Hospital etc."/>
    <s v="Home&amp;Kitchen"/>
    <x v="3"/>
    <s v="Heating,Cooling&amp;AirQuality"/>
    <s v="InstantWaterHeaters"/>
    <n v="999"/>
    <n v="2600"/>
    <n v="62"/>
    <n v="3.4"/>
    <n v="252"/>
    <n v="4.04165875991551"/>
    <s v="Medium (100-999)"/>
    <x v="2"/>
    <n v="49.2"/>
    <s v="Below median"/>
    <b v="0"/>
    <b v="0"/>
    <b v="1"/>
    <n v="0.38"/>
    <n v="1"/>
    <x v="0"/>
    <s v="https://www.amazon.in/Indias-Instant-Bathroom-Kitchen-Hospital/dp/B07H5PBN54/ref=sr_1_246?qid=1672923605&amp;s=kitchen&amp;sr=1-246"/>
  </r>
  <r>
    <s v="B07YCBSCYB"/>
    <s v="AmazonBasics Induction Cooktop 1600 Watt (Black)"/>
    <s v="Home&amp;Kitchen"/>
    <x v="3"/>
    <s v="Kitchen&amp;HomeAppliances"/>
    <s v="InductionCooktop"/>
    <n v="1999"/>
    <n v="3300"/>
    <n v="39"/>
    <n v="4.2"/>
    <n v="780"/>
    <n v="4.1044444890876868"/>
    <s v="Medium (100-999)"/>
    <x v="4"/>
    <n v="45.9"/>
    <s v="Below median"/>
    <b v="0"/>
    <b v="0"/>
    <b v="0"/>
    <n v="0.98"/>
    <n v="1"/>
    <x v="0"/>
    <s v="https://www.amazon.in/AmazonBasics-Induction-Cooktop-1600-Watt/dp/B07YCBSCYB/ref=sr_1_247?qid=1672923605&amp;s=kitchen&amp;sr=1-247"/>
  </r>
  <r>
    <s v="B098T9CJVQ"/>
    <s v="Sui Generis Electric Handheld Milk Wand Mixer Frother for Latte Coffee Hot Milk, Milk Frother, Electric Coffee Beater, Egg Beater, Latte Maker, Mini Hand Blender Cappuccino Maker (Multicolor)"/>
    <s v="Home&amp;Kitchen"/>
    <x v="3"/>
    <s v="Kitchen&amp;HomeAppliances"/>
    <s v="HandBlenders"/>
    <n v="210"/>
    <n v="699"/>
    <n v="70"/>
    <n v="3.7"/>
    <n v="74"/>
    <n v="4.0772159759366131"/>
    <s v="Low (&lt;100)"/>
    <x v="0"/>
    <n v="61"/>
    <s v="Top 25%"/>
    <b v="0"/>
    <b v="0"/>
    <b v="1"/>
    <n v="0.3"/>
    <n v="1"/>
    <x v="0"/>
    <s v="https://www.amazon.in/Sui-Generis-Frother-Electric-Blender/dp/B098T9CJVQ/ref=sr_1_248?qid=1672923605&amp;s=kitchen&amp;sr=1-248"/>
  </r>
  <r>
    <s v="B01KCSGBU2"/>
    <s v="Philips Air Purifier Ac2887/20,Vitashield Intelligent Purification,Long Hepa Filter Life Upto 17000 Hours,Removes 99.9% Airborne Viruses &amp; Bacteria,99.97% Airborne Pollutants,Ideal For Master Bedroom"/>
    <s v="Home&amp;Kitchen"/>
    <x v="3"/>
    <s v="Heating,Cooling&amp;AirQuality"/>
    <s v="HEPAAirPurifiers"/>
    <n v="14499"/>
    <n v="23559"/>
    <n v="38"/>
    <n v="4.3"/>
    <n v="2026"/>
    <n v="4.1600136635882894"/>
    <s v="High (1,000+)"/>
    <x v="1"/>
    <n v="45.8"/>
    <s v="Below median"/>
    <b v="0"/>
    <b v="0"/>
    <b v="0"/>
    <m/>
    <n v="1"/>
    <x v="0"/>
    <s v="https://www.amazon.in/Philips-AeraSense-AC2887-20-Purifier/dp/B01KCSGBU2/ref=sr_1_249?qid=1672923605&amp;s=kitchen&amp;sr=1-249"/>
  </r>
  <r>
    <s v="B095XCRDQW"/>
    <s v="Esquire Laundry Basket Brown, 50 Ltr Capacity(Plastic)"/>
    <s v="Home&amp;Kitchen"/>
    <x v="3"/>
    <s v="HomeStorage&amp;Organization"/>
    <s v="LaundryBaskets"/>
    <n v="950"/>
    <n v="1599"/>
    <n v="41"/>
    <n v="4.3"/>
    <n v="5911"/>
    <n v="4.2162339475557777"/>
    <s v="High (1,000+)"/>
    <x v="2"/>
    <n v="56.2"/>
    <s v="Above median"/>
    <b v="0"/>
    <b v="0"/>
    <b v="0"/>
    <n v="2.71"/>
    <n v="1"/>
    <x v="0"/>
    <s v="https://www.amazon.in/Esquire-Elite-Laundry-Basket-Colour/dp/B095XCRDQW/ref=sr_1_250?qid=1672923605&amp;s=kitchen&amp;sr=1-250"/>
  </r>
  <r>
    <s v="B09CTWFV5W"/>
    <s v="PHILIPS Air Fryer HD9200/90, uses up to 90% less fat, 1400W, 4.1 Liter, with Rapid Air Technology (Black), Large"/>
    <s v="Home&amp;Kitchen"/>
    <x v="3"/>
    <s v="Kitchen&amp;HomeAppliances"/>
    <s v="AirFryers"/>
    <n v="7199"/>
    <n v="9995"/>
    <n v="28"/>
    <n v="4.4000000000000004"/>
    <n v="1964"/>
    <n v="4.1927947422825138"/>
    <s v="High (1,000+)"/>
    <x v="3"/>
    <n v="47.7"/>
    <s v="Below median"/>
    <b v="0"/>
    <b v="0"/>
    <b v="0"/>
    <m/>
    <n v="1"/>
    <x v="0"/>
    <s v="https://www.amazon.in/PHILIPS-Fryer-HD9200-90-Technology/dp/B09CTWFV5W/ref=sr_1_251?qid=1672923605&amp;s=kitchen&amp;sr=1-251"/>
  </r>
  <r>
    <s v="B0B7NWGXS6"/>
    <s v="Havells Bero Quartz Heater Black 800w 2 Heat Settings 2 Year Product Warranty"/>
    <s v="Home&amp;Kitchen"/>
    <x v="3"/>
    <s v="Heating,Cooling&amp;AirQuality"/>
    <s v="ElectricHeaters"/>
    <n v="2439"/>
    <n v="2545"/>
    <n v="4"/>
    <n v="4.0999999999999996"/>
    <n v="25"/>
    <n v="4.0847363938431194"/>
    <s v="Low (&lt;100)"/>
    <x v="4"/>
    <n v="27.8"/>
    <s v="Bottom 25%"/>
    <b v="0"/>
    <b v="0"/>
    <b v="0"/>
    <n v="1.85"/>
    <n v="1"/>
    <x v="0"/>
    <s v="https://www.amazon.in/Havells-Quartz-Settings-Product-Warranty/dp/B0B7NWGXS6/ref=sr_1_252?qid=1672923605&amp;s=kitchen&amp;sr=1-252"/>
  </r>
  <r>
    <s v="B07DZ986Q2"/>
    <s v="Philips EasyTouch Plus Standing Garment Steamer GC523/60 - 1600 Watt, 5 Steam Settings, Up to 32 g/min steam, with Double Pole"/>
    <s v="Home&amp;Kitchen"/>
    <x v="3"/>
    <s v="Kitchen&amp;HomeAppliances"/>
    <s v="SteamIrons"/>
    <n v="7799"/>
    <n v="8995"/>
    <n v="13"/>
    <n v="4"/>
    <n v="3160"/>
    <n v="4.0460005910698174"/>
    <s v="High (1,000+)"/>
    <x v="3"/>
    <n v="16.8"/>
    <s v="Bottom 25%"/>
    <b v="0"/>
    <b v="1"/>
    <b v="0"/>
    <n v="2.56"/>
    <n v="1"/>
    <x v="0"/>
    <s v="https://www.amazon.in/Philips-Garment-Steamer-GC523-60/dp/B07DZ986Q2/ref=sr_1_253?qid=1672923605&amp;s=kitchen&amp;sr=1-253"/>
  </r>
  <r>
    <s v="B07KKJPTWB"/>
    <s v="Brayden Chopro, Electric Vegetable Chopper for Kitchen with 500 ML Capacity, 400 Watts Copper Motor and 4 Bi-Level SS Blades (Black)"/>
    <s v="Home&amp;Kitchen"/>
    <x v="3"/>
    <s v="Kitchen&amp;HomeAppliances"/>
    <s v="MiniFoodProcessors&amp;Choppers"/>
    <n v="1599"/>
    <n v="1999"/>
    <n v="20"/>
    <n v="4.4000000000000004"/>
    <n v="1558"/>
    <n v="4.1769831955043353"/>
    <s v="High (1,000+)"/>
    <x v="4"/>
    <n v="47.4"/>
    <s v="Below median"/>
    <b v="0"/>
    <b v="0"/>
    <b v="0"/>
    <m/>
    <n v="1"/>
    <x v="0"/>
    <s v="https://www.amazon.in/Brayden-Plastic-Express-Bi-Level-Stainless/dp/B07KKJPTWB/ref=sr_1_254?qid=1672923605&amp;s=kitchen&amp;sr=1-254"/>
  </r>
  <r>
    <s v="B071R3LHFM"/>
    <s v="Wonderchef Nutri-blend Mixer, Grinder &amp; Blender | Powerful 400W 22000 RPM motor | Stainless steel Blades | 3 unbreakable jars | 2 Years warranty | Online recipe book by Chef Sanjeev Kapoor | Black"/>
    <s v="Home&amp;Kitchen"/>
    <x v="3"/>
    <s v="Kitchen&amp;HomeAppliances"/>
    <s v="MixerGrinders"/>
    <n v="2899"/>
    <n v="5500"/>
    <n v="47"/>
    <n v="3.8"/>
    <n v="8958"/>
    <n v="3.8841900154617202"/>
    <s v="High (1,000+)"/>
    <x v="3"/>
    <n v="21.3"/>
    <s v="Bottom 25%"/>
    <b v="0"/>
    <b v="0"/>
    <b v="1"/>
    <n v="1"/>
    <n v="1"/>
    <x v="0"/>
    <s v="https://www.amazon.in/Wonderchef-Nutri-Blend-63152293-400-Watt-Grinder/dp/B071R3LHFM/ref=sr_1_255?qid=1672923605&amp;s=kitchen&amp;sr=1-255"/>
  </r>
  <r>
    <s v="B086X18Q71"/>
    <s v="Usha Janome Dream Stitch Automatic Zig-Zag Electric Sewing Machine with 14 Stitch Function (White and Blue) with Free Sewing KIT Worth RS 500"/>
    <s v="Home&amp;Kitchen"/>
    <x v="3"/>
    <s v="Kitchen&amp;HomeAppliances"/>
    <s v="Sewing&amp;EmbroideryMachines"/>
    <n v="9799"/>
    <n v="12150"/>
    <n v="19"/>
    <n v="4.3"/>
    <n v="13251"/>
    <n v="4.2523724743104481"/>
    <s v="High (1,000+)"/>
    <x v="3"/>
    <n v="47.4"/>
    <s v="Below median"/>
    <b v="0"/>
    <b v="0"/>
    <b v="0"/>
    <m/>
    <n v="1"/>
    <x v="0"/>
    <s v="https://www.amazon.in/Usha-Janome-Dream-Stitch-Automatic/dp/B086X18Q71/ref=sr_1_259?qid=1672923605&amp;s=kitchen&amp;sr=1-259"/>
  </r>
  <r>
    <s v="B07WVQG8WZ"/>
    <s v="Black+Decker Handheld Portable Garment Steamer 1500 Watts with Anti Calc (Violet)"/>
    <s v="Home&amp;Kitchen"/>
    <x v="3"/>
    <s v="Kitchen&amp;HomeAppliances"/>
    <s v="SteamIrons"/>
    <n v="3299"/>
    <n v="4995"/>
    <n v="34"/>
    <n v="3.8"/>
    <n v="1393"/>
    <n v="4.0077274932946976"/>
    <s v="High (1,000+)"/>
    <x v="3"/>
    <n v="20.100000000000001"/>
    <s v="Bottom 25%"/>
    <b v="0"/>
    <b v="0"/>
    <b v="1"/>
    <n v="1.08"/>
    <n v="1"/>
    <x v="0"/>
    <s v="https://www.amazon.in/BXGS1501IN-Handheld-Portable-Garment-Steamer/dp/B07WVQG8WZ/ref=sr_1_260?qid=1672923605&amp;s=kitchen&amp;sr=1-260"/>
  </r>
  <r>
    <s v="B0BFBNXS94"/>
    <s v="Personal Size Blender, Portable Blender, Battery Powered USB Blender, with Four Blades, Mini Blender Travel Bottle for Juice, Shakes, and Smoothies (Pink)"/>
    <s v="Home&amp;Kitchen"/>
    <x v="3"/>
    <s v="Kitchen&amp;HomeAppliances"/>
    <s v="HandBlenders"/>
    <n v="669"/>
    <n v="1499"/>
    <n v="55"/>
    <n v="2.2999999999999998"/>
    <n v="13"/>
    <n v="4.0784900256074206"/>
    <s v="Low (&lt;100)"/>
    <x v="2"/>
    <n v="50.1"/>
    <s v="Below median"/>
    <b v="0"/>
    <b v="0"/>
    <b v="1"/>
    <n v="0.96"/>
    <n v="1"/>
    <x v="0"/>
    <s v="https://www.amazon.in/Personal-Blender-Portable-Battery-Smoothies/dp/B0BFBNXS94/ref=sr_1_261_mod_primary_new?qid=1672923605&amp;s=kitchen&amp;sbo=RZvfv%2F%2FHxDF%2BO5021pAnSA%3D%3D&amp;sr=1-261"/>
  </r>
  <r>
    <s v="B071113J7M"/>
    <s v="Sujata Powermatic Plus 900 Watts Juicer Mixer Grinder"/>
    <s v="Home&amp;Kitchen"/>
    <x v="3"/>
    <s v="Kitchen&amp;HomeAppliances"/>
    <s v="JuicerMixerGrinders"/>
    <n v="5890"/>
    <n v="7506"/>
    <n v="22"/>
    <n v="4.5"/>
    <n v="7241"/>
    <n v="4.3579714719571783"/>
    <s v="High (1,000+)"/>
    <x v="3"/>
    <n v="54.4"/>
    <s v="Above median"/>
    <b v="0"/>
    <b v="0"/>
    <b v="0"/>
    <n v="2.52"/>
    <n v="1"/>
    <x v="0"/>
    <s v="https://www.amazon.in/Sujata-Powermatic-Watts-Juicer-Grinder/dp/B071113J7M/ref=sr_1_262?qid=1672923605&amp;s=kitchen&amp;sr=1-262"/>
  </r>
  <r>
    <s v="B09YLWT89W"/>
    <s v="Sure From Aquaguard Delight NXT RO+UV+UF+Taste Adjuster(MTDS),6L water purifier,8 stages purification,Suitable for borewell,tanker,municipal water(Black) from Eureka Forbes"/>
    <s v="Home&amp;Kitchen"/>
    <x v="3"/>
    <s v="Kitchen&amp;HomeAppliances"/>
    <s v="WaterFilters&amp;Purifiers"/>
    <n v="9199"/>
    <n v="18000"/>
    <n v="49"/>
    <n v="4"/>
    <n v="16020"/>
    <n v="4.0160970095630386"/>
    <s v="High (1,000+)"/>
    <x v="3"/>
    <n v="24.8"/>
    <s v="Bottom 25%"/>
    <b v="0"/>
    <b v="0"/>
    <b v="0"/>
    <n v="1.35"/>
    <n v="1"/>
    <x v="0"/>
    <s v="https://www.amazon.in/Aquaguard-purification-municipal-Eureka-Forbes/dp/B09YLWT89W/ref=sr_1_263?qid=1672923605&amp;s=kitchen&amp;sr=1-263"/>
  </r>
  <r>
    <s v="B0814LP6S9"/>
    <s v="PrettyKrafts Laundry Basket for clothes with Lid &amp; Handles, Toys Organiser, 75 Ltr Grey"/>
    <s v="Home&amp;Kitchen"/>
    <x v="3"/>
    <s v="HomeStorage&amp;Organization"/>
    <s v="LaundryBaskets"/>
    <n v="351"/>
    <n v="1099"/>
    <n v="68"/>
    <n v="3.7"/>
    <n v="1470"/>
    <n v="3.9765769883766491"/>
    <s v="High (1,000+)"/>
    <x v="0"/>
    <n v="40.200000000000003"/>
    <s v="Below median"/>
    <b v="0"/>
    <b v="0"/>
    <b v="1"/>
    <n v="1"/>
    <n v="1"/>
    <x v="0"/>
    <s v="https://www.amazon.in/PrettyKrafts-Laundry-Basket-Clothes-Handles/dp/B0814LP6S9/ref=sr_1_264?qid=1672923605&amp;s=kitchen&amp;sr=1-264"/>
  </r>
  <r>
    <s v="B07BKSSDR2"/>
    <s v="Dr Trust Electronic Kitchen Digital Scale Weighing Machine (Blue)"/>
    <s v="Health&amp;PersonalCare"/>
    <x v="2"/>
    <s v="HomeMedicalSupplies&amp;Equipment"/>
    <s v="DigitalBathroomScales"/>
    <n v="899"/>
    <n v="1900"/>
    <n v="53"/>
    <n v="4"/>
    <n v="3663"/>
    <n v="4.0428845319077258"/>
    <s v="High (1,000+)"/>
    <x v="2"/>
    <n v="39.200000000000003"/>
    <s v="Below median"/>
    <b v="0"/>
    <b v="0"/>
    <b v="0"/>
    <m/>
    <n v="1"/>
    <x v="0"/>
    <s v="https://www.amazon.in/Dr-Trust-Electronic-Kitchen-Weighing/dp/B07BKSSDR2/ref=sr_1_265?qid=1672923605&amp;s=kitchen&amp;sr=1-265"/>
  </r>
  <r>
    <s v="B09VGS66FV"/>
    <s v="Tesora - Inspired by you Large Premium Electric Kettle 1.8L, Stainless Steel Inner Body - Auto Power Cut, Boil Dry Protection &amp; Cool Touch Double Wall, Portable | 1500 Watts |1 Year Warranty | (White)"/>
    <s v="Home&amp;Kitchen"/>
    <x v="3"/>
    <s v="Kitchen&amp;HomeAppliances"/>
    <s v="Kettle&amp;ToasterSets"/>
    <n v="1349"/>
    <n v="1850"/>
    <n v="27"/>
    <n v="4.4000000000000004"/>
    <n v="638"/>
    <n v="4.1303577074607007"/>
    <s v="Medium (100-999)"/>
    <x v="4"/>
    <n v="46.1"/>
    <s v="Below median"/>
    <b v="0"/>
    <b v="0"/>
    <b v="0"/>
    <n v="1.1399999999999999"/>
    <n v="1"/>
    <x v="0"/>
    <s v="https://www.amazon.in/Tesora-Electric-Stainless-Protection-White/dp/B09VGS66FV/ref=sr_1_266?qid=1672923605&amp;s=kitchen&amp;sr=1-266"/>
  </r>
  <r>
    <s v="B07RCGTZ4M"/>
    <s v="AGARO Ace 1600 Watts, 21.5 kPa Suction Power, 21 litres Wet &amp; Dry Stainless Steel Vacuum Cleaner with Blower Function and Washable Dust Bag"/>
    <s v="Home&amp;Kitchen"/>
    <x v="3"/>
    <s v="Kitchen&amp;HomeAppliances"/>
    <s v="Wet-DryVacuums"/>
    <n v="6236"/>
    <n v="9999"/>
    <n v="38"/>
    <n v="4.0999999999999996"/>
    <n v="3552"/>
    <n v="4.0920963964291222"/>
    <s v="High (1,000+)"/>
    <x v="3"/>
    <n v="35.5"/>
    <s v="Bottom 25%"/>
    <b v="0"/>
    <b v="0"/>
    <b v="0"/>
    <m/>
    <n v="1"/>
    <x v="0"/>
    <s v="https://www.amazon.in/Ace-1600-Watt-21-Litre-Stainless-Function/dp/B07RCGTZ4M/ref=sr_1_268?qid=1672923605&amp;s=kitchen&amp;sr=1-268"/>
  </r>
  <r>
    <s v="B0747VDH9L"/>
    <s v="INALSA Hand Blender 1000 Watt with Chopper, Whisker, 600 ml Multipurpose Jar|Variable Speed And Turbo Speed Function |100% Copper Motor |Low Noise |ANTI-SPLASH TECHNOLOGY|2 Year Warranty"/>
    <s v="Home&amp;Kitchen"/>
    <x v="3"/>
    <s v="Kitchen&amp;HomeAppliances"/>
    <s v="HandBlenders"/>
    <n v="2742"/>
    <n v="3995"/>
    <n v="31"/>
    <n v="4.4000000000000004"/>
    <n v="11148"/>
    <n v="4.3204211187874861"/>
    <s v="High (1,000+)"/>
    <x v="3"/>
    <n v="58.8"/>
    <s v="Above median"/>
    <b v="0"/>
    <b v="0"/>
    <b v="0"/>
    <n v="3.92"/>
    <n v="1"/>
    <x v="0"/>
    <s v="https://www.amazon.in/Inalsa-Robot-1000-800-Watt-Blender/dp/B0747VDH9L/ref=sr_1_269?qid=1672923605&amp;s=kitchen&amp;sr=1-269"/>
  </r>
  <r>
    <s v="B08XLR6DSB"/>
    <s v="akiara - Makes life easy Electric Handy Sewing/Stitch Handheld Cordless Portable White Sewing Machine for Home Tailoring, Hand Machine | Mini Silai | White Hand Machine with Adapter"/>
    <s v="Home&amp;Kitchen"/>
    <x v="3"/>
    <s v="Kitchen&amp;HomeAppliances"/>
    <s v="Sewing&amp;EmbroideryMachines"/>
    <n v="721"/>
    <n v="1499"/>
    <n v="52"/>
    <n v="3.1"/>
    <n v="2449"/>
    <n v="3.6964242279128738"/>
    <s v="High (1,000+)"/>
    <x v="2"/>
    <n v="31.6"/>
    <s v="Bottom 25%"/>
    <b v="0"/>
    <b v="0"/>
    <b v="1"/>
    <m/>
    <n v="1"/>
    <x v="0"/>
    <s v="https://www.amazon.in/Akiara-Electric-Handheld-Cordless-Tailoring/dp/B08XLR6DSB/ref=sr_1_270?qid=1672923605&amp;s=kitchen&amp;sr=1-270"/>
  </r>
  <r>
    <s v="B08H6CZSHT"/>
    <s v="Philips EasySpeed Plus Steam Iron GC2145/20-2200W, Quick Heat Up with up to 30 g/min steam, 110 g steam Boost, Scratch Resistant Ceramic Soleplate, Vertical steam &amp; Drip-Stop"/>
    <s v="Home&amp;Kitchen"/>
    <x v="3"/>
    <s v="Kitchen&amp;HomeAppliances"/>
    <s v="SteamIrons"/>
    <n v="2903"/>
    <n v="3295"/>
    <n v="12"/>
    <n v="4.3"/>
    <n v="2299"/>
    <n v="4.166318418160655"/>
    <s v="High (1,000+)"/>
    <x v="3"/>
    <n v="41.3"/>
    <s v="Below median"/>
    <b v="0"/>
    <b v="0"/>
    <b v="0"/>
    <n v="0.95"/>
    <n v="1"/>
    <x v="0"/>
    <s v="https://www.amazon.in/EasySpeed-GC2145-Resistant-Soleplate-Drip-Stop/dp/B08H6CZSHT/ref=sr_1_268?qid=1672923606&amp;s=kitchen&amp;sr=1-268"/>
  </r>
  <r>
    <s v="B07CVR2L5K"/>
    <s v="INALSA Electric Chopper Bullet- 400 Watts with 100% Pure Copper Motor| Chop, Mince, Puree, Dice | Twin Blade Technology| 900 ml Capacity| One Touch Operation, 1.30mtr Long Power Cord (Black/Silver)"/>
    <s v="Home&amp;Kitchen"/>
    <x v="3"/>
    <s v="Kitchen&amp;HomeAppliances"/>
    <s v="MiniFoodProcessors&amp;Choppers"/>
    <n v="1656"/>
    <n v="2695"/>
    <n v="39"/>
    <n v="4.4000000000000004"/>
    <n v="6027"/>
    <n v="4.2787924911058601"/>
    <s v="High (1,000+)"/>
    <x v="4"/>
    <n v="62.4"/>
    <s v="Top 25%"/>
    <b v="0"/>
    <b v="0"/>
    <b v="0"/>
    <m/>
    <n v="1"/>
    <x v="0"/>
    <s v="https://www.amazon.in/Inalsa-Bullet-400-Watt-Technology-Chopper/dp/B07CVR2L5K/ref=sr_1_269?qid=1672923606&amp;s=kitchen&amp;sr=1-269"/>
  </r>
  <r>
    <s v="B09J4YQYX3"/>
    <s v="Borosil Electric Egg Boiler, 8 Egg Capacity, For Hard, Soft, Medium Boiled Eggs, Steamed Vegetables, Transparent Lid, Stainless Steel Exterior (500 Watts)"/>
    <s v="Home&amp;Kitchen"/>
    <x v="3"/>
    <s v="Kitchen&amp;HomeAppliances"/>
    <s v="EggBoilers"/>
    <n v="1399"/>
    <n v="2290"/>
    <n v="39"/>
    <n v="4.4000000000000004"/>
    <n v="461"/>
    <n v="4.1190574385416872"/>
    <s v="Medium (100-999)"/>
    <x v="4"/>
    <n v="49.4"/>
    <s v="Below median"/>
    <b v="0"/>
    <b v="1"/>
    <b v="0"/>
    <n v="2"/>
    <n v="1"/>
    <x v="0"/>
    <s v="https://www.amazon.in/Borosil-Electric-Vegetables-Transparent-Stainless/dp/B09J4YQYX3/ref=sr_1_270?qid=1672923606&amp;s=kitchen&amp;sr=1-270"/>
  </r>
  <r>
    <s v="B0B2DD8BQ8"/>
    <s v="Wipro Vesta Grill 1000 Watt Sandwich Maker |Dual function-SW Maker&amp;Griller|Non stick Coat -BPA&amp;PTFE Free |Auto Temp Cut-off| Height Control -180ᶿ&amp;105ᶿ |2 year warranty|SS Finish|Standard size"/>
    <s v="Home&amp;Kitchen"/>
    <x v="3"/>
    <s v="Kitchen&amp;HomeAppliances"/>
    <s v="SandwichMakers"/>
    <n v="2079"/>
    <n v="3099"/>
    <n v="33"/>
    <n v="4.0999999999999996"/>
    <n v="282"/>
    <n v="4.0857062904390693"/>
    <s v="Medium (100-999)"/>
    <x v="4"/>
    <n v="33.4"/>
    <s v="Bottom 25%"/>
    <b v="0"/>
    <b v="0"/>
    <b v="0"/>
    <n v="1.41"/>
    <n v="1"/>
    <x v="0"/>
    <s v="https://www.amazon.in/Wipro-Sandwich-function-SW-warranty-Standard/dp/B0B2DD8BQ8/ref=sr_1_271?qid=1672923606&amp;s=kitchen&amp;sr=1-271"/>
  </r>
  <r>
    <s v="B0123P3PWE"/>
    <s v="Rico IRPRO 1500 Watt Japanese Technology Electric Water Heater Immersion Rod Shockproof Protection &amp; Stainless Steel Heating Element for Instant Heating| ISI Certified 1 Year Replacement Warranty"/>
    <s v="Home&amp;Kitchen"/>
    <x v="3"/>
    <s v="Heating,Cooling&amp;AirQuality"/>
    <s v="ImmersionRods"/>
    <n v="999"/>
    <n v="1075"/>
    <n v="7"/>
    <n v="4.0999999999999996"/>
    <n v="9275"/>
    <n v="4.0955657980196216"/>
    <s v="High (1,000+)"/>
    <x v="2"/>
    <n v="41.6"/>
    <s v="Below median"/>
    <b v="0"/>
    <b v="0"/>
    <b v="0"/>
    <m/>
    <n v="1"/>
    <x v="0"/>
    <s v="https://www.amazon.in/Rico-1500-W-immersion-water-heater/dp/B0123P3PWE/ref=sr_1_272?qid=1672923606&amp;s=kitchen&amp;sr=1-272"/>
  </r>
  <r>
    <s v="B08HDCWDXD"/>
    <s v="Eureka Forbes Active Clean 700 Watts Powerful Suction &amp; Blower Vacuum Cleaner with Washable HEPA Filter &amp; 6 Accessories,1 Year Warranty,Compact,Light Weight &amp; Easy to use (Red &amp; Black)"/>
    <s v="Home&amp;Kitchen"/>
    <x v="3"/>
    <s v="Kitchen&amp;HomeAppliances"/>
    <s v="HandheldVacuums"/>
    <n v="3179"/>
    <n v="6999"/>
    <n v="55"/>
    <n v="4"/>
    <n v="743"/>
    <n v="4.0706778585464019"/>
    <s v="Medium (100-999)"/>
    <x v="3"/>
    <n v="38.5"/>
    <s v="Bottom 25%"/>
    <b v="0"/>
    <b v="0"/>
    <b v="0"/>
    <m/>
    <n v="1"/>
    <x v="0"/>
    <s v="https://www.amazon.in/Eureka-Forbes-Active-Cleaner-washable/dp/B08HDCWDXD/ref=sr_1_273?qid=1672923606&amp;s=kitchen&amp;sr=1-273"/>
  </r>
  <r>
    <s v="B0836JGZ74"/>
    <s v="CSI INTERNATIONAL® Instant Water Geyser, Water Heater, Portable Water Heater, Geyser Made of First Class ABS Plastic 3KW (White)"/>
    <s v="Home&amp;Kitchen"/>
    <x v="3"/>
    <s v="Heating,Cooling&amp;AirQuality"/>
    <s v="InstantWaterHeaters"/>
    <n v="1049"/>
    <n v="2499"/>
    <n v="58"/>
    <n v="3.6"/>
    <n v="328"/>
    <n v="4.045774133157515"/>
    <s v="Medium (100-999)"/>
    <x v="4"/>
    <n v="47.4"/>
    <s v="Below median"/>
    <b v="0"/>
    <b v="0"/>
    <b v="1"/>
    <n v="0.4"/>
    <n v="1"/>
    <x v="0"/>
    <s v="https://www.amazon.in/CSI-INTERNATIONAL%C2%AE-Instant-portable-Plastic/dp/B0836JGZ74/ref=sr_1_274?qid=1672923606&amp;s=kitchen&amp;sr=1-274"/>
  </r>
  <r>
    <s v="B0BCKJJN8R"/>
    <s v="Hindware Atlantic Xceed 5L 3kW Instant Water Heater with Copper Heating Element and High Grade Stainless Steel Tank"/>
    <s v="Home&amp;Kitchen"/>
    <x v="3"/>
    <s v="Heating,Cooling&amp;AirQuality"/>
    <s v="InstantWaterHeaters"/>
    <n v="3599"/>
    <n v="7290"/>
    <n v="51"/>
    <n v="3.9"/>
    <n v="942"/>
    <n v="4.0476648085196754"/>
    <s v="Medium (100-999)"/>
    <x v="3"/>
    <n v="35.299999999999997"/>
    <s v="Bottom 25%"/>
    <b v="0"/>
    <b v="0"/>
    <b v="0"/>
    <n v="1.38"/>
    <n v="1"/>
    <x v="0"/>
    <s v="https://www.amazon.in/Hindware-Atlantic-Instant-Heating-Stainless/dp/B0BCKJJN8R/ref=sr_1_275?qid=1672923606&amp;s=kitchen&amp;sr=1-275"/>
  </r>
  <r>
    <s v="B008P7IF02"/>
    <s v="Morphy Richards New Europa 800-Watt Espresso and Cappuccino 4-Cup Coffee Maker (Black)"/>
    <s v="Home&amp;Kitchen"/>
    <x v="3"/>
    <s v="Kitchen&amp;HomeAppliances"/>
    <s v="EspressoMachines"/>
    <n v="4799"/>
    <n v="5795"/>
    <n v="17"/>
    <n v="3.9"/>
    <n v="3815"/>
    <n v="3.991677874190803"/>
    <s v="High (1,000+)"/>
    <x v="3"/>
    <n v="12.6"/>
    <s v="Bottom 25%"/>
    <b v="0"/>
    <b v="0"/>
    <b v="0"/>
    <m/>
    <n v="1"/>
    <x v="0"/>
    <s v="https://www.amazon.in/Morphy-Richards-Europa-Espresso-Cappuccino/dp/B008P7IF02/ref=sr_1_276?qid=1672923606&amp;s=kitchen&amp;sr=1-276"/>
  </r>
  <r>
    <s v="B08CNLYKW5"/>
    <s v="Lifelong Power - Pro 500 Watt 3 Jar Mixer Grinder with 3 Speed Control and 1100 Watt Dry Non-Stick soleplate Iron Super Combo (White and Grey, 1 Year Warranty)"/>
    <s v="Home&amp;Kitchen"/>
    <x v="3"/>
    <s v="Kitchen&amp;HomeAppliances"/>
    <s v="MixerGrinders"/>
    <n v="1699"/>
    <n v="3398"/>
    <n v="50"/>
    <n v="3.8"/>
    <n v="7988"/>
    <n v="3.8911398741909551"/>
    <s v="High (1,000+)"/>
    <x v="4"/>
    <n v="25.6"/>
    <s v="Bottom 25%"/>
    <b v="0"/>
    <b v="0"/>
    <b v="1"/>
    <n v="0.59"/>
    <n v="1"/>
    <x v="0"/>
    <s v="https://www.amazon.in/Lifelong-PowerPro-Mixer-Grinder-Super/dp/B08CNLYKW5/ref=sr_1_277?qid=1672923606&amp;s=kitchen&amp;sr=1-277"/>
  </r>
  <r>
    <s v="B08C7TYHPB"/>
    <s v="iBELL Castor CTEK15L Premium 1.5 Litre Stainless Steel Electric Kettle,1500W Auto Cut-Off Feature,Silver"/>
    <s v="Home&amp;Kitchen"/>
    <x v="3"/>
    <s v="Kitchen&amp;HomeAppliances"/>
    <s v="Kettle&amp;ToasterSets"/>
    <n v="664"/>
    <n v="1490"/>
    <n v="55"/>
    <n v="4.0999999999999996"/>
    <n v="925"/>
    <n v="4.0876670062252396"/>
    <s v="Medium (100-999)"/>
    <x v="2"/>
    <n v="53.5"/>
    <s v="Above median"/>
    <b v="0"/>
    <b v="0"/>
    <b v="0"/>
    <n v="0.56000000000000005"/>
    <n v="1"/>
    <x v="0"/>
    <s v="https://www.amazon.in/CTEK15L-Premium-Stainless-Electric-Cut-Off/dp/B08C7TYHPB/ref=sr_1_278?qid=1672923606&amp;s=kitchen&amp;sr=1-278"/>
  </r>
  <r>
    <s v="B08VJFYH6N"/>
    <s v="BAJAJ PYGMY MINI 110 MM 10 W HIGH SPEED OPERATION, USB CHARGING, MULTI-CLIP FUNCTION PERSONAL FAN"/>
    <s v="Home&amp;Kitchen"/>
    <x v="3"/>
    <s v="Heating,Cooling&amp;AirQuality"/>
    <s v="TableFans"/>
    <n v="948"/>
    <n v="1620"/>
    <n v="41"/>
    <n v="4.0999999999999996"/>
    <n v="4370"/>
    <n v="4.092891373093245"/>
    <s v="High (1,000+)"/>
    <x v="2"/>
    <n v="50.5"/>
    <s v="Below median"/>
    <b v="0"/>
    <b v="0"/>
    <b v="0"/>
    <m/>
    <n v="1"/>
    <x v="0"/>
    <s v="https://www.amazon.in/OPERATION-CHARGING-MULTI-CLIP-FUNCTION-PERSONAL/dp/B08VJFYH6N/ref=sr_1_279?qid=1672923606&amp;s=kitchen&amp;sr=1-279"/>
  </r>
  <r>
    <s v="B08235JZFB"/>
    <s v="Crompton InstaGlide 1000-Watts Dry Iron with American Heritage Coating, Pack of 1 Iron"/>
    <s v="Home&amp;Kitchen"/>
    <x v="3"/>
    <s v="Kitchen&amp;HomeAppliances"/>
    <s v="DryIrons"/>
    <n v="850"/>
    <n v="1000"/>
    <n v="15"/>
    <n v="4.0999999999999996"/>
    <n v="7619"/>
    <n v="4.0949206248456536"/>
    <s v="High (1,000+)"/>
    <x v="2"/>
    <n v="40.1"/>
    <s v="Below median"/>
    <b v="0"/>
    <b v="0"/>
    <b v="0"/>
    <n v="1.25"/>
    <n v="1"/>
    <x v="0"/>
    <s v="https://www.amazon.in/Crompton-InstaGlide-Certified-Dry-Iron/dp/B08235JZFB/ref=sr_1_283?qid=1672923606&amp;s=kitchen&amp;sr=1-283"/>
  </r>
  <r>
    <s v="B078XFKBZL"/>
    <s v="Prestige Clean Home Water Purifier Cartridge"/>
    <s v="Home&amp;Kitchen"/>
    <x v="3"/>
    <s v="Kitchen&amp;HomeAppliances"/>
    <s v="WaterCartridges"/>
    <n v="600"/>
    <n v="640"/>
    <n v="6"/>
    <n v="3.8"/>
    <n v="2593"/>
    <n v="3.968505875490647"/>
    <s v="High (1,000+)"/>
    <x v="2"/>
    <n v="22.5"/>
    <s v="Bottom 25%"/>
    <b v="0"/>
    <b v="0"/>
    <b v="1"/>
    <m/>
    <n v="1"/>
    <x v="0"/>
    <s v="https://www.amazon.in/Prestige-PSWP-2-0-Purifier-Cartridge/dp/B078XFKBZL/ref=sr_1_284_mod_primary_new?qid=1672923606&amp;s=kitchen&amp;sbo=RZvfv%2F%2FHxDF%2BO5021pAnSA%3D%3D&amp;sr=1-284"/>
  </r>
  <r>
    <s v="B01M265AAK"/>
    <s v="Morphy Richards Aristo 2000 Watts PTC Room Heater (White)"/>
    <s v="Home&amp;Kitchen"/>
    <x v="3"/>
    <s v="Heating,Cooling&amp;AirQuality"/>
    <s v="ElectricHeaters"/>
    <n v="3711"/>
    <n v="4495"/>
    <n v="17"/>
    <n v="4.3"/>
    <n v="356"/>
    <n v="4.1032509631372616"/>
    <s v="Medium (100-999)"/>
    <x v="3"/>
    <n v="37.6"/>
    <s v="Bottom 25%"/>
    <b v="0"/>
    <b v="0"/>
    <b v="0"/>
    <n v="2.82"/>
    <n v="1"/>
    <x v="0"/>
    <s v="https://www.amazon.in/Morphy-Richards-Aristo-PTC-Heater/dp/B01M265AAK/ref=sr_1_285?qid=1672923606&amp;s=kitchen&amp;sr=1-285"/>
  </r>
  <r>
    <s v="B0B694PXQJ"/>
    <s v="Gadgetronics Digital Kitchen Weighing Scale &amp; Food Weight Machine for Health, Fitness, Home Baking &amp; Cooking (10 KGs,1 Year Warranty &amp; Batteries Included)"/>
    <s v="Home&amp;Kitchen"/>
    <x v="3"/>
    <s v="Kitchen&amp;HomeAppliances"/>
    <s v="DigitalKitchenScales"/>
    <n v="799"/>
    <n v="2999"/>
    <n v="73"/>
    <n v="4.5"/>
    <n v="63"/>
    <n v="4.0914753866633946"/>
    <s v="Low (&lt;100)"/>
    <x v="2"/>
    <n v="62.3"/>
    <s v="Top 25%"/>
    <b v="0"/>
    <b v="0"/>
    <b v="0"/>
    <n v="1.63"/>
    <n v="1"/>
    <x v="0"/>
    <s v="https://www.amazon.in/Gadgetronics-Weighing-Warranty-Batteries-Included/dp/B0B694PXQJ/ref=sr_1_286?qid=1672923606&amp;s=kitchen&amp;sr=1-286"/>
  </r>
  <r>
    <s v="B00B3VFJY2"/>
    <s v="HUL Pureit Germkill kit for Advanced 23 L water purifier - 3000 L Capacity, Sand, Multicolour"/>
    <s v="Home&amp;Kitchen"/>
    <x v="3"/>
    <s v="Kitchen&amp;HomeAppliances"/>
    <s v="WaterPurifierAccessories"/>
    <n v="980"/>
    <n v="980"/>
    <n v="0"/>
    <n v="4.2"/>
    <n v="4740"/>
    <n v="4.1489490257783963"/>
    <s v="High (1,000+)"/>
    <x v="2"/>
    <n v="45.5"/>
    <s v="Below median"/>
    <b v="0"/>
    <b v="0"/>
    <b v="0"/>
    <n v="4.24"/>
    <n v="1"/>
    <x v="0"/>
    <s v="https://www.amazon.in/HUL-Pureit-Germkill-Advanced-Purifier/dp/B00B3VFJY2/ref=sr_1_287?qid=1672923606&amp;s=kitchen&amp;sr=1-287"/>
  </r>
  <r>
    <s v="B08W9BK4MD"/>
    <s v="Tom &amp; Jerry Folding Laundry Basket for Clothes with Lid &amp; Handle, Toys Organiser, 75 Litre, Green"/>
    <s v="Home&amp;Kitchen"/>
    <x v="3"/>
    <s v="HomeStorage&amp;Organization"/>
    <s v="LaundryBaskets"/>
    <n v="351"/>
    <n v="899"/>
    <n v="61"/>
    <n v="3.9"/>
    <n v="296"/>
    <n v="4.0711689273575988"/>
    <s v="Medium (100-999)"/>
    <x v="0"/>
    <n v="46.8"/>
    <s v="Below median"/>
    <b v="0"/>
    <b v="0"/>
    <b v="0"/>
    <n v="1"/>
    <n v="1"/>
    <x v="0"/>
    <s v="https://www.amazon.in/PrettyKrafts-Folding-Laundry-Clothes-Organiser/dp/B08W9BK4MD/ref=sr_1_288?qid=1672923606&amp;s=kitchen&amp;sr=1-288"/>
  </r>
  <r>
    <s v="B09X5HD5T1"/>
    <s v="Ikea Little Loved Corner PRODUKT Milk-frother, Coffee/Tea Frother, Handheld Milk Wand Mixer Frother, Black"/>
    <s v="Home&amp;Kitchen"/>
    <x v="3"/>
    <s v="Kitchen&amp;HomeAppliances"/>
    <s v="MilkFrothers"/>
    <n v="229"/>
    <n v="499"/>
    <n v="54"/>
    <n v="3.5"/>
    <n v="185"/>
    <n v="4.057235995359294"/>
    <s v="Medium (100-999)"/>
    <x v="0"/>
    <n v="50.3"/>
    <s v="Below median"/>
    <b v="0"/>
    <b v="0"/>
    <b v="1"/>
    <m/>
    <n v="1"/>
    <x v="0"/>
    <s v="https://www.amazon.in/Ikea-PRODUKT-Milk-frother-Frother-Handheld/dp/B09X5HD5T1/ref=sr_1_289_mod_primary_new?qid=1672923606&amp;s=kitchen&amp;sbo=RZvfv%2F%2FHxDF%2BO5021pAnSA%3D%3D&amp;sr=1-289"/>
  </r>
  <r>
    <s v="B08H6B3G96"/>
    <s v="Philips EasySpeed Plus Steam Iron GC2147/30-2400W, Quick Heat up with up to 30 g/min steam, 150g steam Boost, Scratch Resistant Ceramic Soleplate, Vertical steam, Drip-Stop"/>
    <s v="Home&amp;Kitchen"/>
    <x v="3"/>
    <s v="Kitchen&amp;HomeAppliances"/>
    <s v="SteamIrons"/>
    <n v="3349"/>
    <n v="3995"/>
    <n v="16"/>
    <n v="4.3"/>
    <n v="1954"/>
    <n v="4.1582505189680434"/>
    <s v="High (1,000+)"/>
    <x v="3"/>
    <n v="40.9"/>
    <s v="Below median"/>
    <b v="0"/>
    <b v="0"/>
    <b v="0"/>
    <n v="1.1000000000000001"/>
    <n v="1"/>
    <x v="0"/>
    <s v="https://www.amazon.in/EasySpeed-GC2147-30-Resistant-Soleplate/dp/B08H6B3G96/ref=sr_1_290?qid=1672923606&amp;s=kitchen&amp;sr=1-290"/>
  </r>
  <r>
    <s v="B09N3BFP4M"/>
    <s v="Bajaj New Shakti Neo Plus 15 Litre 4 Star Rated Storage Water Heater (Geyser) with Multiple Safety System, White"/>
    <s v="Home&amp;Kitchen"/>
    <x v="3"/>
    <s v="Heating,Cooling&amp;AirQuality"/>
    <s v="StorageWaterHeaters"/>
    <n v="5499"/>
    <n v="11500"/>
    <n v="52"/>
    <n v="3.9"/>
    <n v="959"/>
    <n v="4.0471331338940626"/>
    <s v="Medium (100-999)"/>
    <x v="3"/>
    <n v="33.9"/>
    <s v="Bottom 25%"/>
    <b v="0"/>
    <b v="0"/>
    <b v="0"/>
    <n v="0.86"/>
    <n v="1"/>
    <x v="0"/>
    <s v="https://www.amazon.in/Bajaj-New-Shakti-Neo-Storage/dp/B09N3BFP4M/ref=sr_1_291?qid=1672923606&amp;s=kitchen&amp;sr=1-291"/>
  </r>
  <r>
    <s v="B09DSQXCM8"/>
    <s v="House of Quirk Reusable Sticky Picker Cleaner Easy-Tear Sheets Travel Pet Hair Lint Rollers Brush (10cm Sheet, Set of 3 Rolls, 180 Sheets, 60 Sheets Each roll Lint Roller Remover, Multicolour)"/>
    <s v="Home&amp;Kitchen"/>
    <x v="3"/>
    <s v="Kitchen&amp;HomeAppliances"/>
    <s v="LintShavers"/>
    <n v="299"/>
    <n v="499"/>
    <n v="40"/>
    <n v="3.9"/>
    <n v="1015"/>
    <n v="4.0454084964271724"/>
    <s v="High (1,000+)"/>
    <x v="0"/>
    <n v="41.3"/>
    <s v="Below median"/>
    <b v="0"/>
    <b v="0"/>
    <b v="0"/>
    <n v="0.67"/>
    <n v="1"/>
    <x v="0"/>
    <s v="https://www.amazon.in/House-Quirk-Reusable-Easy-Tear-Multicolour/dp/B09DSQXCM8/ref=sr_1_292?qid=1672923606&amp;s=kitchen&amp;sr=1-292"/>
  </r>
  <r>
    <s v="B01M69WCZ6"/>
    <s v="Allin Exporters J66 Ultrasonic Humidifier Cool Mist Air Purifier for Dryness, Cold &amp; Cough Large Capacity for Room, Baby, Plants, Bedroom (2.4 L) (1 Year Warranty)"/>
    <s v="Home&amp;Kitchen"/>
    <x v="3"/>
    <s v="Heating,Cooling&amp;AirQuality"/>
    <s v="Humidifiers"/>
    <n v="2249"/>
    <n v="3550"/>
    <n v="37"/>
    <n v="4"/>
    <n v="3973"/>
    <n v="4.0411659351924003"/>
    <s v="High (1,000+)"/>
    <x v="4"/>
    <n v="29.8"/>
    <s v="Bottom 25%"/>
    <b v="0"/>
    <b v="0"/>
    <b v="0"/>
    <m/>
    <n v="1"/>
    <x v="0"/>
    <s v="https://www.amazon.in/Allin-Exporters-Ultrasonic-Humidifier-Purifier/dp/B01M69WCZ6/ref=sr_1_293?qid=1672923606&amp;s=kitchen&amp;sr=1-293"/>
  </r>
  <r>
    <s v="B0BM9H2NY9"/>
    <s v="Multifunctional 2 in 1 Electric Egg Boiling Steamer Egg Frying Pan Egg Boiler Electric Automatic Off with Egg Boiler Machine Non-Stick Electric Egg Frying Pan-Tiger Woods (Multy)"/>
    <s v="Home&amp;Kitchen"/>
    <x v="3"/>
    <s v="Kitchen&amp;HomeAppliances"/>
    <s v="EggBoilers"/>
    <n v="699"/>
    <n v="1599"/>
    <n v="56"/>
    <n v="4.7"/>
    <n v="2300"/>
    <n v="4.3180930460504436"/>
    <s v="High (1,000+)"/>
    <x v="2"/>
    <n v="79.400000000000006"/>
    <s v="Top 25%"/>
    <b v="0"/>
    <b v="0"/>
    <b v="0"/>
    <n v="1"/>
    <n v="1"/>
    <x v="0"/>
    <s v="https://www.amazon.in/Multifunctional-Electric-Automatic-Non-Stick-Pan-Tiger/dp/B0BM9H2NY9/ref=sr_1_294?qid=1672923606&amp;s=kitchen&amp;sr=1-294"/>
  </r>
  <r>
    <s v="B099FDW2ZF"/>
    <s v="Maharaja Whiteline Nano Carbon Neo, 500 Watts Room Heater (Black, White), Standard (5200100986)"/>
    <s v="Home&amp;Kitchen"/>
    <x v="3"/>
    <s v="Heating,Cooling&amp;AirQuality"/>
    <s v="ElectricHeaters"/>
    <n v="1235"/>
    <n v="1499"/>
    <n v="18"/>
    <n v="4.0999999999999996"/>
    <n v="203"/>
    <n v="4.0854215336479172"/>
    <s v="Medium (100-999)"/>
    <x v="4"/>
    <n v="35.799999999999997"/>
    <s v="Bottom 25%"/>
    <b v="0"/>
    <b v="0"/>
    <b v="0"/>
    <n v="0.94"/>
    <n v="1"/>
    <x v="0"/>
    <s v="https://www.amazon.in/Maharaja-Whiteline-Carbon-Standard-5200100986/dp/B099FDW2ZF/ref=sr_1_292?qid=1672923607&amp;s=kitchen&amp;sr=1-292"/>
  </r>
  <r>
    <s v="B0B935YNR7"/>
    <s v="KENT Electric Chopper-B for Kitchen 250 Watt | Chop, Mince, Puree, Whisk, 400 ml Capacity | Stainless Steel Double Chopping Blades | Transparent Chopping Bowl | Anti-Skid | One Touch Operation | Black"/>
    <s v="Home&amp;Kitchen"/>
    <x v="3"/>
    <s v="Kitchen&amp;HomeAppliances"/>
    <s v="MiniFoodProcessors&amp;Choppers"/>
    <n v="1349"/>
    <n v="2999"/>
    <n v="55"/>
    <n v="3.8"/>
    <n v="441"/>
    <n v="4.0547731870300501"/>
    <s v="Medium (100-999)"/>
    <x v="4"/>
    <n v="40.6"/>
    <s v="Below median"/>
    <b v="0"/>
    <b v="0"/>
    <b v="1"/>
    <m/>
    <n v="1"/>
    <x v="0"/>
    <s v="https://www.amazon.in/KENT-Chopper-B-Stainless-Transparent-Anti-Skid/dp/B0B935YNR7/ref=sr_1_293?qid=1672923607&amp;s=kitchen&amp;sr=1-293"/>
  </r>
  <r>
    <s v="B07JGCGNDG"/>
    <s v="Crompton Amica 15-L 5 Star Rated Storage Water Heater (Geyser) with Free Installation (White)"/>
    <s v="Home&amp;Kitchen"/>
    <x v="3"/>
    <s v="Heating,Cooling&amp;AirQuality"/>
    <s v="StorageWaterHeaters"/>
    <n v="6800"/>
    <n v="11500"/>
    <n v="41"/>
    <n v="4.0999999999999996"/>
    <n v="10308"/>
    <n v="4.0958913394464176"/>
    <s v="High (1,000+)"/>
    <x v="3"/>
    <n v="40.1"/>
    <s v="Below median"/>
    <b v="0"/>
    <b v="0"/>
    <b v="0"/>
    <n v="1.06"/>
    <n v="1"/>
    <x v="0"/>
    <s v="https://www.amazon.in/Crompton-Greaves-ASWH-2015-15-Litre-Storage/dp/B07JGCGNDG/ref=sr_1_294_mod_primary_new?qid=1672923607&amp;s=kitchen&amp;sbo=RZvfv%2F%2FHxDF%2BO5021pAnSA%3D%3D&amp;sr=1-294"/>
  </r>
  <r>
    <s v="B08L12N5H1"/>
    <s v="Eureka Forbes car Vac 100 Watts Powerful Suction Vacuum Cleaner with Washable HEPA Filter, 3 Accessories,Compact,Light Weight &amp; Easy to use (Black and Red)"/>
    <s v="Home&amp;Kitchen"/>
    <x v="3"/>
    <s v="Kitchen&amp;HomeAppliances"/>
    <s v="HandheldVacuums"/>
    <n v="2099"/>
    <n v="2499"/>
    <n v="16"/>
    <m/>
    <n v="992"/>
    <m/>
    <s v="Medium (100-999)"/>
    <x v="4"/>
    <m/>
    <m/>
    <b v="0"/>
    <b v="0"/>
    <b v="0"/>
    <m/>
    <n v="1"/>
    <x v="0"/>
    <s v="https://www.amazon.in/Eureka-Forbes-Vacuum-Cleaner-Washable/dp/B08L12N5H1/ref=sr_1_295?qid=1672923607&amp;s=kitchen&amp;sr=1-295"/>
  </r>
  <r>
    <s v="B07GWTWFS2"/>
    <s v="KENT 16025 Sandwich Grill 700W | Non-Toxic Ceramic Coating | Automatic Temperature Cut-off with LED Indicator | Adjustable Height Control, Metallic Silver, Standard"/>
    <s v="Home&amp;Kitchen"/>
    <x v="3"/>
    <s v="Kitchen&amp;HomeAppliances"/>
    <s v="SandwichMakers"/>
    <n v="1699"/>
    <n v="1975"/>
    <n v="14"/>
    <n v="4.0999999999999996"/>
    <n v="4716"/>
    <n v="4.0931814697978197"/>
    <s v="High (1,000+)"/>
    <x v="4"/>
    <n v="33.1"/>
    <s v="Bottom 25%"/>
    <b v="0"/>
    <b v="0"/>
    <b v="0"/>
    <n v="1.1499999999999999"/>
    <n v="1"/>
    <x v="0"/>
    <s v="https://www.amazon.in/Kent-16025-700-Watt-Sandwich-Grill/dp/B07GWTWFS2/ref=sr_1_296?qid=1672923607&amp;s=kitchen&amp;sr=1-296"/>
  </r>
  <r>
    <s v="B09KRHXTLN"/>
    <s v="Candes Gloster All in One Silent Blower Fan Room Heater Ideal for Small and Medium Area, 2000 Watts (White)"/>
    <s v="Home&amp;Kitchen"/>
    <x v="3"/>
    <s v="Heating,Cooling&amp;AirQuality"/>
    <s v="FanHeaters"/>
    <n v="1069"/>
    <n v="1699"/>
    <n v="37"/>
    <n v="3.9"/>
    <n v="313"/>
    <n v="4.0704549360031441"/>
    <s v="Medium (100-999)"/>
    <x v="4"/>
    <n v="39.799999999999997"/>
    <s v="Below median"/>
    <b v="0"/>
    <b v="0"/>
    <b v="0"/>
    <n v="0.99"/>
    <n v="1"/>
    <x v="0"/>
    <s v="https://www.amazon.in/Candes-Gloster-Silent-Blower-Heater/dp/B09KRHXTLN/ref=sr_1_297?qid=1672923607&amp;s=kitchen&amp;sr=1-297"/>
  </r>
  <r>
    <s v="B09H34V36W"/>
    <s v="Inalsa Electric Fan Heater Hotty - 2000 Watts Variable Temperature Control Cool/Warm/Hot Air Selector | Over Heat Protection | ISI Certification, White"/>
    <s v="Home&amp;Kitchen"/>
    <x v="3"/>
    <s v="Heating,Cooling&amp;AirQuality"/>
    <s v="FanHeaters"/>
    <n v="1349"/>
    <n v="2495"/>
    <n v="46"/>
    <n v="3.8"/>
    <n v="166"/>
    <n v="4.0726076343848332"/>
    <s v="Medium (100-999)"/>
    <x v="4"/>
    <n v="42.9"/>
    <s v="Below median"/>
    <b v="0"/>
    <b v="0"/>
    <b v="1"/>
    <n v="1.25"/>
    <n v="1"/>
    <x v="0"/>
    <s v="https://www.amazon.in/Inalsa-Electric-Heater-Hotty-Certification/dp/B09H34V36W/ref=sr_1_298_mod_primary_new?qid=1672923607&amp;s=kitchen&amp;sbo=RZvfv%2F%2FHxDF%2BO5021pAnSA%3D%3D&amp;sr=1-298"/>
  </r>
  <r>
    <s v="B09J2QCKKM"/>
    <s v="Havells Zella Flap Auto Immersion Rod 1500 Watts"/>
    <s v="Home&amp;Kitchen"/>
    <x v="3"/>
    <s v="Heating,Cooling&amp;AirQuality"/>
    <s v="ImmersionRods"/>
    <n v="1499"/>
    <n v="3500"/>
    <n v="57"/>
    <n v="4.0999999999999996"/>
    <n v="303"/>
    <n v="4.0857801233995366"/>
    <s v="Medium (100-999)"/>
    <x v="4"/>
    <n v="50.8"/>
    <s v="Above median"/>
    <b v="0"/>
    <b v="0"/>
    <b v="0"/>
    <m/>
    <n v="1"/>
    <x v="0"/>
    <s v="https://www.amazon.in/Havells-Zella-Immersion-Watts-White/dp/B09J2QCKKM/ref=sr_1_299?qid=1672923607&amp;s=kitchen&amp;sr=1-299"/>
  </r>
  <r>
    <s v="B09XRBJ94N"/>
    <s v="iBELL SM1301 3-in-1 Sandwich Maker with Detachable Plates for Toast / Waffle / Grill , 750 Watt (Black)"/>
    <s v="Home&amp;Kitchen"/>
    <x v="3"/>
    <s v="Kitchen&amp;HomeAppliances"/>
    <s v="SandwichMakers"/>
    <n v="2092"/>
    <n v="4600"/>
    <n v="55"/>
    <n v="4.3"/>
    <n v="562"/>
    <n v="4.1126232146330937"/>
    <s v="Medium (100-999)"/>
    <x v="4"/>
    <n v="54.2"/>
    <s v="Above median"/>
    <b v="0"/>
    <b v="0"/>
    <b v="0"/>
    <n v="1.42"/>
    <n v="1"/>
    <x v="0"/>
    <s v="https://www.amazon.in/SM1301-Sandwich-Detachable-Plates-Waffle/dp/B09XRBJ94N/ref=sr_1_300?qid=1672923607&amp;s=kitchen&amp;sr=1-300"/>
  </r>
  <r>
    <s v="B07SLNG3LW"/>
    <s v="Inalsa Vacuum Cleaner Wet and Dry Micro WD10 with 3in1 Multifunction Wet/Dry/Blowing| 14KPA Suction and Impact Resistant Polymer Tank,(Yellow/Black)"/>
    <s v="Home&amp;Kitchen"/>
    <x v="3"/>
    <s v="Kitchen&amp;HomeAppliances"/>
    <s v="Wet-DryVacuums"/>
    <n v="3859"/>
    <n v="10295"/>
    <n v="63"/>
    <n v="3.9"/>
    <n v="8095"/>
    <n v="3.9585864719950079"/>
    <s v="High (1,000+)"/>
    <x v="3"/>
    <n v="32"/>
    <s v="Bottom 25%"/>
    <b v="0"/>
    <b v="0"/>
    <b v="0"/>
    <m/>
    <n v="1"/>
    <x v="0"/>
    <s v="https://www.amazon.in/Inalsa-Micro-WD10-1000W-Multifunction-Resistant/dp/B07SLNG3LW/ref=sr_1_301?qid=1672923607&amp;s=kitchen&amp;sr=1-301"/>
  </r>
  <r>
    <s v="B0BNDGL26T"/>
    <s v="MR. BRAND Portable USB Juicer Electric USB Juice Maker Mixer Bottle Blender Grinder Mixer,6 Blades Rechargeable Bottle with (Multi color) (MULTI MIXER 6 BLED)"/>
    <s v="Home&amp;Kitchen"/>
    <x v="3"/>
    <s v="Kitchen&amp;HomeAppliances"/>
    <s v="JuicerMixerGrinders"/>
    <n v="499"/>
    <n v="2199"/>
    <n v="77"/>
    <n v="2.8"/>
    <n v="109"/>
    <n v="4.0484667678369659"/>
    <s v="Medium (100-999)"/>
    <x v="0"/>
    <n v="57"/>
    <s v="Above median"/>
    <b v="0"/>
    <b v="0"/>
    <b v="1"/>
    <n v="0.21"/>
    <n v="1"/>
    <x v="0"/>
    <s v="https://www.amazon.in/MR-BRAND-Portable-Electric-Rechargeable/dp/B0BNDGL26T/ref=sr_1_302?qid=1672923607&amp;s=kitchen&amp;sr=1-302"/>
  </r>
  <r>
    <s v="B095PWLLY6"/>
    <s v="Crompton Hill Briz Deco 1200mm (48 inch) High Speed Designer Ceiling Fan (Smoked Brown)"/>
    <s v="Home&amp;Kitchen"/>
    <x v="3"/>
    <s v="Heating,Cooling&amp;AirQuality"/>
    <s v="CeilingFans"/>
    <n v="1804"/>
    <n v="2380"/>
    <n v="24"/>
    <n v="4"/>
    <n v="15382"/>
    <n v="4.0166334504260126"/>
    <s v="High (1,000+)"/>
    <x v="4"/>
    <n v="24.1"/>
    <s v="Bottom 25%"/>
    <b v="0"/>
    <b v="0"/>
    <b v="0"/>
    <n v="0.9"/>
    <n v="1"/>
    <x v="0"/>
    <s v="https://www.amazon.in/Crompton-1200mm-Designer-Ceiling-Smoked/dp/B095PWLLY6/ref=sr_1_303?qid=1672923607&amp;s=kitchen&amp;sr=1-303"/>
  </r>
  <r>
    <s v="B07Y9PY6Y1"/>
    <s v="Sujata Powermatic Plus, Juicer Mixer Grinder with Chutney Jar, 900 Watts, 3 Jars (White)"/>
    <s v="Home&amp;Kitchen"/>
    <x v="3"/>
    <s v="Kitchen&amp;HomeAppliances"/>
    <s v="JuicerMixerGrinders"/>
    <n v="6525"/>
    <n v="8820"/>
    <n v="26"/>
    <n v="4.5"/>
    <n v="5137"/>
    <n v="4.3243934031890348"/>
    <s v="High (1,000+)"/>
    <x v="3"/>
    <n v="54.6"/>
    <s v="Above median"/>
    <b v="0"/>
    <b v="0"/>
    <b v="0"/>
    <n v="2.8"/>
    <n v="1"/>
    <x v="0"/>
    <s v="https://www.amazon.in/Plastic-Powermatic-Jar-Juicer-Grinder-Chutney/dp/B07Y9PY6Y1/ref=sr_1_307?qid=1672923607&amp;s=kitchen&amp;sr=1-307"/>
  </r>
  <r>
    <s v="B0BJ966M5K"/>
    <s v="Aquadpure Copper + Mineral RO+UV+UF 10 to 12 Liter RO + UV + TDS ADJUSTER Water Purifier with Copper Charge Technology black &amp; copper Best For Home and Office (Made In India)"/>
    <s v="Home&amp;Kitchen"/>
    <x v="3"/>
    <s v="Kitchen&amp;HomeAppliances"/>
    <s v="WaterFilters&amp;Purifiers"/>
    <n v="4999"/>
    <n v="24999"/>
    <n v="80"/>
    <n v="4.5999999999999996"/>
    <n v="124"/>
    <n v="4.1010778571158664"/>
    <s v="Medium (100-999)"/>
    <x v="3"/>
    <n v="60.6"/>
    <s v="Top 25%"/>
    <b v="0"/>
    <b v="0"/>
    <b v="0"/>
    <n v="0.74"/>
    <n v="1"/>
    <x v="0"/>
    <s v="https://www.amazon.in/Aquadpure-Copper-ADJUSTER-Purifier-Technology/dp/B0BJ966M5K/ref=sr_1_308?qid=1672923607&amp;s=kitchen&amp;sr=1-308"/>
  </r>
  <r>
    <s v="B086GVRP63"/>
    <s v="Amazon Basics 650 Watt Drip Coffee Maker with Borosilicate Carafe"/>
    <s v="Home&amp;Kitchen"/>
    <x v="3"/>
    <s v="Kitchen&amp;HomeAppliances"/>
    <s v="DripCoffeeMachines"/>
    <n v="1189"/>
    <n v="2400"/>
    <n v="50"/>
    <n v="4.0999999999999996"/>
    <n v="618"/>
    <n v="4.0868026690288346"/>
    <s v="Medium (100-999)"/>
    <x v="4"/>
    <n v="46.4"/>
    <s v="Below median"/>
    <b v="0"/>
    <b v="0"/>
    <b v="0"/>
    <m/>
    <n v="1"/>
    <x v="0"/>
    <s v="https://www.amazon.in/AmazonBasics-Drip-Coffee-Maker-Black/dp/B086GVRP63/ref=sr_1_309?qid=1672923607&amp;s=kitchen&amp;sr=1-309"/>
  </r>
  <r>
    <s v="B08MVXPTDG"/>
    <s v="Crompton Insta Delight Fan Circulator Room Heater with 3 Heat Settings (Slate Grey &amp; Black, 2000 Watt)"/>
    <s v="Home&amp;Kitchen"/>
    <x v="3"/>
    <s v="Heating,Cooling&amp;AirQuality"/>
    <s v="FanHeaters"/>
    <n v="2590"/>
    <n v="4200"/>
    <n v="38"/>
    <n v="4.0999999999999996"/>
    <n v="63"/>
    <n v="4.0848880124639431"/>
    <s v="Low (&lt;100)"/>
    <x v="3"/>
    <n v="36.200000000000003"/>
    <s v="Bottom 25%"/>
    <b v="0"/>
    <b v="0"/>
    <b v="0"/>
    <n v="2.4"/>
    <n v="1"/>
    <x v="0"/>
    <s v="https://www.amazon.in/Crompton-Delight-Circulator-Heater-Settings/dp/B08MVXPTDG/ref=sr_1_311?qid=1672923607&amp;s=kitchen&amp;sr=1-311"/>
  </r>
  <r>
    <s v="B0BMZ6SY89"/>
    <s v="!!HANEUL!!1000 Watt/2000-Watt Room Heater!! Fan Heater!!Pure White!!HN-2500!!Made in India!!Thermoset!!"/>
    <s v="Home&amp;Kitchen"/>
    <x v="3"/>
    <s v="Heating,Cooling&amp;AirQuality"/>
    <s v="FanHeaters"/>
    <n v="899"/>
    <n v="1599"/>
    <n v="44"/>
    <n v="3.4"/>
    <n v="15"/>
    <n v="4.0819163710604416"/>
    <s v="Low (&lt;100)"/>
    <x v="2"/>
    <n v="46.6"/>
    <s v="Below median"/>
    <b v="0"/>
    <b v="0"/>
    <b v="1"/>
    <n v="0.83"/>
    <n v="1"/>
    <x v="0"/>
    <s v="https://www.amazon.in/HANEUL-2000-Watt-Heater-HN-2500-Thermoset/dp/B0BMZ6SY89/ref=sr_1_312?qid=1672923607&amp;s=kitchen&amp;sr=1-312"/>
  </r>
  <r>
    <s v="B09P1MFKG1"/>
    <s v="Melbon VM-905 2000-Watt Room Heater (ISI Certified, White Color) Ideal Electric Fan Heater for Small to Medium Room/Area (Plastic Body)"/>
    <s v="Home&amp;Kitchen"/>
    <x v="3"/>
    <s v="Heating,Cooling&amp;AirQuality"/>
    <s v="FanHeaters"/>
    <n v="998"/>
    <n v="2999"/>
    <n v="67"/>
    <n v="4.5999999999999996"/>
    <n v="9"/>
    <n v="4.0858647995971928"/>
    <s v="Low (&lt;100)"/>
    <x v="2"/>
    <n v="59.3"/>
    <s v="Above median"/>
    <b v="0"/>
    <b v="0"/>
    <b v="0"/>
    <n v="0.92"/>
    <n v="1"/>
    <x v="0"/>
    <s v="https://www.amazon.in/Melbon-Blower-Heater-2000-Watt-White/dp/B09P1MFKG1/ref=sr_1_313?qid=1672923607&amp;s=kitchen&amp;sr=1-313"/>
  </r>
  <r>
    <s v="B01LY9W8AF"/>
    <s v="Cello Eliza Plastic Laundry Bag/Basket, 50 litres, Light Grey"/>
    <s v="Home&amp;Kitchen"/>
    <x v="3"/>
    <s v="HomeStorage&amp;Organization"/>
    <s v="LaundryBaskets"/>
    <n v="998.06"/>
    <n v="1282"/>
    <n v="22"/>
    <n v="4.2"/>
    <n v="7274"/>
    <n v="4.1606704201223952"/>
    <s v="High (1,000+)"/>
    <x v="2"/>
    <n v="42.6"/>
    <s v="Below median"/>
    <b v="0"/>
    <b v="0"/>
    <b v="0"/>
    <n v="2.84"/>
    <n v="1"/>
    <x v="0"/>
    <s v="https://www.amazon.in/Plastic-Laundry-Basket-Light-Grey/dp/B01LY9W8AF/ref=sr_1_314?qid=1672923607&amp;s=kitchen&amp;sr=1-314"/>
  </r>
  <r>
    <s v="B07ZJND9B9"/>
    <s v="ACTIVA 1200 MM HIGH SPEED 390 RPM BEE APPROVED 5 STAR RATED APSRA CEILING FAN BROWN 2 Years Warranty"/>
    <s v="Home&amp;Kitchen"/>
    <x v="3"/>
    <s v="Heating,Cooling&amp;AirQuality"/>
    <s v="CeilingFans"/>
    <n v="1099"/>
    <n v="1990"/>
    <n v="45"/>
    <n v="3.9"/>
    <n v="5911"/>
    <n v="3.9718136239914008"/>
    <s v="High (1,000+)"/>
    <x v="4"/>
    <n v="33.799999999999997"/>
    <s v="Bottom 25%"/>
    <b v="0"/>
    <b v="0"/>
    <b v="0"/>
    <n v="0.55000000000000004"/>
    <n v="1"/>
    <x v="0"/>
    <s v="https://www.amazon.in/ACTIVA-APSRA-Approved-Ceiling-Warranty/dp/B07ZJND9B9/ref=sr_1_315?qid=1672923607&amp;s=kitchen&amp;sr=1-315"/>
  </r>
  <r>
    <s v="B0B2CWRDB1"/>
    <s v="Shakti Technology S5 High Pressure Car Washer Machine 1900 Watts and Pressure 125 Bar with 10 Meter Hose Pipe"/>
    <s v="Home&amp;Kitchen"/>
    <x v="3"/>
    <s v="Kitchen&amp;HomeAppliances"/>
    <s v="PressureWashers,Steam&amp;WindowCleaners"/>
    <n v="5999"/>
    <n v="9999"/>
    <n v="40"/>
    <n v="4.2"/>
    <n v="170"/>
    <n v="4.0896221466448353"/>
    <s v="Medium (100-999)"/>
    <x v="3"/>
    <n v="35.4"/>
    <s v="Bottom 25%"/>
    <b v="0"/>
    <b v="0"/>
    <b v="0"/>
    <m/>
    <n v="1"/>
    <x v="0"/>
    <s v="https://www.amazon.in/Shakti-Technology-S5-Pressure-Machine/dp/B0B2CWRDB1/ref=sr_1_316?qid=1672923607&amp;s=kitchen&amp;sr=1-316"/>
  </r>
  <r>
    <s v="B072NCN9M4"/>
    <s v="AMERICAN MICRONIC- Imported Wet &amp; Dry Vacuum Cleaner, 21 Litre Stainless Steel with Blower &amp; HEPA filter, 1600 Watts 100% Copper Motor 28 KPa suction with washable reusable dust bag (Red/Black/Steel)-AMI-VCD21-1600WDx"/>
    <s v="Home&amp;Kitchen"/>
    <x v="3"/>
    <s v="Kitchen&amp;HomeAppliances"/>
    <s v="Wet-DryVacuums"/>
    <n v="8886"/>
    <n v="11850"/>
    <n v="25"/>
    <n v="4.2"/>
    <n v="3065"/>
    <n v="4.1364246197994596"/>
    <s v="High (1,000+)"/>
    <x v="3"/>
    <n v="38.799999999999997"/>
    <s v="Below median"/>
    <b v="0"/>
    <b v="0"/>
    <b v="0"/>
    <m/>
    <n v="1"/>
    <x v="0"/>
    <s v="https://www.amazon.in/American-Micronic-AMI-VCD21-1600WDx-Wet-1600Watts-21-litres-Stainless/dp/B072NCN9M4/ref=sr_1_317?qid=1672923607&amp;s=kitchen&amp;sr=1-317"/>
  </r>
  <r>
    <s v="B08SKZ2RMG"/>
    <s v="Demokrazy New Nova Lint Cum Fuzz Remover for All Woolens Sweaters, Blankets, Jackets Remover Pill Remover from Carpets, Curtains (Pack of 1)"/>
    <s v="Home&amp;Kitchen"/>
    <x v="3"/>
    <s v="Kitchen&amp;HomeAppliances"/>
    <s v="LintShavers"/>
    <n v="475"/>
    <n v="999"/>
    <n v="52"/>
    <n v="4.0999999999999996"/>
    <n v="1021"/>
    <n v="4.0879145169187447"/>
    <s v="High (1,000+)"/>
    <x v="0"/>
    <n v="54"/>
    <s v="Above median"/>
    <b v="0"/>
    <b v="0"/>
    <b v="0"/>
    <n v="1.06"/>
    <n v="1"/>
    <x v="0"/>
    <s v="https://www.amazon.in/Demokrazy-Remover-Woolens-Sweaters-Blankets/dp/B08SKZ2RMG/ref=sr_1_318?qid=1672923607&amp;s=kitchen&amp;sr=1-318"/>
  </r>
  <r>
    <s v="B0B53DS4TF"/>
    <s v="Instant Pot Air Fryer, Vortex 2QT, Touch Control Panel, 360° EvenCrisp™ Technology, Uses 95 % less Oil, 4-in-1 Appliance: Air Fry, Roast, Bake, Reheat (Vortex 1.97Litre, Black)"/>
    <s v="Home&amp;Kitchen"/>
    <x v="3"/>
    <s v="Kitchen&amp;HomeAppliances"/>
    <s v="AirFryers"/>
    <n v="4995"/>
    <n v="20049"/>
    <n v="75"/>
    <n v="4.8"/>
    <n v="3964"/>
    <n v="4.451645517592806"/>
    <s v="High (1,000+)"/>
    <x v="3"/>
    <n v="79.2"/>
    <s v="Top 25%"/>
    <b v="0"/>
    <b v="0"/>
    <b v="0"/>
    <m/>
    <n v="1"/>
    <x v="0"/>
    <s v="https://www.amazon.in/Instant-Vortex-2QT-EvenCrispTM-Technology/dp/B0B53DS4TF/ref=sr_1_316?qid=1672923609&amp;s=kitchen&amp;sr=1-316"/>
  </r>
  <r>
    <s v="B08BJN4MP3"/>
    <s v="HUL Pureit Eco Water Saver Mineral RO+UV+MF AS wall mounted/Counter top Black 10L Water Purifier"/>
    <s v="Home&amp;Kitchen"/>
    <x v="3"/>
    <s v="Kitchen&amp;HomeAppliances"/>
    <s v="WaterFilters&amp;Purifiers"/>
    <n v="13999"/>
    <n v="24850"/>
    <n v="44"/>
    <n v="4.4000000000000004"/>
    <n v="8948"/>
    <n v="4.3066471886771422"/>
    <s v="High (1,000+)"/>
    <x v="1"/>
    <n v="59.8"/>
    <s v="Above median"/>
    <b v="0"/>
    <b v="0"/>
    <b v="0"/>
    <n v="2.06"/>
    <n v="1"/>
    <x v="0"/>
    <s v="https://www.amazon.in/HUL-Pureit-Mineral-mounted-Purifier/dp/B08BJN4MP3/ref=sr_1_317?qid=1672923609&amp;s=kitchen&amp;sr=1-317"/>
  </r>
  <r>
    <s v="B0BCYQY9X5"/>
    <s v="Livpure Glo Star RO+UV+UF+Mineraliser - 7 L Storage Tank, 15 LPH Water Purifier for Home, Black"/>
    <s v="Home&amp;Kitchen"/>
    <x v="3"/>
    <s v="Kitchen&amp;HomeAppliances"/>
    <s v="WaterFilters&amp;Purifiers"/>
    <n v="8499"/>
    <n v="16490"/>
    <n v="48"/>
    <n v="4.3"/>
    <n v="97"/>
    <n v="4.0900476983238283"/>
    <s v="Low (&lt;100)"/>
    <x v="3"/>
    <n v="38.5"/>
    <s v="Bottom 25%"/>
    <b v="0"/>
    <b v="0"/>
    <b v="0"/>
    <n v="1.25"/>
    <n v="1"/>
    <x v="0"/>
    <s v="https://www.amazon.in/Livpure-Glo-Star-RO-Mineraliser/dp/B0BCYQY9X5/ref=sr_1_318?qid=1672923609&amp;s=kitchen&amp;sr=1-318"/>
  </r>
  <r>
    <s v="B009UORDX4"/>
    <s v="Philips Hi113 1000-Watt Plastic Body Ptfe Coating Dry Iron, Pack of 1"/>
    <s v="Home&amp;Kitchen"/>
    <x v="3"/>
    <s v="Kitchen&amp;HomeAppliances"/>
    <s v="DryIrons"/>
    <n v="949"/>
    <n v="975"/>
    <n v="3"/>
    <n v="4.3"/>
    <n v="7223"/>
    <n v="4.226238140428821"/>
    <s v="High (1,000+)"/>
    <x v="2"/>
    <n v="54.5"/>
    <s v="Above median"/>
    <b v="0"/>
    <b v="0"/>
    <b v="0"/>
    <n v="1.4"/>
    <n v="1"/>
    <x v="0"/>
    <s v="https://www.amazon.in/Philips-HI113-1000-Watt-Plastic-Coating/dp/B009UORDX4/ref=sr_1_319?qid=1672923609&amp;s=kitchen&amp;sr=1-319"/>
  </r>
  <r>
    <s v="B08VGDBF3B"/>
    <s v="Kuber Industries Round Non Woven Fabric Foldable Laundry Basket|Toy Storage Basket|Cloth Storage Basket With Handles| Capicity 45 Ltr (Grey &amp; Black)-KUBMART11446"/>
    <s v="Home&amp;Kitchen"/>
    <x v="3"/>
    <s v="HomeStorage&amp;Organization"/>
    <s v="LaundryBaskets"/>
    <n v="395"/>
    <n v="499"/>
    <n v="21"/>
    <n v="4"/>
    <n v="330"/>
    <n v="4.0778104072524899"/>
    <s v="Medium (100-999)"/>
    <x v="0"/>
    <n v="29.2"/>
    <s v="Bottom 25%"/>
    <b v="0"/>
    <b v="0"/>
    <b v="0"/>
    <n v="1.1299999999999999"/>
    <n v="1"/>
    <x v="0"/>
    <s v="https://www.amazon.in/Kuber-Industries-Foldable-Laundry-KUBMART11446/dp/B08VGDBF3B/ref=sr_1_320?qid=1672923609&amp;s=kitchen&amp;sr=1-320"/>
  </r>
  <r>
    <s v="B012ELCYUG"/>
    <s v="Preethi MGA-502 0.4-Litre Grind and Store Jar (White), stainless steel, Set of 1"/>
    <s v="Home&amp;Kitchen"/>
    <x v="3"/>
    <s v="Kitchen&amp;HomeAppliances"/>
    <s v="StandMixerAccessories"/>
    <n v="635"/>
    <n v="635"/>
    <n v="0"/>
    <n v="4.3"/>
    <n v="4570"/>
    <n v="4.202752966298327"/>
    <s v="High (1,000+)"/>
    <x v="2"/>
    <n v="55.4"/>
    <s v="Above median"/>
    <b v="0"/>
    <b v="0"/>
    <b v="0"/>
    <m/>
    <n v="1"/>
    <x v="0"/>
    <s v="https://www.amazon.in/Preethi-MGA-502-0-4-Litre-Grind-Store/dp/B012ELCYUG/ref=sr_1_321?qid=1672923609&amp;s=kitchen&amp;sr=1-321"/>
  </r>
  <r>
    <s v="B07S9M8YTY"/>
    <s v="Usha Aurora 1000 W Dry Iron with Innovative Tail Light Indicator, Weilburger Soleplate (White &amp; Grey)"/>
    <s v="Home&amp;Kitchen"/>
    <x v="3"/>
    <s v="Kitchen&amp;HomeAppliances"/>
    <s v="DryIrons"/>
    <n v="717"/>
    <n v="1390"/>
    <n v="48"/>
    <n v="4"/>
    <n v="4867"/>
    <n v="4.036901221586513"/>
    <s v="High (1,000+)"/>
    <x v="2"/>
    <n v="39.9"/>
    <s v="Below median"/>
    <b v="0"/>
    <b v="0"/>
    <b v="0"/>
    <n v="1.06"/>
    <n v="1"/>
    <x v="0"/>
    <s v="https://www.amazon.in/Usha-Aurora-Iron-1000-Light/dp/B07S9M8YTY/ref=sr_1_322?qid=1672923609&amp;s=kitchen&amp;sr=1-322"/>
  </r>
  <r>
    <s v="B0B19VJXQZ"/>
    <s v="ECOVACS DEEBOT N8 2-in-1 Robotic Vacuum Cleaner, 2022 New Launch, Most Powerful Suction, Covers 2000+ Sq. Ft in One Charge, Advanced dToF Technology with OZMO Mopping (DEEBOT N8) - White"/>
    <s v="Home&amp;Kitchen"/>
    <x v="3"/>
    <s v="Kitchen&amp;HomeAppliances"/>
    <s v="RoboticVacuums"/>
    <n v="27900"/>
    <n v="59900"/>
    <n v="53"/>
    <n v="4.4000000000000004"/>
    <n v="5298"/>
    <n v="4.2690402396866416"/>
    <s v="High (1,000+)"/>
    <x v="1"/>
    <n v="61.5"/>
    <s v="Top 25%"/>
    <b v="0"/>
    <b v="0"/>
    <b v="0"/>
    <m/>
    <n v="1"/>
    <x v="0"/>
    <s v="https://www.amazon.in/ECOVACS-Robotic-Powerful-Advanced-Technology/dp/B0B19VJXQZ/ref=sr_1_323?qid=1672923609&amp;s=kitchen&amp;sr=1-323"/>
  </r>
  <r>
    <s v="B00SMFPJG0"/>
    <s v="Kent Gold, Optima, Gold+ Spare Kit"/>
    <s v="Home&amp;Kitchen"/>
    <x v="3"/>
    <s v="Kitchen&amp;HomeAppliances"/>
    <s v="WaterCartridges"/>
    <n v="649"/>
    <n v="670"/>
    <n v="3"/>
    <n v="4.0999999999999996"/>
    <n v="7786"/>
    <n v="4.0949940764325081"/>
    <s v="High (1,000+)"/>
    <x v="2"/>
    <n v="40.5"/>
    <s v="Below median"/>
    <b v="0"/>
    <b v="0"/>
    <b v="0"/>
    <m/>
    <n v="1"/>
    <x v="0"/>
    <s v="https://www.amazon.in/Kent-Gold-Optima-Spare-Kit/dp/B00SMFPJG0/ref=sr_1_324?qid=1672923609&amp;s=kitchen&amp;sr=1-324"/>
  </r>
  <r>
    <s v="B0BHYLCL19"/>
    <s v="AVNISH Tap Water Purifier Filter Faucet 6 Layer Carbon Activated Dust Chlorine Remover Water Softener for Drinking Cartridge Alkaline Taps for Kitchen Sink Bathroom Wash Basin (6-Layer Filtration)"/>
    <s v="Home&amp;Kitchen"/>
    <x v="3"/>
    <s v="Kitchen&amp;HomeAppliances"/>
    <s v="WaterPurifierAccessories"/>
    <n v="193"/>
    <n v="399"/>
    <n v="52"/>
    <n v="3.6"/>
    <n v="37"/>
    <n v="4.0799155393290736"/>
    <s v="Low (&lt;100)"/>
    <x v="0"/>
    <n v="53.3"/>
    <s v="Above median"/>
    <b v="0"/>
    <b v="0"/>
    <b v="1"/>
    <n v="0.84"/>
    <n v="1"/>
    <x v="0"/>
    <s v="https://www.amazon.in/AVNISH-Water-Filter-Layer-Filtration/dp/B0BHYLCL19/ref=sr_1_325?qid=1672923609&amp;s=kitchen&amp;sr=1-325"/>
  </r>
  <r>
    <s v="B0BPJBTB3F"/>
    <s v="Khaitan ORFin Fan heater for Home and kitchen-K0 2215"/>
    <s v="Home&amp;Kitchen"/>
    <x v="3"/>
    <s v="Heating,Cooling&amp;AirQuality"/>
    <s v="FanHeaters"/>
    <n v="1299"/>
    <n v="2495"/>
    <n v="48"/>
    <n v="2"/>
    <n v="2"/>
    <n v="4.083527451635228"/>
    <s v="Low (&lt;100)"/>
    <x v="4"/>
    <n v="46.2"/>
    <s v="Below median"/>
    <b v="0"/>
    <b v="0"/>
    <b v="1"/>
    <n v="1.2"/>
    <n v="1"/>
    <x v="0"/>
    <s v="https://www.amazon.in/Khaitan-ORFin-heater-Home-kitchen-K0/dp/B0BPJBTB3F/ref=sr_1_326?qid=1672923609&amp;s=kitchen&amp;sr=1-326"/>
  </r>
  <r>
    <s v="B08MXJYB2V"/>
    <s v="USHA RapidMix 500-Watt Copper Motor Mixer Grinder with 3 Jars and 5 Years Warranty(Sea Green/White)"/>
    <s v="Home&amp;Kitchen"/>
    <x v="3"/>
    <s v="Kitchen&amp;HomeAppliances"/>
    <s v="MixerGrinders"/>
    <n v="2449"/>
    <n v="3390"/>
    <n v="28"/>
    <n v="4"/>
    <n v="5206"/>
    <n v="4.0355063936757336"/>
    <s v="High (1,000+)"/>
    <x v="4"/>
    <n v="22.7"/>
    <s v="Bottom 25%"/>
    <b v="0"/>
    <b v="0"/>
    <b v="0"/>
    <n v="0.84"/>
    <n v="1"/>
    <x v="0"/>
    <s v="https://www.amazon.in/USHA-RapidMix-500-Watt-Copper-Grinder/dp/B08MXJYB2V/ref=sr_1_331?qid=1672923609&amp;s=kitchen&amp;sr=1-331"/>
  </r>
  <r>
    <s v="B081B1JL35"/>
    <s v="CSI INTERNATIONAL® Instant Water Geyser, Water Heater, Portable Water Heater, Geyser Made of First Class ABS Plastic 3KW (Red)"/>
    <s v="Home&amp;Kitchen"/>
    <x v="3"/>
    <s v="Heating,Cooling&amp;AirQuality"/>
    <s v="InstantWaterHeaters"/>
    <n v="1049"/>
    <n v="2499"/>
    <n v="58"/>
    <n v="3.7"/>
    <n v="638"/>
    <n v="4.0288692402410664"/>
    <s v="Medium (100-999)"/>
    <x v="4"/>
    <n v="45.2"/>
    <s v="Below median"/>
    <b v="0"/>
    <b v="0"/>
    <b v="1"/>
    <n v="0.4"/>
    <n v="1"/>
    <x v="0"/>
    <s v="https://www.amazon.in/CSI-INTERNATIONAL%C2%AE-Instant-portable-Plastic/dp/B081B1JL35/ref=sr_1_332?qid=1672923609&amp;s=kitchen&amp;sr=1-332"/>
  </r>
  <r>
    <s v="B09VL9KFDB"/>
    <s v="Havells Gatik Neo 400mm Pedestal Fan (Aqua Blue)"/>
    <s v="Home&amp;Kitchen"/>
    <x v="3"/>
    <s v="Heating,Cooling&amp;AirQuality"/>
    <s v="TableFans"/>
    <n v="2399"/>
    <n v="4200"/>
    <n v="43"/>
    <n v="3.8"/>
    <n v="397"/>
    <n v="4.0574682273544447"/>
    <s v="Medium (100-999)"/>
    <x v="4"/>
    <n v="34.4"/>
    <s v="Bottom 25%"/>
    <b v="0"/>
    <b v="0"/>
    <b v="1"/>
    <m/>
    <n v="1"/>
    <x v="0"/>
    <s v="https://www.amazon.in/Havells-Gatik-400mm-Pedestal-White/dp/B09VL9KFDB/ref=sr_1_333?qid=1672923609&amp;s=kitchen&amp;sr=1-333"/>
  </r>
  <r>
    <s v="B0B1MDZV9C"/>
    <s v="INALSA Upright Vacuum Cleaner, 2-in-1,Handheld &amp; Stick for Home &amp; Office Use,800W- with 16KPA Strong Suction &amp; HEPA Filtration|0.8L Dust Tank|Includes Multiple Accessories,(Grey/Black)"/>
    <s v="Home&amp;Kitchen"/>
    <x v="3"/>
    <s v="Kitchen&amp;HomeAppliances"/>
    <s v="HandheldVacuums"/>
    <n v="2286"/>
    <n v="4495"/>
    <n v="49"/>
    <n v="3.9"/>
    <n v="326"/>
    <n v="4.069912948925233"/>
    <s v="Medium (100-999)"/>
    <x v="4"/>
    <n v="36"/>
    <s v="Bottom 25%"/>
    <b v="0"/>
    <b v="0"/>
    <b v="0"/>
    <m/>
    <n v="1"/>
    <x v="0"/>
    <s v="https://www.amazon.in/Dura-Clean-Plus-Filtration-Accessories/dp/B0B1MDZV9C/ref=sr_1_334?qid=1672923609&amp;s=kitchen&amp;sr=1-334"/>
  </r>
  <r>
    <s v="B08TT63N58"/>
    <s v="ROYAL STEP - AMAZON'S BRAND - Portable Electric USB Juice Maker Juicer Bottle Blender Grinder Mixer,4 Blades Rechargeable Bottle with (Multi color) (MULTI)"/>
    <s v="Home&amp;Kitchen"/>
    <x v="3"/>
    <s v="Kitchen&amp;HomeAppliances"/>
    <s v="Juicers"/>
    <n v="499"/>
    <n v="2199"/>
    <n v="77"/>
    <n v="3.1"/>
    <n v="3527"/>
    <n v="3.6082226615928139"/>
    <s v="High (1,000+)"/>
    <x v="0"/>
    <n v="44.2"/>
    <s v="Below median"/>
    <b v="0"/>
    <b v="0"/>
    <b v="1"/>
    <m/>
    <n v="1"/>
    <x v="0"/>
    <s v="https://www.amazon.in/ROYAL-STEP-Portable-Electric-Rechargeable/dp/B08TT63N58/ref=sr_1_337?qid=1672923609&amp;s=kitchen&amp;sr=1-337"/>
  </r>
  <r>
    <s v="B08YK7BBD2"/>
    <s v="Nirdambhay Mini Bag Sealer, 2 in 1 Heat Sealer and Cutter Handheld Sealing Machine Portable Bag Resealer Sealer for Plastic Bags Food Storage Snack Fresh Bag Sealer (Including 2 AA Battery)"/>
    <s v="Home&amp;Kitchen"/>
    <x v="3"/>
    <s v="Kitchen&amp;HomeAppliances"/>
    <s v="VacuumSealers"/>
    <n v="429"/>
    <n v="999"/>
    <n v="57"/>
    <n v="3"/>
    <n v="617"/>
    <n v="3.9318276268251662"/>
    <s v="Medium (100-999)"/>
    <x v="0"/>
    <n v="40.4"/>
    <s v="Below median"/>
    <b v="0"/>
    <b v="0"/>
    <b v="1"/>
    <m/>
    <n v="1"/>
    <x v="0"/>
    <s v="https://www.amazon.in/Nirdambhay-Handheld-Portable-Resealer-Including/dp/B08YK7BBD2/ref=sr_1_338?qid=1672923609&amp;s=kitchen&amp;sr=1-338"/>
  </r>
  <r>
    <s v="B07YQ5SN4H"/>
    <s v="Cello Non-Stick Aluminium Sandwich Gas Toaster(Black)"/>
    <s v="Home&amp;Kitchen"/>
    <x v="3"/>
    <s v="Kitchen&amp;HomeAppliances"/>
    <s v="SandwichMakers"/>
    <n v="299"/>
    <n v="595"/>
    <n v="50"/>
    <n v="4"/>
    <n v="314"/>
    <n v="4.078115808090474"/>
    <s v="Medium (100-999)"/>
    <x v="0"/>
    <n v="50.8"/>
    <s v="Above median"/>
    <b v="0"/>
    <b v="0"/>
    <b v="0"/>
    <n v="0.2"/>
    <n v="1"/>
    <x v="0"/>
    <s v="https://www.amazon.in/Cello-Non-Stick-Aluminium-Sandwich-Toaster/dp/B07YQ5SN4H/ref=sr_1_339?qid=1672923609&amp;s=kitchen&amp;sr=1-339"/>
  </r>
  <r>
    <s v="B0B7FJNSZR"/>
    <s v="Proven® Copper + Mineral RO+UV+UF 10 to 12 Liter RO + UV + TDS ADJUSTER Water Purifier with Copper Charge Technology black &amp; copper Best For Home and Office (Made In India)"/>
    <s v="Home&amp;Kitchen"/>
    <x v="3"/>
    <s v="Kitchen&amp;HomeAppliances"/>
    <s v="WaterFilters&amp;Purifiers"/>
    <n v="5395"/>
    <n v="19990"/>
    <n v="73"/>
    <n v="4.4000000000000004"/>
    <n v="535"/>
    <n v="4.1238950765982114"/>
    <s v="Medium (100-999)"/>
    <x v="3"/>
    <n v="59.9"/>
    <s v="Above median"/>
    <b v="0"/>
    <b v="0"/>
    <b v="0"/>
    <n v="0.79"/>
    <n v="1"/>
    <x v="0"/>
    <s v="https://www.amazon.in/Proven%C2%AE-Copper-ADJUSTER-Purifier-Technology/dp/B0B7FJNSZR/ref=sr_1_340?qid=1672923609&amp;s=kitchen&amp;sr=1-340"/>
  </r>
  <r>
    <s v="B01N6IJG0F"/>
    <s v="Morphy Richards Daisy 1000W Dry Iron with American Heritage Non-Stick Coated Soleplate, White"/>
    <s v="Home&amp;Kitchen"/>
    <x v="3"/>
    <s v="Kitchen&amp;HomeAppliances"/>
    <s v="DryIrons"/>
    <n v="559"/>
    <n v="1010"/>
    <n v="45"/>
    <n v="4.0999999999999996"/>
    <n v="17325"/>
    <n v="4.0972585224270688"/>
    <s v="High (1,000+)"/>
    <x v="2"/>
    <n v="55"/>
    <s v="Above median"/>
    <b v="0"/>
    <b v="0"/>
    <b v="0"/>
    <n v="0.82"/>
    <n v="1"/>
    <x v="0"/>
    <s v="https://www.amazon.in/Morphy-Richards-Daisy-1000-Watt-White/dp/B01N6IJG0F/ref=sr_1_341?qid=1672923609&amp;s=kitchen&amp;sr=1-341"/>
  </r>
  <r>
    <s v="B0B84QN4CN"/>
    <s v="Wipro Vesta 1200 Watt GD201 Lightweight Automatic Dry Iron| Quick Heat Up| Stylish &amp; Sleek |Anti bacterial German Weilburger Double Coated Soleplate |2 Years Warranty"/>
    <s v="Home&amp;Kitchen"/>
    <x v="3"/>
    <s v="Kitchen&amp;HomeAppliances"/>
    <s v="DryIrons"/>
    <n v="660"/>
    <n v="1100"/>
    <n v="40"/>
    <n v="3.6"/>
    <n v="91"/>
    <n v="4.0731903702298728"/>
    <s v="Low (&lt;100)"/>
    <x v="2"/>
    <n v="41.7"/>
    <s v="Below median"/>
    <b v="0"/>
    <b v="0"/>
    <b v="1"/>
    <n v="0.97"/>
    <n v="1"/>
    <x v="0"/>
    <s v="https://www.amazon.in/Lightweight-Automatic-bacterial-Weilburger-Soleplate/dp/B0B84QN4CN/ref=sr_1_342?qid=1672923609&amp;s=kitchen&amp;sr=1-342"/>
  </r>
  <r>
    <s v="B0B8ZM9RVV"/>
    <s v="Zuvexa Egg Boiler Poacher Automatic Off Steaming, Cooking, Boiling Double Layer 14 Egg Boiler (Multicolor)…"/>
    <s v="Home&amp;Kitchen"/>
    <x v="3"/>
    <s v="Kitchen&amp;HomeAppliances"/>
    <s v="EggBoilers"/>
    <n v="419"/>
    <n v="999"/>
    <n v="58"/>
    <n v="4.4000000000000004"/>
    <n v="227"/>
    <n v="4.1025790429078368"/>
    <s v="Medium (100-999)"/>
    <x v="0"/>
    <n v="66"/>
    <s v="Top 25%"/>
    <b v="0"/>
    <b v="0"/>
    <b v="0"/>
    <n v="0.6"/>
    <n v="1"/>
    <x v="0"/>
    <s v="https://www.amazon.in/Zuvexa-Poacher-Automatic-Steaming-Multicolor/dp/B0B8ZM9RVV/ref=sr_1_340?qid=1672923610&amp;s=kitchen&amp;sr=1-340"/>
  </r>
  <r>
    <s v="B01892MIPA"/>
    <s v="AO Smith HSE-VAS-X-015 Storage 15 Litre Vertical Water Heater (Geyser) White 4 Star"/>
    <s v="Home&amp;Kitchen"/>
    <x v="3"/>
    <s v="Heating,Cooling&amp;AirQuality"/>
    <s v="StorageWaterHeaters"/>
    <n v="7349"/>
    <n v="10900"/>
    <n v="33"/>
    <n v="4.2"/>
    <n v="11957"/>
    <n v="4.172387104658597"/>
    <s v="High (1,000+)"/>
    <x v="3"/>
    <n v="46.8"/>
    <s v="Below median"/>
    <b v="0"/>
    <b v="0"/>
    <b v="0"/>
    <n v="1.1499999999999999"/>
    <n v="1"/>
    <x v="0"/>
    <s v="https://www.amazon.in/AO-Smith-HSE-VAS-15-Litre-Storage/dp/B01892MIPA/ref=sr_1_341?qid=1672923610&amp;s=kitchen&amp;sr=1-341"/>
  </r>
  <r>
    <s v="B08ZHYNTM1"/>
    <s v="Havells Festiva 1200mm Dust Resistant Ceiling Fan (Gold Mist)"/>
    <s v="Home&amp;Kitchen"/>
    <x v="3"/>
    <s v="Heating,Cooling&amp;AirQuality"/>
    <s v="CeilingFans"/>
    <n v="2899"/>
    <n v="4005"/>
    <n v="28"/>
    <n v="4.3"/>
    <n v="7140"/>
    <n v="4.225676596347701"/>
    <s v="High (1,000+)"/>
    <x v="3"/>
    <n v="54.7"/>
    <s v="Above median"/>
    <b v="0"/>
    <b v="0"/>
    <b v="0"/>
    <n v="1.45"/>
    <n v="1"/>
    <x v="0"/>
    <s v="https://www.amazon.in/Havells-Festiva-1200mm-Resistant-Ceiling/dp/B08ZHYNTM1/ref=sr_1_342?qid=1672923610&amp;s=kitchen&amp;sr=1-342"/>
  </r>
  <r>
    <s v="B09SDDQQKP"/>
    <s v="INALSA Vaccum Cleaner Handheld 800W High Powerful Motor- Dura Clean with HEPA Filtration &amp; Strong Powerful 16KPA Suction| Lightweight, Compact &amp; Durable Body|Includes Multiple Accessories,(Grey/Black)"/>
    <s v="Home&amp;Kitchen"/>
    <x v="3"/>
    <s v="Kitchen&amp;HomeAppliances"/>
    <s v="HandheldVacuums"/>
    <n v="1799"/>
    <n v="3295"/>
    <n v="45"/>
    <n v="3.8"/>
    <n v="687"/>
    <n v="4.0406875135814841"/>
    <s v="Medium (100-999)"/>
    <x v="4"/>
    <n v="31.7"/>
    <s v="Bottom 25%"/>
    <b v="0"/>
    <b v="0"/>
    <b v="1"/>
    <m/>
    <n v="1"/>
    <x v="0"/>
    <s v="https://www.amazon.in/Handheld-Powerful-Filtration-Lightweight-Accessories/dp/B09SDDQQKP/ref=sr_1_343?qid=1672923610&amp;s=kitchen&amp;sr=1-343"/>
  </r>
  <r>
    <s v="B0B5RP43VN"/>
    <s v="iBELL SM1515NEW Sandwich Maker with Floating Hinges, 1000Watt, Panini / Grill / Toast (Black)"/>
    <s v="Home&amp;Kitchen"/>
    <x v="3"/>
    <s v="Kitchen&amp;HomeAppliances"/>
    <s v="SandwichMakers"/>
    <n v="1474"/>
    <n v="4650"/>
    <n v="68"/>
    <n v="4.0999999999999996"/>
    <n v="1045"/>
    <n v="4.0879748500636124"/>
    <s v="High (1,000+)"/>
    <x v="4"/>
    <n v="53.7"/>
    <s v="Above median"/>
    <b v="0"/>
    <b v="0"/>
    <b v="0"/>
    <n v="1"/>
    <n v="1"/>
    <x v="0"/>
    <s v="https://www.amazon.in/SM1515NEW-Sandwich-Floating-Hinges-1000Watt/dp/B0B5RP43VN/ref=sr_1_345?qid=1672923610&amp;s=kitchen&amp;sr=1-345"/>
  </r>
  <r>
    <s v="B096NTB9XT"/>
    <s v="Aquaguard Aura RO+UV+UF+Taste Adjuster(MTDS) with Active Copper &amp; Zinc 7L water purifier,8 stages of purification,suitable for borewell,tanker,municipal water(Black) from Eureka Forbes"/>
    <s v="Home&amp;Kitchen"/>
    <x v="3"/>
    <s v="Kitchen&amp;HomeAppliances"/>
    <s v="WaterFilters&amp;Purifiers"/>
    <n v="15999"/>
    <n v="24500"/>
    <n v="35"/>
    <n v="4"/>
    <n v="11206"/>
    <n v="4.0212739480696671"/>
    <s v="High (1,000+)"/>
    <x v="1"/>
    <n v="18.899999999999999"/>
    <s v="Bottom 25%"/>
    <b v="0"/>
    <b v="1"/>
    <b v="0"/>
    <n v="2.35"/>
    <n v="1"/>
    <x v="0"/>
    <s v="https://www.amazon.in/Eureka-Forbes-Aquaguard-boiling-Technology/dp/B096NTB9XT/ref=sr_1_346?qid=1672923610&amp;s=kitchen&amp;sr=1-346"/>
  </r>
  <r>
    <s v="B078JF6X9B"/>
    <s v="Havells Instanio 3-Litre 4.5KW Instant Water Heater (Geyser), White Blue"/>
    <s v="Home&amp;Kitchen"/>
    <x v="3"/>
    <s v="Heating,Cooling&amp;AirQuality"/>
    <s v="InstantWaterHeaters"/>
    <n v="3645"/>
    <n v="6070"/>
    <n v="40"/>
    <n v="4.2"/>
    <n v="561"/>
    <n v="4.0996042770164944"/>
    <s v="Medium (100-999)"/>
    <x v="3"/>
    <n v="44.8"/>
    <s v="Below median"/>
    <b v="0"/>
    <b v="0"/>
    <b v="0"/>
    <n v="1.4"/>
    <n v="1"/>
    <x v="0"/>
    <s v="https://www.amazon.in/Havells-Instanio-3-Litre-Instant-Geyser/dp/B078JF6X9B/ref=sr_1_347?qid=1672923610&amp;s=kitchen&amp;sr=1-347"/>
  </r>
  <r>
    <s v="B08CGW4GYR"/>
    <s v="Milk Frother, Immersion Blender Cordlesss Foam Maker USB Rechargeable Small Mixer Handheld with 2 Stainless Whisks，Wisker for Stirring 3-Speed Adjustable Mini Frother for Cappuccino Latte Coffee Egg"/>
    <s v="Home&amp;Kitchen"/>
    <x v="3"/>
    <s v="Kitchen&amp;HomeAppliances"/>
    <s v="HandBlenders"/>
    <n v="375"/>
    <n v="999"/>
    <n v="62"/>
    <n v="3.6"/>
    <n v="1988"/>
    <n v="3.917092268790682"/>
    <s v="High (1,000+)"/>
    <x v="0"/>
    <n v="43"/>
    <s v="Below median"/>
    <b v="0"/>
    <b v="0"/>
    <b v="1"/>
    <n v="0.54"/>
    <n v="1"/>
    <x v="0"/>
    <s v="https://www.amazon.in/Rechargeable-whisks%EF%BC%8C3-Speed-Adjustable-Cappuccino-Bulletproof/dp/B08CGW4GYR/ref=sr_1_348?qid=1672923610&amp;s=kitchen&amp;sr=1-348"/>
  </r>
  <r>
    <s v="B00A328ENA"/>
    <s v="Panasonic SR-WA22H (E) Automatic Rice Cooker, Apple Green, 2.2 Liters"/>
    <s v="Home&amp;Kitchen"/>
    <x v="3"/>
    <s v="Kitchen&amp;HomeAppliances"/>
    <s v="Rice&amp;PastaCookers"/>
    <n v="2976"/>
    <n v="3945"/>
    <n v="25"/>
    <n v="4.2"/>
    <n v="3740"/>
    <n v="4.1421444973916444"/>
    <s v="High (1,000+)"/>
    <x v="3"/>
    <n v="42.3"/>
    <s v="Below median"/>
    <b v="0"/>
    <b v="0"/>
    <b v="0"/>
    <m/>
    <n v="1"/>
    <x v="0"/>
    <s v="https://www.amazon.in/Panasonic-SR-WA22H-5-4-Litre-Automatic-Cooker/dp/B00A328ENA/ref=sr_1_349?qid=1672923610&amp;s=kitchen&amp;sr=1-349"/>
  </r>
  <r>
    <s v="B0763K5HLQ"/>
    <s v="InstaCuppa Milk Frother for Coffee - Handheld Battery-Operated Electric Milk and Coffee Frother, Stainless Steel Whisk and Stand, Portable Foam Maker for Coffee, Cappuccino, Lattes, and Egg Beaters"/>
    <s v="Home&amp;Kitchen"/>
    <x v="3"/>
    <s v="Kitchen&amp;HomeAppliances"/>
    <s v="MilkFrothers"/>
    <n v="1099"/>
    <n v="1499"/>
    <n v="27"/>
    <n v="4.0999999999999996"/>
    <n v="4401"/>
    <n v="4.0929183673278393"/>
    <s v="High (1,000+)"/>
    <x v="4"/>
    <n v="40.5"/>
    <s v="Below median"/>
    <b v="0"/>
    <b v="0"/>
    <b v="0"/>
    <m/>
    <n v="1"/>
    <x v="0"/>
    <s v="https://www.amazon.in/InstaCuppa-Handheld-Operated-Electric-Stainless/dp/B0763K5HLQ/ref=sr_1_350?qid=1672923610&amp;s=kitchen&amp;sr=1-350"/>
  </r>
  <r>
    <s v="B09PDZNSBG"/>
    <s v="Goodscity Garment Steamer for Clothes, Steam Iron Press - Vertical &amp; Horizontal Steaming up to 22g/min, 1200 Watt, 230 ml Water tank &amp; 30 sec Fast Heating (GC 111)"/>
    <s v="Home&amp;Kitchen"/>
    <x v="3"/>
    <s v="Kitchen&amp;HomeAppliances"/>
    <s v="SteamIrons"/>
    <n v="2575"/>
    <n v="6700"/>
    <n v="62"/>
    <n v="4.2"/>
    <n v="611"/>
    <n v="4.1007520502299792"/>
    <s v="Medium (100-999)"/>
    <x v="3"/>
    <n v="56.2"/>
    <s v="Above median"/>
    <b v="0"/>
    <b v="0"/>
    <b v="0"/>
    <n v="0.85"/>
    <n v="1"/>
    <x v="0"/>
    <s v="https://www.amazon.in/Goodscity-Garment-Steamer-Clothes-Steam/dp/B09PDZNSBG/ref=sr_1_351?qid=1672923610&amp;s=kitchen&amp;sr=1-351"/>
  </r>
  <r>
    <s v="B085LPT5F4"/>
    <s v="Solidaire 550-Watt Mixer Grinder with 3 Jars (Black) (SLD-550-B)"/>
    <s v="Home&amp;Kitchen"/>
    <x v="3"/>
    <s v="Kitchen&amp;HomeAppliances"/>
    <s v="MixerGrinders"/>
    <n v="1649"/>
    <n v="2800"/>
    <n v="41"/>
    <n v="3.9"/>
    <n v="2162"/>
    <n v="4.017256999186567"/>
    <s v="High (1,000+)"/>
    <x v="4"/>
    <n v="27.3"/>
    <s v="Bottom 25%"/>
    <b v="0"/>
    <b v="0"/>
    <b v="0"/>
    <n v="0.56999999999999995"/>
    <n v="1"/>
    <x v="0"/>
    <s v="https://www.amazon.in/Solidaire-550-Watt-Mixer-Grinder-SLD-550-B/dp/B085LPT5F4/ref=sr_1_356?qid=1672923610&amp;s=kitchen&amp;sr=1-356"/>
  </r>
  <r>
    <s v="B0B9RZ4G4W"/>
    <s v="Amazon Basics 300 W Hand Blender with Stainless Steel Stem for Hot/Cold Blending and In-Built Cord Hook, ISI-Marked, Black"/>
    <s v="Home&amp;Kitchen"/>
    <x v="3"/>
    <s v="Kitchen&amp;HomeAppliances"/>
    <s v="HandBlenders"/>
    <n v="799"/>
    <n v="1699"/>
    <n v="53"/>
    <n v="4"/>
    <n v="97"/>
    <n v="4.0825078615574082"/>
    <s v="Low (&lt;100)"/>
    <x v="2"/>
    <n v="48.6"/>
    <s v="Below median"/>
    <b v="0"/>
    <b v="0"/>
    <b v="0"/>
    <n v="1.1399999999999999"/>
    <n v="1"/>
    <x v="0"/>
    <s v="https://www.amazon.in/Amazon-Blender-Stainless-Blending-ISI-Marked/dp/B0B9RZ4G4W/ref=sr_1_357?qid=1672923610&amp;s=kitchen&amp;sr=1-357"/>
  </r>
  <r>
    <s v="B0085W2MUQ"/>
    <s v="Orpat HHB-100E 250-Watt Hand Blender (White)"/>
    <s v="Home&amp;Kitchen"/>
    <x v="3"/>
    <s v="Kitchen&amp;HomeAppliances"/>
    <s v="HandBlenders"/>
    <n v="765"/>
    <n v="970"/>
    <n v="21"/>
    <n v="4.2"/>
    <n v="6055"/>
    <n v="4.155787022325522"/>
    <s v="High (1,000+)"/>
    <x v="2"/>
    <n v="51.4"/>
    <s v="Above median"/>
    <b v="0"/>
    <b v="0"/>
    <b v="0"/>
    <n v="1.0900000000000001"/>
    <n v="1"/>
    <x v="0"/>
    <s v="https://www.amazon.in/Orpat-HHB-100E-250-Watt-Blender-White/dp/B0085W2MUQ/ref=sr_1_358?qid=1672923610&amp;s=kitchen&amp;sr=1-358"/>
  </r>
  <r>
    <s v="B09474JWN6"/>
    <s v="HealthSense Rechargeable Lint Remover for Clothes | Fuzz and Fur Remover | Electric Fabric Shaver, Trimmer for Clothes, Carpet, Sofa, Sweaters, Curtains | One-Year Warranty Included - New-Feel LR350"/>
    <s v="Home&amp;Kitchen"/>
    <x v="3"/>
    <s v="Kitchen&amp;HomeAppliances"/>
    <s v="LintShavers"/>
    <n v="999"/>
    <n v="1500"/>
    <n v="33"/>
    <n v="4.2"/>
    <n v="386"/>
    <n v="4.0953691916791168"/>
    <s v="Medium (100-999)"/>
    <x v="2"/>
    <n v="44.8"/>
    <s v="Below median"/>
    <b v="0"/>
    <b v="0"/>
    <b v="0"/>
    <n v="2.2200000000000002"/>
    <n v="1"/>
    <x v="0"/>
    <s v="https://www.amazon.in/HealthSense-New-Feel-Rechargeable-Electric-Sweaters/dp/B09474JWN6/ref=sr_1_361?qid=1672923610&amp;s=kitchen&amp;sr=1-361"/>
  </r>
  <r>
    <s v="B09G2VTHQM"/>
    <s v="AGARO Classic Portable Yogurt Maker, 1.2L Capacity, Electric, Automatic, Grey and White, Medium (33603)"/>
    <s v="Home&amp;Kitchen"/>
    <x v="3"/>
    <s v="Kitchen&amp;HomeAppliances"/>
    <s v="YogurtMakers"/>
    <n v="587"/>
    <n v="1295"/>
    <n v="55"/>
    <n v="4.0999999999999996"/>
    <n v="557"/>
    <n v="4.0866162962567003"/>
    <s v="Medium (100-999)"/>
    <x v="2"/>
    <n v="54"/>
    <s v="Above median"/>
    <b v="0"/>
    <b v="0"/>
    <b v="0"/>
    <m/>
    <n v="1"/>
    <x v="0"/>
    <s v="https://www.amazon.in/AGARO-Portable-Capacity-Automatic-33603/dp/B09G2VTHQM/ref=sr_1_362?qid=1672923610&amp;s=kitchen&amp;sr=1-362"/>
  </r>
  <r>
    <s v="B07R679HTT"/>
    <s v="AGARO Imperial 240-Watt Slow Juicer with Cold Press Technology"/>
    <s v="Home&amp;Kitchen"/>
    <x v="3"/>
    <s v="Kitchen&amp;HomeAppliances"/>
    <s v="ColdPressJuicers"/>
    <n v="12609"/>
    <n v="23999"/>
    <n v="47"/>
    <n v="4.4000000000000004"/>
    <n v="2288"/>
    <n v="4.2038904374317534"/>
    <s v="High (1,000+)"/>
    <x v="1"/>
    <n v="55.1"/>
    <s v="Above median"/>
    <b v="0"/>
    <b v="0"/>
    <b v="0"/>
    <m/>
    <n v="1"/>
    <x v="0"/>
    <s v="https://www.amazon.in/AGARO-Imperial-Slow-Juicer-Watts/dp/B07R679HTT/ref=sr_1_363?qid=1672923610&amp;s=kitchen&amp;sr=1-363"/>
  </r>
  <r>
    <s v="B00B7GKXMG"/>
    <s v="Wipro Smartlife Super Deluxe Dry Iron- 1000W"/>
    <s v="Home&amp;Kitchen"/>
    <x v="3"/>
    <s v="Kitchen&amp;HomeAppliances"/>
    <s v="DryIrons"/>
    <n v="699"/>
    <n v="850"/>
    <n v="18"/>
    <n v="4.0999999999999996"/>
    <n v="1106"/>
    <n v="4.0881255194989867"/>
    <s v="High (1,000+)"/>
    <x v="2"/>
    <n v="38.200000000000003"/>
    <s v="Bottom 25%"/>
    <b v="0"/>
    <b v="0"/>
    <b v="0"/>
    <n v="1.03"/>
    <n v="1"/>
    <x v="0"/>
    <s v="https://www.amazon.in/Wipro-Smartlife-Super-Deluxe-Iron/dp/B00B7GKXMG/ref=sr_1_364?qid=1672923610&amp;s=kitchen&amp;sr=1-364"/>
  </r>
  <r>
    <s v="B07H3N8RJH"/>
    <s v="AmazonBasics Cylinder Bagless Vacuum Cleaner with Power Suction, Low Sound, High Energy Efficiency and 2 Years Warranty (1.5L, Black)"/>
    <s v="Home&amp;Kitchen"/>
    <x v="3"/>
    <s v="Kitchen&amp;HomeAppliances"/>
    <s v="CanisterVacuums"/>
    <n v="3799"/>
    <n v="6000"/>
    <n v="37"/>
    <n v="4.2"/>
    <n v="11935"/>
    <n v="4.1723484052671331"/>
    <s v="High (1,000+)"/>
    <x v="3"/>
    <n v="48.4"/>
    <s v="Below median"/>
    <b v="0"/>
    <b v="0"/>
    <b v="0"/>
    <m/>
    <n v="1"/>
    <x v="0"/>
    <s v="https://www.amazon.in/AmazonBasics-VCS35B15K-C-1-5-Litre-Bagless-Cylinder/dp/B07H3N8RJH/ref=sr_1_365?qid=1672923610&amp;s=kitchen&amp;sr=1-365"/>
  </r>
  <r>
    <s v="B07K2HVKLL"/>
    <s v="Crompton IHL 251 1500-Watt Immersion Water Heater with Copper Heating Element and IP 68 Protection"/>
    <s v="Home&amp;Kitchen"/>
    <x v="3"/>
    <s v="Heating,Cooling&amp;AirQuality"/>
    <s v="ImmersionRods"/>
    <n v="640"/>
    <n v="1020"/>
    <n v="37"/>
    <n v="4.0999999999999996"/>
    <n v="5059"/>
    <n v="4.0934465897728067"/>
    <s v="High (1,000+)"/>
    <x v="2"/>
    <n v="50.5"/>
    <s v="Below median"/>
    <b v="0"/>
    <b v="0"/>
    <b v="0"/>
    <m/>
    <n v="1"/>
    <x v="0"/>
    <s v="https://www.amazon.in/Crompton-IHL251-1500-Watt-Immersion-Heater/dp/B07K2HVKLL/ref=sr_1_366?qid=1672923610&amp;s=kitchen&amp;sr=1-366"/>
  </r>
  <r>
    <s v="B09MQ9PDHR"/>
    <s v="SaiEllin Room Heater For Home 2000 Watts Room Heater For Bedroom | ISI Approved With 1 Year Warranty | For 250 Sq. Feet Blower Heater &amp; Room Heaters Home For Winters"/>
    <s v="Home&amp;Kitchen"/>
    <x v="3"/>
    <s v="Heating,Cooling&amp;AirQuality"/>
    <s v="FanHeaters"/>
    <n v="979"/>
    <n v="1999"/>
    <n v="51"/>
    <n v="3.9"/>
    <n v="157"/>
    <n v="4.0772392120629704"/>
    <s v="Medium (100-999)"/>
    <x v="2"/>
    <n v="48.7"/>
    <s v="Below median"/>
    <b v="0"/>
    <b v="0"/>
    <b v="0"/>
    <n v="0.91"/>
    <n v="1"/>
    <x v="0"/>
    <s v="https://www.amazon.in/SaiEllin-Heater-Portable-Bedroom-Compact/dp/B09MQ9PDHR/ref=sr_1_364?qid=1672923611&amp;s=kitchen&amp;sr=1-364"/>
  </r>
  <r>
    <s v="B014HDJ7ZE"/>
    <s v="Bajaj Majesty Duetto Gas 6 Ltr Vertical Water Heater ( LPG), White"/>
    <s v="Home&amp;Kitchen"/>
    <x v="3"/>
    <s v="Heating,Cooling&amp;AirQuality"/>
    <s v="InstantWaterHeaters"/>
    <n v="5365"/>
    <n v="7445"/>
    <n v="28"/>
    <n v="3.9"/>
    <n v="3584"/>
    <n v="3.994560551511714"/>
    <s v="High (1,000+)"/>
    <x v="3"/>
    <n v="17.2"/>
    <s v="Bottom 25%"/>
    <b v="0"/>
    <b v="1"/>
    <b v="0"/>
    <n v="2.06"/>
    <n v="1"/>
    <x v="0"/>
    <s v="https://www.amazon.in/Bajaj-Majesty-Duetto-LPG-6-Litre/dp/B014HDJ7ZE/ref=sr_1_365?qid=1672923611&amp;s=kitchen&amp;sr=1-365"/>
  </r>
  <r>
    <s v="B07D2NMTTV"/>
    <s v="Black + Decker BD BXIR2201IN 2200-Watt Cord &amp; Cordless Steam Iron (Green)"/>
    <s v="Home&amp;Kitchen"/>
    <x v="3"/>
    <s v="Kitchen&amp;HomeAppliances"/>
    <s v="SteamIrons"/>
    <n v="3199"/>
    <n v="3500"/>
    <n v="9"/>
    <n v="4.2"/>
    <n v="1899"/>
    <n v="4.1233311121930258"/>
    <s v="High (1,000+)"/>
    <x v="3"/>
    <n v="36.700000000000003"/>
    <s v="Bottom 25%"/>
    <b v="0"/>
    <b v="0"/>
    <b v="0"/>
    <n v="1.05"/>
    <n v="1"/>
    <x v="0"/>
    <s v="https://www.amazon.in/Black-Decker-BXIR2201IN-2200-Watt-Cordless/dp/B07D2NMTTV/ref=sr_1_366?qid=1672923611&amp;s=kitchen&amp;sr=1-366"/>
  </r>
  <r>
    <s v="B075K76YW1"/>
    <s v="Inalsa Hand Blender| Hand Mixer|Beater - Easy Mix, Powerful 250 Watt Motor | Variable 7 Speed Control | 1 Year Warranty | (White/Red)"/>
    <s v="Home&amp;Kitchen"/>
    <x v="3"/>
    <s v="Kitchen&amp;HomeAppliances"/>
    <s v="HandMixers"/>
    <n v="979"/>
    <n v="1395"/>
    <n v="30"/>
    <n v="4.2"/>
    <n v="15252"/>
    <n v="4.1771721103200621"/>
    <s v="High (1,000+)"/>
    <x v="2"/>
    <n v="55.3"/>
    <s v="Above median"/>
    <b v="0"/>
    <b v="0"/>
    <b v="0"/>
    <m/>
    <n v="1"/>
    <x v="0"/>
    <s v="https://www.amazon.in/Inalsa-Easy-Mix-200-Watt-Mixer/dp/B075K76YW1/ref=sr_1_367?qid=1672923611&amp;s=kitchen&amp;sr=1-367"/>
  </r>
  <r>
    <s v="B0BNLFQDG2"/>
    <s v="Longway Blaze 2 Rod Quartz Room Heater (White, Gray, 800 watts)"/>
    <s v="Home&amp;Kitchen"/>
    <x v="3"/>
    <s v="Heating,Cooling&amp;AirQuality"/>
    <s v="ElectricHeaters"/>
    <n v="929"/>
    <n v="2199"/>
    <n v="58"/>
    <n v="3.7"/>
    <n v="4"/>
    <n v="4.0842264945389131"/>
    <s v="Low (&lt;100)"/>
    <x v="2"/>
    <n v="53.9"/>
    <s v="Above median"/>
    <b v="0"/>
    <b v="0"/>
    <b v="1"/>
    <n v="0.71"/>
    <n v="1"/>
    <x v="0"/>
    <s v="https://www.amazon.in/Longway-Blaze-Quartz-Heater-White/dp/B0BNLFQDG2/ref=sr_1_368?qid=1672923611&amp;s=kitchen&amp;sr=1-368"/>
  </r>
  <r>
    <s v="B082ZQ4479"/>
    <s v="Prestige PWG 07 Wet Grinder, 2L (Multicolor) with Coconut Scraper and Atta Kneader Attachments, 200 Watt"/>
    <s v="Home&amp;Kitchen"/>
    <x v="3"/>
    <s v="Kitchen&amp;HomeAppliances"/>
    <s v="WetGrinders"/>
    <n v="3710"/>
    <n v="4330"/>
    <n v="14"/>
    <n v="3.7"/>
    <n v="1662"/>
    <n v="3.9667875549231848"/>
    <s v="High (1,000+)"/>
    <x v="3"/>
    <n v="11.9"/>
    <s v="Bottom 25%"/>
    <b v="0"/>
    <b v="0"/>
    <b v="1"/>
    <m/>
    <n v="1"/>
    <x v="0"/>
    <s v="https://www.amazon.in/Prestige-Wet-Grinder-PWG-07/dp/B082ZQ4479/ref=sr_1_369?qid=1672923611&amp;s=kitchen&amp;sr=1-369"/>
  </r>
  <r>
    <s v="B09Y358DZQ"/>
    <s v="Pigeon Zest Mixer Grinder 3 Speed Control 750 Watt Powerful Copper Motor with 3 Stainless Steel Jars for Dry Grinding, Wet Grinding and Making Chutney and 3 Polycarbonate lids - Blue"/>
    <s v="Home&amp;Kitchen"/>
    <x v="3"/>
    <s v="Kitchen&amp;HomeAppliances"/>
    <s v="MixerGrinders"/>
    <n v="2033"/>
    <n v="4295"/>
    <n v="53"/>
    <n v="3.4"/>
    <n v="422"/>
    <n v="4.0155906540042574"/>
    <s v="Medium (100-999)"/>
    <x v="4"/>
    <n v="31.7"/>
    <s v="Bottom 25%"/>
    <b v="0"/>
    <b v="0"/>
    <b v="1"/>
    <n v="0.7"/>
    <n v="1"/>
    <x v="0"/>
    <s v="https://www.amazon.in/Pigeon-Powerful-Stainless-Grinding-Polycarbonate/dp/B09Y358DZQ/ref=sr_1_370?qid=1672923611&amp;s=kitchen&amp;sr=1-370"/>
  </r>
  <r>
    <s v="B09M3F4HGB"/>
    <s v="Borosil Volcano 13 Fin Oil Filled Radiator Room Heater, 2900 W, Black"/>
    <s v="Home&amp;Kitchen"/>
    <x v="3"/>
    <s v="Heating,Cooling&amp;AirQuality"/>
    <s v="ElectricHeaters"/>
    <n v="9495"/>
    <n v="18990"/>
    <n v="50"/>
    <n v="4.2"/>
    <n v="79"/>
    <n v="4.087007442842852"/>
    <s v="Low (&lt;100)"/>
    <x v="3"/>
    <n v="38.799999999999997"/>
    <s v="Below median"/>
    <b v="0"/>
    <b v="0"/>
    <b v="0"/>
    <n v="7.21"/>
    <n v="1"/>
    <x v="0"/>
    <s v="https://www.amazon.in/Borosil-Volcano-Filled-Radiator-Heater/dp/B09M3F4HGB/ref=sr_1_371?qid=1672923611&amp;s=kitchen&amp;sr=1-371"/>
  </r>
  <r>
    <s v="B07VZH6ZBB"/>
    <s v="Crompton Solarium Qube 15-L 5 Star Rated Storage Water Heater (Geyser) with Free Installation and Connection Pipes (White and Black)"/>
    <s v="Home&amp;Kitchen"/>
    <x v="3"/>
    <s v="Heating,Cooling&amp;AirQuality"/>
    <s v="StorageWaterHeaters"/>
    <n v="7799"/>
    <n v="12500"/>
    <n v="38"/>
    <n v="4"/>
    <n v="5160"/>
    <n v="4.035689447092274"/>
    <s v="High (1,000+)"/>
    <x v="3"/>
    <n v="24.3"/>
    <s v="Bottom 25%"/>
    <b v="0"/>
    <b v="0"/>
    <b v="0"/>
    <n v="1.22"/>
    <n v="1"/>
    <x v="0"/>
    <s v="https://www.amazon.in/Crompton-Solarium-Qube-Star-Rated-Storage/dp/B07VZH6ZBB/ref=sr_1_372?qid=1672923611&amp;s=kitchen&amp;sr=1-372"/>
  </r>
  <r>
    <s v="B07F366Z51"/>
    <s v="Singer Aroma 1.8 Liter Electric Kettle High Grade Stainless Steel with Cool and Touch Body and Cordless Base, 1500 watts, Auto Shut Off with Dry Boiling (Silver/Black)"/>
    <s v="Home&amp;Kitchen"/>
    <x v="3"/>
    <s v="Kitchen&amp;HomeAppliances"/>
    <s v="ElectricKettles"/>
    <n v="949"/>
    <n v="2385"/>
    <n v="60"/>
    <n v="4.0999999999999996"/>
    <n v="2311"/>
    <n v="4.0904814508406702"/>
    <s v="High (1,000+)"/>
    <x v="2"/>
    <n v="55.3"/>
    <s v="Above median"/>
    <b v="0"/>
    <b v="0"/>
    <b v="0"/>
    <n v="0.95"/>
    <n v="1"/>
    <x v="0"/>
    <s v="https://www.amazon.in/Singer-Aroma-1-8-Litre-Electric-Kettle/dp/B07F366Z51/ref=sr_1_373?qid=1672923611&amp;s=kitchen&amp;sr=1-373"/>
  </r>
  <r>
    <s v="B077BTLQ67"/>
    <s v="Orient Electric Aura Neo Instant 3L Water Heater (Geyser), 5-level Safety Shield, Stainless Steel Tank (White &amp; Turquoise)"/>
    <s v="Home&amp;Kitchen"/>
    <x v="3"/>
    <s v="Heating,Cooling&amp;AirQuality"/>
    <s v="InstantWaterHeaters"/>
    <n v="2790"/>
    <n v="4890"/>
    <n v="43"/>
    <n v="3.9"/>
    <n v="588"/>
    <n v="4.0596802877096456"/>
    <s v="Medium (100-999)"/>
    <x v="3"/>
    <n v="33.6"/>
    <s v="Bottom 25%"/>
    <b v="0"/>
    <b v="0"/>
    <b v="0"/>
    <n v="1.07"/>
    <n v="1"/>
    <x v="0"/>
    <s v="https://www.amazon.in/Orient-Electric-Aura-Neo-IWAN03WSM3/dp/B077BTLQ67/ref=sr_1_374?qid=1672923611&amp;s=kitchen&amp;sr=1-374"/>
  </r>
  <r>
    <s v="B07YSJ7FF1"/>
    <s v="Crompton Brio 1000-Watts Dry Iron with Weilburger Coating (Sky Blue and White)"/>
    <s v="Home&amp;Kitchen"/>
    <x v="3"/>
    <s v="Kitchen&amp;HomeAppliances"/>
    <s v="DryIrons"/>
    <n v="645"/>
    <n v="1100"/>
    <n v="41"/>
    <n v="4"/>
    <n v="3271"/>
    <n v="4.0452746273805094"/>
    <s v="High (1,000+)"/>
    <x v="2"/>
    <n v="38.6"/>
    <s v="Bottom 25%"/>
    <b v="0"/>
    <b v="0"/>
    <b v="0"/>
    <n v="0.95"/>
    <n v="1"/>
    <x v="0"/>
    <s v="https://www.amazon.in/Crompton-BRIO-1000-Years-Warranty/dp/B07YSJ7FF1/ref=sr_1_375?qid=1672923611&amp;s=kitchen&amp;sr=1-375"/>
  </r>
  <r>
    <s v="B07TXCY3YK"/>
    <s v="Butterfly Hero Mixer Grinder, 500W, 3 Jars (Grey)"/>
    <s v="Home&amp;Kitchen"/>
    <x v="3"/>
    <s v="Kitchen&amp;HomeAppliances"/>
    <s v="MixerGrinders"/>
    <n v="2237.81"/>
    <n v="3899"/>
    <n v="43"/>
    <n v="3.9"/>
    <n v="11004"/>
    <n v="3.9470449389957549"/>
    <s v="High (1,000+)"/>
    <x v="4"/>
    <n v="22.6"/>
    <s v="Bottom 25%"/>
    <b v="0"/>
    <b v="0"/>
    <b v="0"/>
    <n v="0.77"/>
    <n v="1"/>
    <x v="0"/>
    <s v="https://www.amazon.in/Butterfly-Hero-500-Mixer-Grinder/dp/B07TXCY3YK/ref=sr_1_379?qid=1672923611&amp;s=kitchen&amp;sr=1-379"/>
  </r>
  <r>
    <s v="B07TC9F7PN"/>
    <s v="Racold Eterno Pro 25L Vertical 5 Star Storage Water Heater (Geyser) with free Standard Installation and free Installation Pipes"/>
    <s v="Home&amp;Kitchen"/>
    <x v="3"/>
    <s v="Heating,Cooling&amp;AirQuality"/>
    <s v="StorageWaterHeaters"/>
    <n v="8699"/>
    <n v="16899"/>
    <n v="49"/>
    <n v="4.2"/>
    <n v="3195"/>
    <n v="4.1376125176688197"/>
    <s v="High (1,000+)"/>
    <x v="3"/>
    <n v="50.1"/>
    <s v="Below median"/>
    <b v="0"/>
    <b v="0"/>
    <b v="0"/>
    <n v="1.36"/>
    <n v="1"/>
    <x v="0"/>
    <s v="https://www.amazon.in/Racold-Eterno-Pro-Vertical-Metallic/dp/B07TC9F7PN/ref=sr_1_380?qid=1672923611&amp;s=kitchen&amp;sr=1-380"/>
  </r>
  <r>
    <s v="B09NS5TKPN"/>
    <s v="LG 1.5 Ton 5 Star AI DUAL Inverter Split AC (Copper, Super Convertible 6-in-1 Cooling, HD Filter with Anti-Virus Protection, 2022 Model, PS-Q19YNZE, White)"/>
    <s v="Home&amp;Kitchen"/>
    <x v="3"/>
    <s v="Heating,Cooling&amp;AirQuality"/>
    <s v="Split-SystemAirConditioners"/>
    <n v="42990"/>
    <n v="75990"/>
    <n v="43"/>
    <n v="4.3"/>
    <n v="3231"/>
    <n v="4.1841337086838948"/>
    <s v="High (1,000+)"/>
    <x v="1"/>
    <n v="49.8"/>
    <s v="Below median"/>
    <b v="0"/>
    <b v="0"/>
    <b v="0"/>
    <m/>
    <n v="1"/>
    <x v="0"/>
    <s v="https://www.amazon.in/LG-Convertible-Anti-Virus-Protection-PS-Q19YNZE/dp/B09NS5TKPN/ref=sr_1_381?qid=1672923611&amp;s=kitchen&amp;sr=1-381"/>
  </r>
  <r>
    <s v="B00LP9RFSU"/>
    <s v="Eureka Forbes Aquasure Amrit Twin Cartridge (Pack of 2), White"/>
    <s v="Home&amp;Kitchen"/>
    <x v="3"/>
    <s v="Kitchen&amp;HomeAppliances"/>
    <s v="WaterPurifierAccessories"/>
    <n v="825"/>
    <n v="825"/>
    <n v="0"/>
    <n v="4"/>
    <n v="3246"/>
    <n v="4.0454361263723788"/>
    <s v="High (1,000+)"/>
    <x v="2"/>
    <n v="26.1"/>
    <s v="Bottom 25%"/>
    <b v="0"/>
    <b v="1"/>
    <b v="0"/>
    <n v="3.57"/>
    <n v="1"/>
    <x v="0"/>
    <s v="https://www.amazon.in/Eureka-Forbes-Amrit-Twin-Cartridge/dp/B00LP9RFSU/ref=sr_1_382?qid=1672923611&amp;s=kitchen&amp;sr=1-382"/>
  </r>
  <r>
    <s v="B0B7L86YCB"/>
    <s v="Green Tales Heat Seal Mini Food Sealer-Impulse Machine for Sealing Plastic Bags Packaging"/>
    <s v="Home&amp;Kitchen"/>
    <x v="3"/>
    <s v="Kitchen&amp;HomeAppliances"/>
    <s v="VacuumSealers"/>
    <n v="161"/>
    <n v="300"/>
    <n v="46"/>
    <n v="2.6"/>
    <n v="24"/>
    <n v="4.0752249020680873"/>
    <s v="Low (&lt;100)"/>
    <x v="0"/>
    <n v="49.7"/>
    <s v="Below median"/>
    <b v="0"/>
    <b v="0"/>
    <b v="1"/>
    <m/>
    <n v="1"/>
    <x v="0"/>
    <s v="https://www.amazon.in/Green-Tales-Sealer-Impulse-Machine-Packaging/dp/B0B7L86YCB/ref=sr_1_383?qid=1672923611&amp;s=kitchen&amp;sr=1-383"/>
  </r>
  <r>
    <s v="B09VPH38JS"/>
    <s v="SaleOn Instant Coal Heater 500W Charcoal Burner Electric Stove Hot Plate - Mix Colors - Pack of 1 - Only Charcoal Heater"/>
    <s v="Home&amp;Kitchen"/>
    <x v="3"/>
    <s v="Kitchen&amp;HomeAppliances"/>
    <s v="InductionCooktop"/>
    <n v="697"/>
    <n v="1499"/>
    <n v="54"/>
    <n v="3.8"/>
    <n v="144"/>
    <n v="4.0741428623270997"/>
    <s v="Medium (100-999)"/>
    <x v="2"/>
    <n v="48.2"/>
    <s v="Below median"/>
    <b v="0"/>
    <b v="0"/>
    <b v="1"/>
    <n v="0.34"/>
    <n v="1"/>
    <x v="0"/>
    <s v="https://www.amazon.in/SaleOn-Charcoal-Electric-Appliances-Mix-colors/dp/B09VPH38JS/ref=sr_1_384?qid=1672923611&amp;s=kitchen&amp;sr=1-384"/>
  </r>
  <r>
    <s v="B01MUAUOCX"/>
    <s v="Sujata Chutney Steel Jar, 400 ml, (White), Stainless Steel"/>
    <s v="Home&amp;Kitchen"/>
    <x v="3"/>
    <s v="Kitchen&amp;HomeAppliances"/>
    <s v="SmallApplianceParts&amp;Accessories"/>
    <n v="688"/>
    <n v="747"/>
    <n v="8"/>
    <n v="4.5"/>
    <n v="2280"/>
    <n v="4.2413635236542513"/>
    <s v="High (1,000+)"/>
    <x v="2"/>
    <n v="58"/>
    <s v="Above median"/>
    <b v="0"/>
    <b v="0"/>
    <b v="0"/>
    <m/>
    <n v="1"/>
    <x v="0"/>
    <s v="https://www.amazon.in/SUJATA-Chutney-Jar-Small-8x8x8cm/dp/B01MUAUOCX/ref=sr_1_386?qid=1672923611&amp;s=kitchen&amp;sr=1-386"/>
  </r>
  <r>
    <s v="B09MB3DKG1"/>
    <s v="KHAITAN AVAANTE KA-2013 1200 Watt 3-Rod Halogen Heater (1200 Watts, Grey)"/>
    <s v="Home&amp;Kitchen"/>
    <x v="3"/>
    <s v="Heating,Cooling&amp;AirQuality"/>
    <s v="HalogenHeaters"/>
    <n v="2199"/>
    <n v="3999"/>
    <n v="45"/>
    <n v="3.5"/>
    <n v="340"/>
    <n v="4.0361825939502296"/>
    <s v="Medium (100-999)"/>
    <x v="4"/>
    <n v="33.299999999999997"/>
    <s v="Bottom 25%"/>
    <b v="0"/>
    <b v="0"/>
    <b v="1"/>
    <m/>
    <n v="1"/>
    <x v="0"/>
    <s v="https://www.amazon.in/KHAITAN-AVAANTE-KA-2013-Halogen-Heater/dp/B09MB3DKG1/ref=sr_1_387?qid=1672923611&amp;s=kitchen&amp;sr=1-387"/>
  </r>
  <r>
    <s v="B08QHLXWV3"/>
    <s v="Kenstar 2400 Watts 9 Fins Oil Filled Radiator with PTC Fan Heater (BLACK GOLD)"/>
    <s v="Home&amp;Kitchen"/>
    <x v="3"/>
    <s v="Heating,Cooling&amp;AirQuality"/>
    <s v="FanHeaters"/>
    <n v="6850"/>
    <n v="11990"/>
    <n v="43"/>
    <n v="3.9"/>
    <n v="144"/>
    <n v="4.0778290264125978"/>
    <s v="Medium (100-999)"/>
    <x v="3"/>
    <n v="32.700000000000003"/>
    <s v="Bottom 25%"/>
    <b v="0"/>
    <b v="0"/>
    <b v="0"/>
    <n v="6.35"/>
    <n v="1"/>
    <x v="0"/>
    <s v="https://www.amazon.in/Kenstar-Watts-Filled-Radiator-Heater/dp/B08QHLXWV3/ref=sr_1_388?qid=1672923611&amp;s=kitchen&amp;sr=1-388"/>
  </r>
  <r>
    <s v="B07G147SZD"/>
    <s v="NEXOMS Instant Heating Water Tap Wall Mounted with 3 Pin Indian Plug (16Amp)"/>
    <s v="Home&amp;Kitchen"/>
    <x v="3"/>
    <s v="Heating,Cooling&amp;AirQuality"/>
    <s v="InstantWaterHeaters"/>
    <n v="2699"/>
    <n v="3799"/>
    <n v="29"/>
    <n v="4"/>
    <n v="727"/>
    <n v="4.0709297453348512"/>
    <s v="Medium (100-999)"/>
    <x v="3"/>
    <n v="30.1"/>
    <s v="Bottom 25%"/>
    <b v="0"/>
    <b v="0"/>
    <b v="0"/>
    <n v="1.04"/>
    <n v="1"/>
    <x v="0"/>
    <s v="https://www.amazon.in/NEXOMS-Instant-Heating-Mounted-Stainless/dp/B07G147SZD/ref=sr_1_389?qid=1672923611&amp;s=kitchen&amp;sr=1-389"/>
  </r>
  <r>
    <s v="B09LH32678"/>
    <s v="JIALTO Mini Waffle Maker 4 Inch- 350 Watts: Stainless Steel Non-Stick Electric Iron Machine for Individual Belgian Waffles, Pan Cakes, Paninis or Other Snacks - Aqua blue"/>
    <s v="Home&amp;Kitchen"/>
    <x v="3"/>
    <s v="Kitchen&amp;HomeAppliances"/>
    <s v="WaffleMakers&amp;Irons"/>
    <n v="899"/>
    <n v="1999"/>
    <n v="55"/>
    <n v="4"/>
    <n v="832"/>
    <n v="4.069308758663797"/>
    <s v="Medium (100-999)"/>
    <x v="2"/>
    <n v="46.2"/>
    <s v="Below median"/>
    <b v="0"/>
    <b v="0"/>
    <b v="0"/>
    <m/>
    <n v="1"/>
    <x v="0"/>
    <s v="https://www.amazon.in/BONIRY-Waffle-Maker-Inch-Watts/dp/B09LH32678/ref=sr_1_390?qid=1672923611&amp;s=kitchen&amp;sr=1-390"/>
  </r>
  <r>
    <s v="B09R1YFL6S"/>
    <s v="Candes BlowHot All in One Silent Blower Fan Room Heater (ABS Body, White, Brown) 2000 Watts"/>
    <s v="Home&amp;Kitchen"/>
    <x v="3"/>
    <s v="Heating,Cooling&amp;AirQuality"/>
    <s v="FanHeaters"/>
    <n v="1090"/>
    <n v="2999"/>
    <n v="64"/>
    <n v="3.5"/>
    <n v="57"/>
    <n v="4.0759102216732064"/>
    <s v="Low (&lt;100)"/>
    <x v="4"/>
    <n v="54.6"/>
    <s v="Above median"/>
    <b v="0"/>
    <b v="0"/>
    <b v="1"/>
    <n v="1.01"/>
    <n v="1"/>
    <x v="0"/>
    <s v="https://www.amazon.in/Candes-BlowHot-Silent-Blower-Heater/dp/B09R1YFL6S/ref=sr_1_388?qid=1672923612&amp;s=kitchen&amp;sr=1-388"/>
  </r>
  <r>
    <s v="B07Q4NJQC5"/>
    <s v="Ionix Jewellery Scale | Weight Scale | Digital Weight Machine | weight machine for gold | Electronic weighing machines for Jewellery 0.01G to 200G Small Weight Machine for Shop - Silver"/>
    <s v="Home&amp;Kitchen"/>
    <x v="3"/>
    <s v="Kitchen&amp;HomeAppliances"/>
    <s v="DigitalKitchenScales"/>
    <n v="295"/>
    <n v="599"/>
    <n v="51"/>
    <n v="4"/>
    <n v="1644"/>
    <n v="4.0588993048517183"/>
    <s v="High (1,000+)"/>
    <x v="0"/>
    <n v="48.6"/>
    <s v="Below median"/>
    <b v="0"/>
    <b v="0"/>
    <b v="0"/>
    <n v="0.6"/>
    <n v="1"/>
    <x v="0"/>
    <s v="https://www.amazon.in/Ionix-Digital-Kitchen-Jewellery-Weighing/dp/B07Q4NJQC5/ref=sr_1_389?qid=1672923612&amp;s=kitchen&amp;sr=1-389"/>
  </r>
  <r>
    <s v="B097RN7BBK"/>
    <s v="Kitchen Kit Electric Kettle, 1.8L Stainless Steel Tea Kettle, Fast Boil Water Warmer with Auto Shut Off and Boil Dry Protection Tech"/>
    <s v="Home&amp;Kitchen"/>
    <x v="3"/>
    <s v="Kitchen&amp;HomeAppliances"/>
    <s v="Kettle&amp;ToasterSets"/>
    <n v="479"/>
    <n v="1999"/>
    <n v="76"/>
    <n v="3.4"/>
    <n v="1066"/>
    <n v="3.933486401922091"/>
    <s v="High (1,000+)"/>
    <x v="0"/>
    <n v="48"/>
    <s v="Below median"/>
    <b v="0"/>
    <b v="0"/>
    <b v="1"/>
    <n v="0.41"/>
    <n v="1"/>
    <x v="0"/>
    <s v="https://www.amazon.in/Kitchen-Kit-Electric-Stainless-Protection/dp/B097RN7BBK/ref=sr_1_390?qid=1672923612&amp;s=kitchen&amp;sr=1-390"/>
  </r>
  <r>
    <s v="B097MKZHNV"/>
    <s v="Racold Pronto Pro 3Litres 3KW Vertical Instant Water Heater (Geyser)"/>
    <s v="Home&amp;Kitchen"/>
    <x v="3"/>
    <s v="Heating,Cooling&amp;AirQuality"/>
    <s v="InstantWaterHeaters"/>
    <n v="2949"/>
    <n v="4849"/>
    <n v="39"/>
    <n v="4.2"/>
    <n v="7968"/>
    <n v="4.1629972372602033"/>
    <s v="High (1,000+)"/>
    <x v="3"/>
    <n v="51.6"/>
    <s v="Above median"/>
    <b v="0"/>
    <b v="0"/>
    <b v="0"/>
    <n v="1.1299999999999999"/>
    <n v="1"/>
    <x v="0"/>
    <s v="https://www.amazon.in/Racold-Pronto-3Litres-Vertical-Instant/dp/B097MKZHNV/ref=sr_1_391?qid=1672923612&amp;s=kitchen&amp;sr=1-391"/>
  </r>
  <r>
    <s v="B07LG96SDB"/>
    <s v="ESN 999 Supreme Quality 1500W Immersion Water Heater Rod (Black)"/>
    <s v="Home&amp;Kitchen"/>
    <x v="3"/>
    <s v="Heating,Cooling&amp;AirQuality"/>
    <s v="ImmersionRods"/>
    <n v="335"/>
    <n v="510"/>
    <n v="34"/>
    <n v="3.8"/>
    <n v="3195"/>
    <n v="3.953925848606656"/>
    <s v="High (1,000+)"/>
    <x v="0"/>
    <n v="32.700000000000003"/>
    <s v="Bottom 25%"/>
    <b v="0"/>
    <b v="0"/>
    <b v="1"/>
    <m/>
    <n v="1"/>
    <x v="0"/>
    <s v="https://www.amazon.in/ESN-999-Quality-Immersion-Heater/dp/B07LG96SDB/ref=sr_1_392?qid=1672923612&amp;s=kitchen&amp;sr=1-392"/>
  </r>
  <r>
    <s v="B08KS2KQTK"/>
    <s v="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Home&amp;Kitchen"/>
    <x v="3"/>
    <s v="Kitchen&amp;HomeAppliances"/>
    <s v="DripCoffeeMachines"/>
    <n v="293"/>
    <n v="499"/>
    <n v="41"/>
    <n v="4.0999999999999996"/>
    <n v="1456"/>
    <n v="4.0889219299953652"/>
    <s v="High (1,000+)"/>
    <x v="0"/>
    <n v="50.8"/>
    <s v="Above median"/>
    <b v="0"/>
    <b v="0"/>
    <b v="0"/>
    <m/>
    <n v="1"/>
    <x v="0"/>
    <s v="https://www.amazon.in/n1-Retail-Stainless-Indian-Coffee/dp/B08KS2KQTK/ref=sr_1_393?qid=1672923612&amp;s=kitchen&amp;sr=1-393"/>
  </r>
  <r>
    <s v="B095K14P86"/>
    <s v="Saiyam Stainless Steel Espresso Maker Stovetop Coffee Percolator Italian Coffee Maker Moka Pot (4 Cup - 200 ml, Silver)"/>
    <s v="Home&amp;Kitchen"/>
    <x v="3"/>
    <s v="Kitchen&amp;HomeAppliances"/>
    <s v="StovetopEspressoPots"/>
    <n v="599"/>
    <n v="1299"/>
    <n v="54"/>
    <n v="4.2"/>
    <n v="590"/>
    <n v="4.1002731973993836"/>
    <s v="Medium (100-999)"/>
    <x v="2"/>
    <n v="62"/>
    <s v="Top 25%"/>
    <b v="0"/>
    <b v="0"/>
    <b v="0"/>
    <m/>
    <n v="1"/>
    <x v="0"/>
    <s v="https://www.amazon.in/Saiyam-Stainless-Espresso-Maker-Percolator/dp/B095K14P86/ref=sr_1_394?qid=1672923612&amp;s=kitchen&amp;sr=1-394"/>
  </r>
  <r>
    <s v="B08K36NZSV"/>
    <s v="KONVIO NEER 10 Inch Spun Filter (PP SPUN) Cartridge Compatible for 10 Inch Pre-Filter Housing of Water Purifier | Pack of 4 Spun"/>
    <s v="Home&amp;Kitchen"/>
    <x v="3"/>
    <s v="Kitchen&amp;HomeAppliances"/>
    <s v="WaterPurifierAccessories"/>
    <n v="499"/>
    <n v="999"/>
    <n v="50"/>
    <n v="4.3"/>
    <n v="1436"/>
    <n v="4.1441260155200181"/>
    <s v="High (1,000+)"/>
    <x v="0"/>
    <n v="65"/>
    <s v="Top 25%"/>
    <b v="0"/>
    <b v="0"/>
    <b v="0"/>
    <n v="2.16"/>
    <n v="1"/>
    <x v="0"/>
    <s v="https://www.amazon.in/KONVIO-NEER-Cartridge-Compatible-Pre-Filter/dp/B08K36NZSV/ref=sr_1_395?qid=1672923612&amp;s=kitchen&amp;sr=1-395"/>
  </r>
  <r>
    <s v="B07LDPLSZC"/>
    <s v="Havells Glydo 1000 watt Dry Iron With American Heritage Non Stick Sole Plate, Aerodynamic Design, Easy Grip Temperature Knob &amp; 2 years Warranty. (Charcoal Blue)"/>
    <s v="Home&amp;Kitchen"/>
    <x v="3"/>
    <s v="Kitchen&amp;HomeAppliances"/>
    <s v="DryIrons"/>
    <n v="849"/>
    <n v="1190"/>
    <n v="29"/>
    <n v="4.2"/>
    <n v="4184"/>
    <n v="4.1453770957881861"/>
    <s v="High (1,000+)"/>
    <x v="2"/>
    <n v="52.8"/>
    <s v="Above median"/>
    <b v="0"/>
    <b v="0"/>
    <b v="0"/>
    <n v="1.25"/>
    <n v="1"/>
    <x v="0"/>
    <s v="https://www.amazon.in/Havells-Glydo-1000-Watt-Iron-Charcoal/dp/B07LDPLSZC/ref=sr_1_396?qid=1672923612&amp;s=kitchen&amp;sr=1-396"/>
  </r>
  <r>
    <s v="B07F1T31ZZ"/>
    <s v="Raffles Premium Stainless Steel South Indian Coffee Filter/Drip Coffee Maker, 2-3 Cups, 150 ml"/>
    <s v="Home&amp;Kitchen"/>
    <x v="3"/>
    <s v="Kitchen&amp;HomeAppliances"/>
    <s v="DripCoffeeMachines"/>
    <n v="249"/>
    <n v="400"/>
    <n v="38"/>
    <n v="4.0999999999999996"/>
    <n v="693"/>
    <n v="4.087024821384988"/>
    <s v="Medium (100-999)"/>
    <x v="0"/>
    <n v="48.7"/>
    <s v="Below median"/>
    <b v="0"/>
    <b v="0"/>
    <b v="0"/>
    <m/>
    <n v="1"/>
    <x v="0"/>
    <s v="https://www.amazon.in/Raffles-Premium-Stainless-Indian-Coffee/dp/B07F1T31ZZ/ref=sr_1_397?qid=1672923612&amp;s=kitchen&amp;sr=1-397"/>
  </r>
  <r>
    <s v="B0BNDRK886"/>
    <s v="IONIX Activated Carbon Faucet Water Filters Universal Interface Home Kitchen Faucet Tap Water | Tap filter Multilayer | Clean Purifier Filter Cartridge Five Layer Water Filter-Pack of 1"/>
    <s v="Home&amp;Kitchen"/>
    <x v="3"/>
    <s v="Kitchen&amp;HomeAppliances"/>
    <s v="WaterPurifierAccessories"/>
    <n v="185"/>
    <n v="599"/>
    <n v="69"/>
    <n v="3.9"/>
    <n v="1306"/>
    <n v="4.0370600950341942"/>
    <s v="High (1,000+)"/>
    <x v="0"/>
    <n v="55.8"/>
    <s v="Above median"/>
    <b v="0"/>
    <b v="0"/>
    <b v="0"/>
    <n v="0.8"/>
    <n v="1"/>
    <x v="0"/>
    <s v="https://www.amazon.in/IONIX-Tap-filter-Multilayer-Filter-Pack/dp/B0BNDRK886/ref=sr_1_399?qid=1672923612&amp;s=kitchen&amp;sr=1-399"/>
  </r>
  <r>
    <s v="B09ZVJXN5L"/>
    <s v="KNYUC MART Mini Electric Handy Room Heater Compact Plug-in, The Wall Outlet 400 Watts, Handy Air Warmer Blower Adjustable Timer Digital Display"/>
    <s v="Home&amp;Kitchen"/>
    <x v="3"/>
    <s v="Heating,Cooling&amp;AirQuality"/>
    <s v="FanHeaters"/>
    <n v="778"/>
    <n v="999"/>
    <n v="22"/>
    <n v="3.3"/>
    <n v="8"/>
    <n v="4.0829701874236344"/>
    <s v="Low (&lt;100)"/>
    <x v="2"/>
    <n v="39.1"/>
    <s v="Below median"/>
    <b v="0"/>
    <b v="0"/>
    <b v="1"/>
    <n v="0.72"/>
    <n v="1"/>
    <x v="0"/>
    <s v="https://www.amazon.in/KNYUC-MART-Electric-Compact-Adjustable/dp/B09ZVJXN5L/ref=sr_1_403?qid=1672923612&amp;s=kitchen&amp;sr=1-403"/>
  </r>
  <r>
    <s v="B08JKPVDKL"/>
    <s v="INKULTURE Stainless_Steel Measuring Cups &amp; Spoon Combo for Dry or Liquid/Kitchen Gadgets for Cooking &amp; Baking Cakes/Measuring Cup Set Combo with Handles (Set of 4 Cups &amp; 4 Spoons)"/>
    <s v="Home&amp;Kitchen"/>
    <x v="3"/>
    <s v="Kitchen&amp;HomeAppliances"/>
    <s v="MeasuringSpoons"/>
    <n v="279"/>
    <n v="699"/>
    <n v="60"/>
    <n v="4.3"/>
    <n v="2326"/>
    <n v="4.1669112411399878"/>
    <s v="High (1,000+)"/>
    <x v="0"/>
    <n v="74.099999999999994"/>
    <s v="Top 25%"/>
    <b v="0"/>
    <b v="0"/>
    <b v="0"/>
    <m/>
    <n v="1"/>
    <x v="0"/>
    <s v="https://www.amazon.in/INKULTURE-Stainless-Measuring-Kitchen-Gadgets/dp/B08JKPVDKL/ref=sr_1_404?qid=1672923612&amp;s=kitchen&amp;sr=1-404"/>
  </r>
  <r>
    <s v="B09JFR8H3Q"/>
    <s v="Macmillan Aquafresh 5 Micron PS-05 10&quot; in PP Spun Filter Candle Set for All Type RO Water Purifier 10 inch (4)"/>
    <s v="Home&amp;Kitchen"/>
    <x v="3"/>
    <s v="Kitchen&amp;HomeAppliances"/>
    <s v="WaterPurifierAccessories"/>
    <n v="215"/>
    <n v="1499"/>
    <n v="86"/>
    <n v="3.9"/>
    <n v="1004"/>
    <n v="4.0457440662290596"/>
    <s v="High (1,000+)"/>
    <x v="0"/>
    <n v="60.8"/>
    <s v="Top 25%"/>
    <b v="0"/>
    <b v="0"/>
    <b v="0"/>
    <n v="0.93"/>
    <n v="1"/>
    <x v="0"/>
    <s v="https://www.amazon.in/Macmillan-Aquafresh-Micron-Filter-Purifier/dp/B09JFR8H3Q/ref=sr_1_405?qid=1672923612&amp;s=kitchen&amp;sr=1-405"/>
  </r>
  <r>
    <s v="B07LDN9Q2P"/>
    <s v="Havells D'zire 1000 watt Dry Iron With American Heritage Sole Plate, Aerodynamic Design, Easy Grip Temperature Knob &amp; 2 years Warranty. (Mint)"/>
    <s v="Home&amp;Kitchen"/>
    <x v="3"/>
    <s v="Kitchen&amp;HomeAppliances"/>
    <s v="DryIrons"/>
    <n v="889"/>
    <n v="1295"/>
    <n v="31"/>
    <n v="4.3"/>
    <n v="6400"/>
    <n v="4.2202646092674847"/>
    <s v="High (1,000+)"/>
    <x v="2"/>
    <n v="61.1"/>
    <s v="Top 25%"/>
    <b v="0"/>
    <b v="0"/>
    <b v="0"/>
    <n v="1.31"/>
    <n v="1"/>
    <x v="0"/>
    <s v="https://www.amazon.in/Havells-Dzire-1000-Watt-Iron-Mint/dp/B07LDN9Q2P/ref=sr_1_406?qid=1672923612&amp;s=kitchen&amp;sr=1-406"/>
  </r>
  <r>
    <s v="B08T8KWNQ9"/>
    <s v="TE™ Instant Electric Heating Hot and Cold Water Geyser Tap Water with Digital Display (White)"/>
    <s v="Home&amp;Kitchen"/>
    <x v="3"/>
    <s v="Heating,Cooling&amp;AirQuality"/>
    <s v="InstantWaterHeaters"/>
    <n v="1449"/>
    <n v="4999"/>
    <n v="71"/>
    <n v="3.6"/>
    <n v="63"/>
    <n v="4.0766537947146304"/>
    <s v="Low (&lt;100)"/>
    <x v="4"/>
    <n v="55.1"/>
    <s v="Above median"/>
    <b v="0"/>
    <b v="0"/>
    <b v="1"/>
    <n v="0.56000000000000005"/>
    <n v="1"/>
    <x v="0"/>
    <s v="https://www.amazon.in/Tvara-Enterprise-Instant-Electric-Heating/dp/B08T8KWNQ9/ref=sr_1_407?qid=1672923612&amp;s=kitchen&amp;sr=1-407"/>
  </r>
  <r>
    <s v="B07Y1RCCW5"/>
    <s v="ZIGMA WinoteK WinoteK Sun Instant Water Geyser, Water Heater, Portable Water Heater, Geysers Made of First Class ABS Plastic, automatic Reset Model, AE10-3 W (Yellow)"/>
    <s v="Home&amp;Kitchen"/>
    <x v="3"/>
    <s v="Heating,Cooling&amp;AirQuality"/>
    <s v="InstantWaterHeaters"/>
    <n v="1190"/>
    <n v="2550"/>
    <n v="53"/>
    <n v="3.8"/>
    <n v="1181"/>
    <n v="4.0166358029090352"/>
    <s v="High (1,000+)"/>
    <x v="4"/>
    <n v="39.6"/>
    <s v="Below median"/>
    <b v="0"/>
    <b v="0"/>
    <b v="1"/>
    <n v="0.46"/>
    <n v="1"/>
    <x v="0"/>
    <s v="https://www.amazon.in/WinoteK-Instant-Portable-Geysers-automatic/dp/B07Y1RCCW5/ref=sr_1_409?qid=1672923612&amp;s=kitchen&amp;sr=1-409"/>
  </r>
  <r>
    <s v="B0762HXMTF"/>
    <s v="KENT 11054 Alkaline Water Filter Pitcher 3.5 L | Chemical-Free Water with Balanced pH Levels 8.0 to 9.5 | Solves Acidity Issue | Equipped with Carbon and Sediment Filter - Grey"/>
    <s v="Home&amp;Kitchen"/>
    <x v="3"/>
    <s v="Kitchen&amp;HomeAppliances"/>
    <s v="WaterFilters&amp;Purifiers"/>
    <n v="1799"/>
    <n v="1950"/>
    <n v="8"/>
    <n v="3.9"/>
    <n v="1888"/>
    <n v="4.0229429416300881"/>
    <s v="High (1,000+)"/>
    <x v="4"/>
    <n v="17.7"/>
    <s v="Bottom 25%"/>
    <b v="0"/>
    <b v="0"/>
    <b v="0"/>
    <n v="0.26"/>
    <n v="1"/>
    <x v="0"/>
    <s v="https://www.amazon.in/Kent-Alkaline-Filter-Pitcher-3-5-litres/dp/B0762HXMTF/ref=sr_1_410?qid=1672923612&amp;s=kitchen&amp;sr=1-410"/>
  </r>
  <r>
    <s v="B00K57MR22"/>
    <s v="Sujata Dynamix DX Mixer Grinder, 900W, 3 Jars (White)"/>
    <s v="Home&amp;Kitchen"/>
    <x v="3"/>
    <s v="Kitchen&amp;HomeAppliances"/>
    <s v="MixerGrinders"/>
    <n v="6120"/>
    <n v="8478"/>
    <n v="28"/>
    <n v="4.5999999999999996"/>
    <n v="6550"/>
    <n v="4.4119698513145016"/>
    <s v="High (1,000+)"/>
    <x v="3"/>
    <n v="57.9"/>
    <s v="Above median"/>
    <b v="0"/>
    <b v="0"/>
    <b v="0"/>
    <n v="2.11"/>
    <n v="1"/>
    <x v="0"/>
    <s v="https://www.amazon.in/Sujata-DynaMix-DX-900-Watt-Grinder/dp/B00K57MR22/ref=sr_1_411?qid=1672923612&amp;s=kitchen&amp;sr=1-411"/>
  </r>
  <r>
    <s v="B07TTSS5MP"/>
    <s v="Lifelong LLMG74 750 Watt Mixer Grinder with 3 Jars (White and Grey)"/>
    <s v="Home&amp;Kitchen"/>
    <x v="3"/>
    <s v="Kitchen&amp;HomeAppliances"/>
    <s v="MixerGrinders"/>
    <n v="1799"/>
    <n v="3299"/>
    <n v="45"/>
    <n v="3.8"/>
    <n v="1846"/>
    <n v="3.990949289771029"/>
    <s v="High (1,000+)"/>
    <x v="4"/>
    <n v="26.4"/>
    <s v="Bottom 25%"/>
    <b v="0"/>
    <b v="0"/>
    <b v="1"/>
    <n v="0.62"/>
    <n v="1"/>
    <x v="0"/>
    <s v="https://www.amazon.in/Lifelong-LLMG74-Mixer-Grinder-White/dp/B07TTSS5MP/ref=sr_1_412?qid=1672923612&amp;s=kitchen&amp;sr=1-412"/>
  </r>
  <r>
    <s v="B09ZDVL7L8"/>
    <s v="TTK Prestige Limited Orion Mixer Grinder 500 Watts, 3 Jars (1200ml, 1000ml, 500ml) (Red)"/>
    <s v="Home&amp;Kitchen"/>
    <x v="3"/>
    <s v="Kitchen&amp;HomeAppliances"/>
    <s v="MixerGrinders"/>
    <n v="2199"/>
    <n v="3895"/>
    <n v="44"/>
    <n v="3.9"/>
    <n v="1085"/>
    <n v="4.0433087347459136"/>
    <s v="High (1,000+)"/>
    <x v="4"/>
    <n v="30.6"/>
    <s v="Bottom 25%"/>
    <b v="0"/>
    <b v="0"/>
    <b v="0"/>
    <n v="0.76"/>
    <n v="1"/>
    <x v="0"/>
    <s v="https://www.amazon.in/TTK-Prestige-Limited-Grinder-1200ml/dp/B09ZDVL7L8/ref=sr_1_413?qid=1672923612&amp;s=kitchen&amp;sr=1-413"/>
  </r>
  <r>
    <s v="B09XHXXCFH"/>
    <s v="AGARO Regal Electric Rice Cooker, 3L Ceramic Inner Bowl, Cooks Up to 600 Gms Raw Rice, SS Steamer, Preset Cooking Functions, Preset Timer, Keep Warm Function, LED Display, Black"/>
    <s v="Home&amp;Kitchen"/>
    <x v="3"/>
    <s v="Kitchen&amp;HomeAppliances"/>
    <s v="Rice&amp;PastaCookers"/>
    <n v="3685"/>
    <n v="5495"/>
    <n v="33"/>
    <n v="4.0999999999999996"/>
    <n v="290"/>
    <n v="4.0857345075091462"/>
    <s v="Medium (100-999)"/>
    <x v="3"/>
    <n v="31.3"/>
    <s v="Bottom 25%"/>
    <b v="0"/>
    <b v="0"/>
    <b v="0"/>
    <m/>
    <n v="1"/>
    <x v="0"/>
    <s v="https://www.amazon.in/AGARO-Regal-Electric-Ceramic-functions/dp/B09XHXXCFH/ref=sr_1_412?qid=1672923613&amp;s=kitchen&amp;sr=1-412"/>
  </r>
  <r>
    <s v="B0BL3R4RGS"/>
    <s v="VAPJA® Portable Mini Juicer Cup Blender USB Rechargeable with 4 Blades for Shakes and Smoothies Fruits Vegetables Juice Maker Grinder Mixer Strong Cutting Bottle Sports Travel Outdoors Gym (BOTTLE)"/>
    <s v="Home&amp;Kitchen"/>
    <x v="3"/>
    <s v="Kitchen&amp;HomeAppliances"/>
    <s v="JuicerMixerGrinders"/>
    <n v="649"/>
    <n v="999"/>
    <n v="35"/>
    <n v="3.6"/>
    <n v="4"/>
    <n v="4.0841202951495594"/>
    <s v="Low (&lt;100)"/>
    <x v="2"/>
    <n v="42.1"/>
    <s v="Below median"/>
    <b v="0"/>
    <b v="0"/>
    <b v="1"/>
    <n v="0.28000000000000003"/>
    <n v="1"/>
    <x v="0"/>
    <s v="https://www.amazon.in/Portable-Rechargeable-Smoothies-Vegetables-BOTTLE/dp/B0BL3R4RGS/ref=sr_1_415?qid=1672923613&amp;s=kitchen&amp;sr=1-415"/>
  </r>
  <r>
    <s v="B07P1BR7L8"/>
    <s v="Philips HD6975/00 25 Litre Digital Oven Toaster Grill, Grey, 25 liter"/>
    <s v="Home&amp;Kitchen"/>
    <x v="3"/>
    <s v="Kitchen&amp;HomeAppliances"/>
    <s v="OvenToasterGrills"/>
    <n v="8599"/>
    <n v="8995"/>
    <n v="4"/>
    <n v="4.4000000000000004"/>
    <n v="9734"/>
    <n v="4.3120838062965081"/>
    <s v="High (1,000+)"/>
    <x v="3"/>
    <n v="49.1"/>
    <s v="Below median"/>
    <b v="0"/>
    <b v="0"/>
    <b v="0"/>
    <m/>
    <n v="1"/>
    <x v="0"/>
    <s v="https://www.amazon.in/Philips-HD6975-00-25-Litre-Digital/dp/B07P1BR7L8/ref=sr_1_417?qid=1672923613&amp;s=kitchen&amp;sr=1-417"/>
  </r>
  <r>
    <s v="B078WB1VWJ"/>
    <s v="Usha EI 3710 Heavy Weight 1000-Watt Dry Iron with Golden American Heritage Soleplate, 1.75 Kg(White)"/>
    <s v="Home&amp;Kitchen"/>
    <x v="3"/>
    <s v="Kitchen&amp;HomeAppliances"/>
    <s v="DryIrons"/>
    <n v="1110"/>
    <n v="1599"/>
    <n v="31"/>
    <n v="4.3"/>
    <n v="4022"/>
    <n v="4.1959071349066486"/>
    <s v="High (1,000+)"/>
    <x v="4"/>
    <n v="57.9"/>
    <s v="Above median"/>
    <b v="0"/>
    <b v="0"/>
    <b v="0"/>
    <n v="1.63"/>
    <n v="1"/>
    <x v="0"/>
    <s v="https://www.amazon.in/Usha-Electric-EI3710-1000W-Golden/dp/B078WB1VWJ/ref=sr_1_418?qid=1672923613&amp;s=kitchen&amp;sr=1-418"/>
  </r>
  <r>
    <s v="B0BP89YBC1"/>
    <s v="Campfire Spring Chef Prolix Instant Portable Water Heater Geyser 1Ltr. for Use Home Stainless Steel Baking Rack | Restaurant | Office | Labs | Clinics | Saloon | with Installation Kit (With MCB)"/>
    <s v="Home&amp;Kitchen"/>
    <x v="3"/>
    <s v="Heating,Cooling&amp;AirQuality"/>
    <s v="InstantWaterHeaters"/>
    <n v="1499"/>
    <n v="3500"/>
    <n v="57"/>
    <n v="4.7"/>
    <n v="2591"/>
    <n v="4.335584967605385"/>
    <s v="High (1,000+)"/>
    <x v="4"/>
    <n v="78.5"/>
    <s v="Top 25%"/>
    <b v="0"/>
    <b v="0"/>
    <b v="0"/>
    <n v="0.57999999999999996"/>
    <n v="1"/>
    <x v="0"/>
    <s v="https://www.amazon.in/Spring-Chef-Stainless-Restaurant-Installation/dp/B0BP89YBC1/ref=sr_1_419?qid=1672923613&amp;s=kitchen&amp;sr=1-419"/>
  </r>
  <r>
    <s v="B09W9V2PXG"/>
    <s v="Themisto TH-WS20 Digital Kitchen Weighing Scale Stainless Steel (5Kg)"/>
    <s v="Home&amp;Kitchen"/>
    <x v="3"/>
    <s v="Kitchen&amp;HomeAppliances"/>
    <s v="DigitalKitchenScales"/>
    <n v="759"/>
    <n v="1999"/>
    <n v="62"/>
    <n v="4.3"/>
    <n v="532"/>
    <n v="4.1113142604915156"/>
    <s v="Medium (100-999)"/>
    <x v="2"/>
    <n v="65.599999999999994"/>
    <s v="Top 25%"/>
    <b v="0"/>
    <b v="0"/>
    <b v="0"/>
    <n v="1.55"/>
    <n v="1"/>
    <x v="0"/>
    <s v="https://www.amazon.in/Themisto-TH-WS20-Digital-Weighing-Stainless/dp/B09W9V2PXG/ref=sr_1_420?qid=1672923613&amp;s=kitchen&amp;sr=1-420"/>
  </r>
  <r>
    <s v="B09XTQFFCG"/>
    <s v="FYA Handheld Vacuum Cleaner Cordless, Wireless Hand Vacuum&amp;Air Blower 2-in-1, Mini Portable Car Vacuum Cleaner with Powerful Suction, USB Rechargeable Vacuum for Pet Hair, Home and Car"/>
    <s v="Home&amp;Kitchen"/>
    <x v="3"/>
    <s v="Kitchen&amp;HomeAppliances"/>
    <s v="HandheldVacuums"/>
    <n v="2669"/>
    <n v="3199"/>
    <n v="17"/>
    <n v="3.9"/>
    <n v="260"/>
    <n v="4.0727008307472508"/>
    <s v="Medium (100-999)"/>
    <x v="3"/>
    <n v="24"/>
    <s v="Bottom 25%"/>
    <b v="0"/>
    <b v="0"/>
    <b v="0"/>
    <m/>
    <n v="1"/>
    <x v="0"/>
    <s v="https://www.amazon.in/FYA-Handheld-Cordless-Wireless-Rechargeable/dp/B09XTQFFCG/ref=sr_1_421?qid=1672923613&amp;s=kitchen&amp;sr=1-421"/>
  </r>
  <r>
    <s v="B08LVVTGZK"/>
    <s v="Lifelong LLSM120G Sandwich Griller , Classic Pro 750 W Sandwich Maker with 4 Slice Non-Stick Fixed Plates for Sandwiches at Home with 1 Year Warranty (Black)"/>
    <s v="Home&amp;Kitchen"/>
    <x v="3"/>
    <s v="Kitchen&amp;HomeAppliances"/>
    <s v="SandwichMakers"/>
    <n v="929"/>
    <n v="1300"/>
    <n v="29"/>
    <n v="3.9"/>
    <n v="1672"/>
    <n v="4.0278294400001498"/>
    <s v="High (1,000+)"/>
    <x v="2"/>
    <n v="29.4"/>
    <s v="Bottom 25%"/>
    <b v="0"/>
    <b v="0"/>
    <b v="0"/>
    <n v="0.63"/>
    <n v="1"/>
    <x v="0"/>
    <s v="https://www.amazon.in/Lifelong-Sandwich-Griller-Non-Stick-Plates/dp/B08LVVTGZK/ref=sr_1_422?qid=1672923613&amp;s=kitchen&amp;sr=1-422"/>
  </r>
  <r>
    <s v="B07J2BQZD6"/>
    <s v="Kuber Industries Nylon Mesh Laundry Basket|Sturdy Material &amp; Durable Handles|Netted Lightweight Laundry Bag, Size 36 x 36 x 58, Capicity 30 Ltr (Pink)"/>
    <s v="Home&amp;Kitchen"/>
    <x v="3"/>
    <s v="HomeStorage&amp;Organization"/>
    <s v="LaundryBaskets"/>
    <n v="199"/>
    <n v="399"/>
    <n v="50"/>
    <n v="3.7"/>
    <n v="7945"/>
    <n v="3.8236121368080989"/>
    <s v="High (1,000+)"/>
    <x v="0"/>
    <n v="31.5"/>
    <s v="Bottom 25%"/>
    <b v="0"/>
    <b v="0"/>
    <b v="1"/>
    <n v="0.56999999999999995"/>
    <n v="1"/>
    <x v="0"/>
    <s v="https://www.amazon.in/Kuber-Industries-Laundry-Basket-CTKTC1475/dp/B07J2BQZD6/ref=sr_1_427?qid=1672923613&amp;s=kitchen&amp;sr=1-427"/>
  </r>
  <r>
    <s v="B07HK53XM4"/>
    <s v="Bulfyss Plastic Sticky Lint Roller Hair Remover Cleaner Set of 5 Rolls 150 Sheets, 30 Sheets Each roll Lint Roller Remover for Clothes, Furniture, Carpet, Dog Fur, Sweater, Dust &amp; Dirt"/>
    <s v="Home&amp;Kitchen"/>
    <x v="3"/>
    <s v="Kitchen&amp;HomeAppliances"/>
    <s v="LintShavers"/>
    <n v="279"/>
    <n v="599"/>
    <n v="53"/>
    <n v="3.5"/>
    <n v="1367"/>
    <n v="3.92883109302677"/>
    <s v="High (1,000+)"/>
    <x v="0"/>
    <n v="39.5"/>
    <s v="Below median"/>
    <b v="0"/>
    <b v="0"/>
    <b v="1"/>
    <n v="0.62"/>
    <n v="1"/>
    <x v="0"/>
    <s v="https://www.amazon.in/Bulfyss-Plastic-Remover-Cleaner-Remover/dp/B07HK53XM4/ref=sr_1_428?qid=1672923613&amp;s=kitchen&amp;sr=1-428"/>
  </r>
  <r>
    <s v="B08RDWBYCQ"/>
    <s v="T TOPLINE 180 W Electric Hand Mixer,Hand Blender , Egg Beater, Cake maker , Beater Cream Mix, Food Blender, Beater for Whipping Cream Beater for Cake With 7 -Speed with spatula and oil brush"/>
    <s v="Home&amp;Kitchen"/>
    <x v="3"/>
    <s v="Kitchen&amp;HomeAppliances"/>
    <s v="HandBlenders"/>
    <n v="549"/>
    <n v="999"/>
    <n v="45"/>
    <n v="4"/>
    <n v="1313"/>
    <n v="4.0627404377264931"/>
    <s v="High (1,000+)"/>
    <x v="2"/>
    <n v="43.6"/>
    <s v="Below median"/>
    <b v="0"/>
    <b v="0"/>
    <b v="0"/>
    <n v="0.79"/>
    <n v="1"/>
    <x v="0"/>
    <s v="https://www.amazon.in/TOPLINE-Egg-Beater-Stainless-Attachments/dp/B08RDWBYCQ/ref=sr_1_429?qid=1672923613&amp;s=kitchen&amp;sr=1-429"/>
  </r>
  <r>
    <s v="B09FHHTL8L"/>
    <s v="Empty Mist Trigger Plastic Spray Bottle for Multi use 200ml Pack of 2"/>
    <s v="Home&amp;Kitchen"/>
    <x v="3"/>
    <s v="HomeStorage&amp;Organization"/>
    <s v="SprayBottles"/>
    <n v="85"/>
    <n v="199"/>
    <n v="57"/>
    <n v="4.0999999999999996"/>
    <n v="212"/>
    <n v="4.0854545456487141"/>
    <s v="Medium (100-999)"/>
    <x v="0"/>
    <n v="56.4"/>
    <s v="Above median"/>
    <b v="0"/>
    <b v="0"/>
    <b v="0"/>
    <m/>
    <n v="1"/>
    <x v="0"/>
    <s v="https://www.amazon.in/Empty-Trigger-Plastic-Spray-Bottle/dp/B09FHHTL8L/ref=sr_1_430_mod_primary_new?qid=1672923613&amp;s=kitchen&amp;sbo=RZvfv%2F%2FHxDF%2BO5021pAnSA%3D%3D&amp;sr=1-430"/>
  </r>
  <r>
    <s v="B0BHNHMR3H"/>
    <s v="LONAXA Mini Travel Rechargeable Fruit Juicer - USB Electric Fruit &amp; Vegetable Juice Blender/Grinder for Home and Office Use (Multicolor)…"/>
    <s v="Home&amp;Kitchen"/>
    <x v="3"/>
    <s v="Kitchen&amp;HomeAppliances"/>
    <s v="JuicerMixerGrinders"/>
    <n v="499"/>
    <n v="1299"/>
    <n v="62"/>
    <n v="3.9"/>
    <n v="65"/>
    <n v="4.0814994361021073"/>
    <s v="Low (&lt;100)"/>
    <x v="0"/>
    <n v="56.3"/>
    <s v="Above median"/>
    <b v="0"/>
    <b v="0"/>
    <b v="0"/>
    <n v="0.21"/>
    <n v="1"/>
    <x v="0"/>
    <s v="https://www.amazon.in/LONAXA-Travel-Rechargeable-Fruit-Juicer/dp/B0BHNHMR3H/ref=sr_1_431?qid=1672923613&amp;s=kitchen&amp;sr=1-431"/>
  </r>
  <r>
    <s v="B07D8VBYB4"/>
    <s v="SUJATA Powermatic Plus, Juicer Mixer Grinder, 900 Watts, 2 Jars (White)"/>
    <s v="Home&amp;Kitchen"/>
    <x v="3"/>
    <s v="Kitchen&amp;HomeAppliances"/>
    <s v="JuicerMixerGrinders"/>
    <n v="5865"/>
    <n v="7776"/>
    <n v="25"/>
    <n v="4.4000000000000004"/>
    <n v="2737"/>
    <n v="4.2174381247297204"/>
    <s v="High (1,000+)"/>
    <x v="3"/>
    <n v="48.7"/>
    <s v="Below median"/>
    <b v="0"/>
    <b v="0"/>
    <b v="0"/>
    <n v="2.5099999999999998"/>
    <n v="1"/>
    <x v="0"/>
    <s v="https://www.amazon.in/Powermatic-Plus-CH-900-Watt-Grinder/dp/B07D8VBYB4/ref=sr_1_432?qid=1672923613&amp;s=kitchen&amp;sr=1-432"/>
  </r>
  <r>
    <s v="B0B3TBY2YX"/>
    <s v="AGARO Royal Double Layered Kettle, 1.5 Litres, Double Layered Cool Touch , Dry Boiling Protection, Black"/>
    <s v="Home&amp;Kitchen"/>
    <x v="3"/>
    <s v="Kitchen&amp;HomeAppliances"/>
    <s v="ElectricKettles"/>
    <n v="1260"/>
    <n v="2299"/>
    <n v="45"/>
    <n v="4.3"/>
    <n v="55"/>
    <n v="4.0877378105254261"/>
    <s v="Low (&lt;100)"/>
    <x v="4"/>
    <n v="43.1"/>
    <s v="Below median"/>
    <b v="0"/>
    <b v="0"/>
    <b v="0"/>
    <n v="1.26"/>
    <n v="1"/>
    <x v="0"/>
    <s v="https://www.amazon.in/AGARO-Double-Layered-Boiling-Protection/dp/B0B3TBY2YX/ref=sr_1_433_mod_primary_new?qid=1672923613&amp;s=kitchen&amp;sbo=RZvfv%2F%2FHxDF%2BO5021pAnSA%3D%3D&amp;sr=1-433"/>
  </r>
  <r>
    <s v="B088WCFPQF"/>
    <s v="Cafe JEI French Press Coffee and Tea Maker 600ml with 4 Level Filtration System, Heat Resistant Borosilicate Glass (Black, 600ml)"/>
    <s v="Home&amp;Kitchen"/>
    <x v="3"/>
    <s v="Kitchen&amp;HomeAppliances"/>
    <s v="CoffeePresses"/>
    <n v="1099"/>
    <n v="1500"/>
    <n v="27"/>
    <n v="4.5"/>
    <n v="1065"/>
    <n v="4.1762691023678542"/>
    <s v="High (1,000+)"/>
    <x v="4"/>
    <n v="52.8"/>
    <s v="Above median"/>
    <b v="0"/>
    <b v="0"/>
    <b v="0"/>
    <m/>
    <n v="1"/>
    <x v="0"/>
    <s v="https://www.amazon.in/Cafe-JEI-Filtration-Resistant-Borosilicate/dp/B088WCFPQF/ref=sr_1_436?qid=1672923613&amp;s=kitchen&amp;sr=1-436"/>
  </r>
  <r>
    <s v="B07JZSG42Y"/>
    <s v="Borosil Prime Grill Sandwich Maker (Grey)"/>
    <s v="Home&amp;Kitchen"/>
    <x v="3"/>
    <s v="Kitchen&amp;HomeAppliances"/>
    <s v="SandwichMakers"/>
    <n v="1928"/>
    <n v="2590"/>
    <n v="26"/>
    <n v="4"/>
    <n v="2377"/>
    <n v="4.0518672679665801"/>
    <s v="High (1,000+)"/>
    <x v="4"/>
    <n v="25.5"/>
    <s v="Bottom 25%"/>
    <b v="0"/>
    <b v="0"/>
    <b v="0"/>
    <n v="1.31"/>
    <n v="1"/>
    <x v="0"/>
    <s v="https://www.amazon.in/Borosil-Prime-BGRILLPS11-Grill-Sandwich/dp/B07JZSG42Y/ref=sr_1_437?qid=1672923613&amp;s=kitchen&amp;sr=1-437"/>
  </r>
  <r>
    <s v="B08YRMBK9R"/>
    <s v="Candes 10 Litre Perfecto 5 Star Rated Automatic Instant Storage Electric Water Heater with Special Metal Body Anti Rust Coating With Installation Kit, 2KW Geyser (Ivory)"/>
    <s v="Home&amp;Kitchen"/>
    <x v="3"/>
    <s v="Heating,Cooling&amp;AirQuality"/>
    <s v="StorageWaterHeaters"/>
    <n v="3249"/>
    <n v="6299"/>
    <n v="48"/>
    <n v="3.9"/>
    <n v="2569"/>
    <n v="4.0097195122294584"/>
    <s v="High (1,000+)"/>
    <x v="3"/>
    <n v="28.6"/>
    <s v="Bottom 25%"/>
    <b v="0"/>
    <b v="0"/>
    <b v="0"/>
    <n v="0.51"/>
    <n v="1"/>
    <x v="0"/>
    <s v="https://www.amazon.in/Candes-Automatic-Instant-Multiple-Perfecto/dp/B08YRMBK9R/ref=sr_1_438?qid=1672923613&amp;s=kitchen&amp;sr=1-438"/>
  </r>
  <r>
    <s v="B00935MGHS"/>
    <s v="Prestige PSMFB 800 Watt Sandwich Toaster with Fixed Plates, Black"/>
    <s v="Home&amp;Kitchen"/>
    <x v="3"/>
    <s v="Kitchen&amp;HomeAppliances"/>
    <s v="SandwichMakers"/>
    <n v="1199"/>
    <n v="1795"/>
    <n v="33"/>
    <n v="4.2"/>
    <n v="5967"/>
    <n v="4.1553871310633452"/>
    <s v="High (1,000+)"/>
    <x v="4"/>
    <n v="51.9"/>
    <s v="Above median"/>
    <b v="0"/>
    <b v="0"/>
    <b v="0"/>
    <n v="0.81"/>
    <n v="1"/>
    <x v="0"/>
    <s v="https://www.amazon.in/Prestige-PSMFB-Sandwich-Toaster-Plates/dp/B00935MGHS/ref=sr_1_436?qid=1672923614&amp;s=kitchen&amp;sr=1-436"/>
  </r>
  <r>
    <s v="B07B5XJ572"/>
    <s v="iBELL MPK120L Premium Stainless Steel Multi Purpose Kettle/Cooker with Inner Pot 1.2 Litre (Silver)"/>
    <s v="Home&amp;Kitchen"/>
    <x v="3"/>
    <s v="Kitchen&amp;HomeAppliances"/>
    <s v="ElectricKettles"/>
    <n v="1456"/>
    <n v="3190"/>
    <n v="54"/>
    <n v="4.0999999999999996"/>
    <n v="1776"/>
    <n v="4.0895619918174262"/>
    <s v="High (1,000+)"/>
    <x v="4"/>
    <n v="47.8"/>
    <s v="Below median"/>
    <b v="0"/>
    <b v="0"/>
    <b v="0"/>
    <n v="1.46"/>
    <n v="1"/>
    <x v="0"/>
    <s v="https://www.amazon.in/iBELL-MPK120L-Stainless-Purpose-Kettle/dp/B07B5XJ572/ref=sr_1_437?qid=1672923614&amp;s=kitchen&amp;sr=1-437"/>
  </r>
  <r>
    <s v="B086199CWG"/>
    <s v="Maharaja Whiteline Odacio Plus 550-Watt Juicer Mixer Grinder with 3 Jars (Black/Silver)"/>
    <s v="Home&amp;Kitchen"/>
    <x v="3"/>
    <s v="Kitchen&amp;HomeAppliances"/>
    <s v="JuicerMixerGrinders"/>
    <n v="3349"/>
    <n v="4799"/>
    <n v="30"/>
    <n v="3.7"/>
    <n v="4200"/>
    <n v="3.8817505923617981"/>
    <s v="High (1,000+)"/>
    <x v="3"/>
    <n v="13.9"/>
    <s v="Bottom 25%"/>
    <b v="0"/>
    <b v="0"/>
    <b v="1"/>
    <n v="1.43"/>
    <n v="1"/>
    <x v="0"/>
    <s v="https://www.amazon.in/Maharaja-Whiteline-Odacio-550-Watt-Grinder/dp/B086199CWG/ref=sr_1_438?qid=1672923614&amp;s=kitchen&amp;sr=1-438"/>
  </r>
  <r>
    <s v="B0BBWJFK5C"/>
    <s v="Shakti Technology S3 High Pressure Car Washer Machine 1800 Watts and Pressure 120 Bar for Cleaning Car, Bike &amp; Home"/>
    <s v="Home&amp;Kitchen"/>
    <x v="3"/>
    <s v="Kitchen&amp;HomeAppliances"/>
    <s v="PressureWashers,Steam&amp;WindowCleaners"/>
    <n v="4899"/>
    <n v="8999"/>
    <n v="46"/>
    <n v="4.0999999999999996"/>
    <n v="297"/>
    <n v="4.0857591062152521"/>
    <s v="Medium (100-999)"/>
    <x v="3"/>
    <n v="36.1"/>
    <s v="Bottom 25%"/>
    <b v="0"/>
    <b v="0"/>
    <b v="0"/>
    <m/>
    <n v="1"/>
    <x v="0"/>
    <s v="https://www.amazon.in/Shakti-Technology-S3-Pressure-Cleaning/dp/B0BBWJFK5C/ref=sr_1_439?qid=1672923614&amp;s=kitchen&amp;sr=1-439"/>
  </r>
  <r>
    <s v="B07GLS2563"/>
    <s v="Cello Quick Boil Popular Electric Kettle 1 Litre 1200 Watts | Stainless Steel body | Boiler for Water, Silver"/>
    <s v="Home&amp;Kitchen"/>
    <x v="3"/>
    <s v="Kitchen&amp;HomeAppliances"/>
    <s v="Kettle&amp;ToasterSets"/>
    <n v="1199"/>
    <n v="1899"/>
    <n v="37"/>
    <n v="4.2"/>
    <n v="3858"/>
    <n v="4.1430403637137747"/>
    <s v="High (1,000+)"/>
    <x v="4"/>
    <n v="52"/>
    <s v="Above median"/>
    <b v="0"/>
    <b v="0"/>
    <b v="0"/>
    <n v="1.01"/>
    <n v="1"/>
    <x v="0"/>
    <s v="https://www.amazon.in/cello-Stainless-Electric-Kettle-Silver/dp/B07GLS2563/ref=sr_1_440?qid=1672923614&amp;s=kitchen&amp;sr=1-440"/>
  </r>
  <r>
    <s v="B09P182Z2H"/>
    <s v="AGARO Glory Cool Mist Ultrasonic Humidifier, 4.5Litres, For Large Area, Room, Home, Office, Adjustable Mist Output, Ceramic Ball Filter, Ultra Quiet, 360° Rotatable Nozzle, Auto Shut Off, Grey"/>
    <s v="Home&amp;Kitchen"/>
    <x v="3"/>
    <s v="Heating,Cooling&amp;AirQuality"/>
    <s v="Humidifiers"/>
    <n v="3290"/>
    <n v="5799"/>
    <n v="43"/>
    <n v="4.3"/>
    <n v="168"/>
    <n v="4.0938402472155744"/>
    <s v="Medium (100-999)"/>
    <x v="3"/>
    <n v="42.5"/>
    <s v="Below median"/>
    <b v="0"/>
    <b v="0"/>
    <b v="0"/>
    <m/>
    <n v="1"/>
    <x v="0"/>
    <s v="https://www.amazon.in/AGARO-Ultrasonic-Humidifier-4-5Litres-Adjustable/dp/B09P182Z2H/ref=sr_1_441?qid=1672923614&amp;s=kitchen&amp;sr=1-441"/>
  </r>
  <r>
    <s v="B0B59K1C8F"/>
    <s v="Wolpin 1 Lint Roller with 60 Sheets Remove Clothes Lint Dog Hair Dust (19 x 13 cm) Orange"/>
    <s v="Home&amp;Kitchen"/>
    <x v="3"/>
    <s v="Kitchen&amp;HomeAppliances"/>
    <s v="LintShavers"/>
    <n v="179"/>
    <n v="799"/>
    <n v="78"/>
    <n v="3.6"/>
    <n v="101"/>
    <n v="4.071965598985587"/>
    <s v="Medium (100-999)"/>
    <x v="0"/>
    <n v="63.1"/>
    <s v="Top 25%"/>
    <b v="0"/>
    <b v="0"/>
    <b v="1"/>
    <n v="0.4"/>
    <n v="1"/>
    <x v="0"/>
    <s v="https://www.amazon.in/Wolpin-Roller-Sheets-Remove-Clothes/dp/B0B59K1C8F/ref=sr_1_442?qid=1672923614&amp;s=kitchen&amp;sr=1-442"/>
  </r>
  <r>
    <s v="B06Y36JKC3"/>
    <s v="Abode Kitchen Essential Measuring Cup &amp; Spoon for Spices | for Cooking and Baking Cake | Multipurpose Tablespoon Cups with Ring Holder | (Black)"/>
    <s v="Home&amp;Kitchen"/>
    <x v="3"/>
    <s v="Kitchen&amp;HomeAppliances"/>
    <s v="MeasuringSpoons"/>
    <n v="149"/>
    <n v="300"/>
    <n v="50"/>
    <n v="4.0999999999999996"/>
    <n v="4074"/>
    <n v="4.0926228662899016"/>
    <s v="High (1,000+)"/>
    <x v="0"/>
    <n v="58.7"/>
    <s v="Above median"/>
    <b v="0"/>
    <b v="0"/>
    <b v="0"/>
    <m/>
    <n v="1"/>
    <x v="0"/>
    <s v="https://www.amazon.in/Measuring-Cups-Spoons-Set-Essential/dp/B06Y36JKC3/ref=sr_1_443?qid=1672923614&amp;s=kitchen&amp;sr=1-443"/>
  </r>
  <r>
    <s v="B075S9FVRY"/>
    <s v="Sujata Supermix, Mixer Grinder, 900 Watts, 3 Jars (White)"/>
    <s v="Home&amp;Kitchen"/>
    <x v="3"/>
    <s v="Kitchen&amp;HomeAppliances"/>
    <s v="MixerGrinders"/>
    <n v="5490"/>
    <n v="7200"/>
    <n v="24"/>
    <n v="4.5"/>
    <n v="1408"/>
    <n v="4.1977447232725682"/>
    <s v="High (1,000+)"/>
    <x v="3"/>
    <n v="47.5"/>
    <s v="Below median"/>
    <b v="0"/>
    <b v="0"/>
    <b v="0"/>
    <n v="1.89"/>
    <n v="1"/>
    <x v="0"/>
    <s v="https://www.amazon.in/Sujata-Supermix-AM-007-Watt-Juicer-Grinder/dp/B075S9FVRY/ref=sr_1_444?qid=1672923614&amp;s=kitchen&amp;sr=1-444"/>
  </r>
  <r>
    <s v="B08SJVD8QD"/>
    <s v="CARDEX Digital Kitchen Weighing Machine Multipurpose Electronic Weight Scale With Back Lite LCD Display for Measuring Food, Cake, Vegetable, Fruit (KITCHEN SCALE)"/>
    <s v="Home&amp;Kitchen"/>
    <x v="3"/>
    <s v="Kitchen&amp;HomeAppliances"/>
    <s v="DigitalKitchenScales"/>
    <n v="379"/>
    <n v="389"/>
    <n v="3"/>
    <n v="4.2"/>
    <n v="3739"/>
    <n v="4.1421367848671364"/>
    <s v="High (1,000+)"/>
    <x v="0"/>
    <n v="50.8"/>
    <s v="Above median"/>
    <b v="0"/>
    <b v="0"/>
    <b v="0"/>
    <n v="0.78"/>
    <n v="1"/>
    <x v="0"/>
    <s v="https://www.amazon.in/Weighing-Multipurpose-Electronic-Measuring-Vegetable/dp/B08SJVD8QD/ref=sr_1_445?qid=1672923614&amp;s=kitchen&amp;sr=1-445"/>
  </r>
  <r>
    <s v="B07FJNNZCJ"/>
    <s v="V-Guard Zenora RO+UF+MB Water Purifier | Suitable for water with TDS up to 2000 ppm | 8 Stage Purification with World-class RO Membrane and Advanced UF Membrane | Free PAN India Installation &amp; 1-Year Comprehensive Warranty | 7 Litre, Black"/>
    <s v="Home&amp;Kitchen"/>
    <x v="3"/>
    <s v="Kitchen&amp;HomeAppliances"/>
    <s v="WaterFilters&amp;Purifiers"/>
    <n v="8699"/>
    <n v="13049"/>
    <n v="33"/>
    <n v="4.3"/>
    <n v="5891"/>
    <n v="4.2160604021008776"/>
    <s v="High (1,000+)"/>
    <x v="3"/>
    <n v="50.7"/>
    <s v="Above median"/>
    <b v="0"/>
    <b v="0"/>
    <b v="0"/>
    <n v="1.28"/>
    <n v="1"/>
    <x v="0"/>
    <s v="https://www.amazon.in/V-Guard-Zenora-Litre-Purifier-Purification/dp/B07FJNNZCJ/ref=sr_1_446?qid=1672923614&amp;s=kitchen&amp;sr=1-446"/>
  </r>
  <r>
    <s v="B09MFR93KS"/>
    <s v="Bajaj Rex DLX 750 W 4 Jars Mixer Grinder, White and Blue"/>
    <s v="Home&amp;Kitchen"/>
    <x v="3"/>
    <s v="Kitchen&amp;HomeAppliances"/>
    <s v="MixerGrinders"/>
    <n v="3041.67"/>
    <n v="5999"/>
    <n v="49"/>
    <n v="4"/>
    <n v="777"/>
    <n v="4.0701484946978326"/>
    <s v="Medium (100-999)"/>
    <x v="3"/>
    <n v="35.1"/>
    <s v="Bottom 25%"/>
    <b v="0"/>
    <b v="0"/>
    <b v="0"/>
    <n v="1.05"/>
    <n v="1"/>
    <x v="0"/>
    <s v="https://www.amazon.in/Bajaj-Jars-Mixer-Grinder-White/dp/B09MFR93KS/ref=sr_1_447?qid=1672923614&amp;s=kitchen&amp;sr=1-447"/>
  </r>
  <r>
    <s v="B07Y5FDPKV"/>
    <s v="KENT 16051 Hand Blender 300 W | 5 Variable Speed Control | Multiple Beaters &amp; Dough Hooks | Turbo Function"/>
    <s v="Home&amp;Kitchen"/>
    <x v="3"/>
    <s v="Kitchen&amp;HomeAppliances"/>
    <s v="HandBlenders"/>
    <n v="1745"/>
    <n v="2400"/>
    <n v="27"/>
    <n v="4.2"/>
    <n v="14160"/>
    <n v="4.1757812298329373"/>
    <s v="High (1,000+)"/>
    <x v="4"/>
    <n v="48.7"/>
    <s v="Below median"/>
    <b v="0"/>
    <b v="0"/>
    <b v="0"/>
    <n v="2.5"/>
    <n v="1"/>
    <x v="0"/>
    <s v="https://www.amazon.in/Kent-Hand-Blender-300-White/dp/B07Y5FDPKV/ref=sr_1_451?qid=1672923614&amp;s=kitchen&amp;sr=1-451"/>
  </r>
  <r>
    <s v="B0756KCV5K"/>
    <s v="Prestige PIC 15.0+ 1900-Watt Induction Cooktop (Black)"/>
    <s v="Home&amp;Kitchen"/>
    <x v="3"/>
    <s v="Kitchen&amp;HomeAppliances"/>
    <s v="InductionCooktop"/>
    <n v="3180"/>
    <n v="5295"/>
    <n v="40"/>
    <n v="4.2"/>
    <n v="6919"/>
    <n v="4.1593633002556576"/>
    <s v="High (1,000+)"/>
    <x v="3"/>
    <n v="49.5"/>
    <s v="Below median"/>
    <b v="0"/>
    <b v="0"/>
    <b v="0"/>
    <n v="1.56"/>
    <n v="1"/>
    <x v="0"/>
    <s v="https://www.amazon.in/Prestige-PIC-15-0-1900-Watt-Induction/dp/B0756KCV5K/ref=sr_1_452?qid=1672923614&amp;s=kitchen&amp;sr=1-452"/>
  </r>
  <r>
    <s v="B0BJ6P3LSK"/>
    <s v="Aqua d pure Active Copper 12-L RO+UV Water Filter Purifier for Home, Kitchen Fully Automatic UF+TDS Controller"/>
    <s v="Home&amp;Kitchen"/>
    <x v="3"/>
    <s v="Kitchen&amp;HomeAppliances"/>
    <s v="WaterFilters&amp;Purifiers"/>
    <n v="4999"/>
    <n v="24999"/>
    <n v="80"/>
    <n v="4.5"/>
    <n v="287"/>
    <n v="4.1140731180839154"/>
    <s v="Medium (100-999)"/>
    <x v="3"/>
    <n v="61.6"/>
    <s v="Top 25%"/>
    <b v="0"/>
    <b v="0"/>
    <b v="0"/>
    <n v="0.74"/>
    <n v="1"/>
    <x v="0"/>
    <s v="https://www.amazon.in/Aquadpure-Copper-RO-Automatic-Controller/dp/B0BJ6P3LSK/ref=sr_1_453?qid=1672923614&amp;s=kitchen&amp;sr=1-453"/>
  </r>
  <r>
    <s v="B09HS1NDRQ"/>
    <s v="PrettyKrafts Laundry Square Shape Basket Bag/Foldable/Multipurpose/Carry Handles/Slanting Lid for Home, Cloth Storage,(Single) Jute Grey"/>
    <s v="Home&amp;Kitchen"/>
    <x v="3"/>
    <s v="HomeStorage&amp;Organization"/>
    <s v="LaundryBaskets"/>
    <n v="390"/>
    <n v="799"/>
    <n v="51"/>
    <n v="3.8"/>
    <n v="287"/>
    <n v="4.0644620549897059"/>
    <s v="Medium (100-999)"/>
    <x v="0"/>
    <n v="39.9"/>
    <s v="Below median"/>
    <b v="0"/>
    <b v="0"/>
    <b v="1"/>
    <n v="1.1100000000000001"/>
    <n v="1"/>
    <x v="0"/>
    <s v="https://www.amazon.in/PrettyKrafts-Laundry-Foldable-Multipurpose-Slanting/dp/B09HS1NDRQ/ref=sr_1_454?qid=1672923614&amp;s=kitchen&amp;sr=1-454"/>
  </r>
  <r>
    <s v="B018SJJ0GE"/>
    <s v="Libra Roti Maker Electric Automatic | chapati Maker Electric Automatic | roti Maker Machine with 900 Watts for Making Roti/Chapati/Parathas - Stainless Steel"/>
    <s v="Home&amp;Kitchen"/>
    <x v="3"/>
    <s v="Kitchen&amp;HomeAppliances"/>
    <s v="RotiMakers"/>
    <n v="1999"/>
    <n v="2999"/>
    <n v="33"/>
    <n v="4.4000000000000004"/>
    <n v="388"/>
    <n v="4.1141161526757779"/>
    <s v="Medium (100-999)"/>
    <x v="4"/>
    <n v="44.5"/>
    <s v="Below median"/>
    <b v="0"/>
    <b v="0"/>
    <b v="0"/>
    <m/>
    <n v="1"/>
    <x v="0"/>
    <s v="https://www.amazon.in/Libra-Athena-Roti-Maker-Black/dp/B018SJJ0GE/ref=sr_1_455?qid=1672923614&amp;s=kitchen&amp;sr=1-455"/>
  </r>
  <r>
    <s v="B09FPP3R1D"/>
    <s v="Glen 3 in 1 Electric Multi Cooker - Steam, Cook &amp; Egg Boiler with 350 W (SA 3035MC) - 350 Watts"/>
    <s v="Home&amp;Kitchen"/>
    <x v="3"/>
    <s v="Kitchen&amp;HomeAppliances"/>
    <s v="EggBoilers"/>
    <n v="1624"/>
    <n v="2495"/>
    <n v="35"/>
    <n v="4.0999999999999996"/>
    <n v="827"/>
    <n v="4.0874036587168128"/>
    <s v="Medium (100-999)"/>
    <x v="4"/>
    <n v="36.700000000000003"/>
    <s v="Bottom 25%"/>
    <b v="0"/>
    <b v="1"/>
    <b v="0"/>
    <n v="2.3199999999999998"/>
    <n v="1"/>
    <x v="0"/>
    <s v="https://www.amazon.in/Glen-Electric-Multi-Cooker-Boiler/dp/B09FPP3R1D/ref=sr_1_456?qid=1672923614&amp;s=kitchen&amp;sr=1-456"/>
  </r>
  <r>
    <s v="B01F7B2JCI"/>
    <s v="Dynore Stainless Steel Set of 4 Measuring Cup and 4 Measuring Spoon"/>
    <s v="Home&amp;Kitchen"/>
    <x v="3"/>
    <s v="Kitchen&amp;HomeAppliances"/>
    <s v="MeasuringSpoons"/>
    <n v="184"/>
    <n v="450"/>
    <n v="59"/>
    <n v="4.2"/>
    <n v="4971"/>
    <n v="4.1502993177627321"/>
    <s v="High (1,000+)"/>
    <x v="0"/>
    <n v="73"/>
    <s v="Top 25%"/>
    <b v="0"/>
    <b v="0"/>
    <b v="0"/>
    <m/>
    <n v="1"/>
    <x v="0"/>
    <s v="https://www.amazon.in/Dynore-Stainless-Measuring-8-Pieces-DS_45/dp/B01F7B2JCI/ref=sr_1_457?qid=1672923614&amp;s=kitchen&amp;sr=1-457"/>
  </r>
  <r>
    <s v="B09NNZ1GF7"/>
    <s v="Lint Remover For Clothes With 1 Year Warranty Fabric Shaver Lint Shaver for Woolen Clothes Blanket Jackets Stainless Steel Blades,Bedding, Clothes and Furniture Best Remover for Fabrics Portable Lint Shavers (White Orange)"/>
    <s v="Home&amp;Kitchen"/>
    <x v="3"/>
    <s v="Kitchen&amp;HomeAppliances"/>
    <s v="LintShavers"/>
    <n v="445"/>
    <n v="999"/>
    <n v="55"/>
    <n v="4.3"/>
    <n v="229"/>
    <n v="4.0969908785370954"/>
    <s v="Medium (100-999)"/>
    <x v="0"/>
    <n v="61.2"/>
    <s v="Top 25%"/>
    <b v="0"/>
    <b v="0"/>
    <b v="0"/>
    <n v="0.99"/>
    <n v="1"/>
    <x v="0"/>
    <s v="https://www.amazon.in/SAIELLIN-Clothes-Sweater-Defuzzer-Trimmer/dp/B09NNZ1GF7/ref=sr_1_458?qid=1672923614&amp;s=kitchen&amp;sr=1-458"/>
  </r>
  <r>
    <s v="B01CS4A5V4"/>
    <s v="Monitor AC Stand/Heavy Duty Air Conditioner Outdoor Unit Mounting Bracket"/>
    <s v="Home&amp;Kitchen"/>
    <x v="3"/>
    <s v="Heating,Cooling&amp;AirQuality"/>
    <s v="FanParts&amp;Accessories"/>
    <n v="699"/>
    <n v="1690"/>
    <n v="59"/>
    <n v="4.0999999999999996"/>
    <n v="3524"/>
    <n v="4.0920660250711336"/>
    <s v="High (1,000+)"/>
    <x v="2"/>
    <n v="60.4"/>
    <s v="Above median"/>
    <b v="0"/>
    <b v="0"/>
    <b v="0"/>
    <m/>
    <n v="1"/>
    <x v="0"/>
    <s v="https://www.amazon.in/Monitor-Split-AC-Stand-White/dp/B01CS4A5V4/ref=sr_1_459?qid=1672923614&amp;s=kitchen&amp;sr=1-459"/>
  </r>
  <r>
    <s v="B0BL11S5QK"/>
    <s v="iBELL Induction Cooktop, 2000W with Auto Shut Off and Overheat Protection, BIS Certified, Black"/>
    <s v="Home&amp;Kitchen"/>
    <x v="3"/>
    <s v="Kitchen&amp;HomeAppliances"/>
    <s v="InductionCooktop"/>
    <n v="1601"/>
    <n v="3890"/>
    <n v="59"/>
    <n v="4.2"/>
    <n v="156"/>
    <n v="4.0892277891235969"/>
    <s v="Medium (100-999)"/>
    <x v="4"/>
    <n v="49.2"/>
    <s v="Below median"/>
    <b v="0"/>
    <b v="0"/>
    <b v="0"/>
    <n v="0.78"/>
    <n v="1"/>
    <x v="0"/>
    <s v="https://www.amazon.in/Induction-Cooktop-Overheat-Protection-Certified/dp/B0BL11S5QK/ref=sr_1_460?qid=1672923614&amp;s=kitchen&amp;sr=1-460"/>
  </r>
  <r>
    <s v="B09BL2KHQW"/>
    <s v="KENT POWP-Sediment Filter 10'' Thread WCAP"/>
    <s v="Home&amp;Kitchen"/>
    <x v="3"/>
    <s v="Kitchen&amp;HomeAppliances"/>
    <s v="WaterPurifierAccessories"/>
    <n v="231"/>
    <n v="260"/>
    <n v="11"/>
    <n v="4.0999999999999996"/>
    <n v="490"/>
    <n v="4.0864054301424604"/>
    <s v="Medium (100-999)"/>
    <x v="0"/>
    <n v="40.4"/>
    <s v="Below median"/>
    <b v="0"/>
    <b v="0"/>
    <b v="0"/>
    <n v="1"/>
    <n v="1"/>
    <x v="0"/>
    <s v="https://www.amazon.in/KENT-POWP-Sediment-Filter-Thread-WCAP/dp/B09BL2KHQW/ref=sr_1_461_mod_primary_new?qid=1672923614&amp;s=kitchen&amp;sbo=RZvfv%2F%2FHxDF%2BO5021pAnSA%3D%3D&amp;sr=1-461"/>
  </r>
  <r>
    <s v="B081RLM75M"/>
    <s v="LACOPINE Mini Pocket Size Lint Roller (White)"/>
    <s v="Home&amp;Kitchen"/>
    <x v="3"/>
    <s v="Kitchen&amp;HomeAppliances"/>
    <s v="LintShavers"/>
    <n v="369"/>
    <n v="599"/>
    <n v="38"/>
    <n v="3.9"/>
    <n v="82"/>
    <n v="4.0806968634883116"/>
    <s v="Low (&lt;100)"/>
    <x v="0"/>
    <n v="44.8"/>
    <s v="Below median"/>
    <b v="0"/>
    <b v="0"/>
    <b v="0"/>
    <n v="0.82"/>
    <n v="1"/>
    <x v="0"/>
    <s v="https://www.amazon.in/LACOPINE-Mini-Pocket-Roller-White/dp/B081RLM75M/ref=sr_1_462?qid=1672923614&amp;s=kitchen&amp;sr=1-462"/>
  </r>
  <r>
    <s v="B07SYYVP69"/>
    <s v="iBELL SEK170BM Premium Electric Kettle, 1.7 Litre, Stainless Steel with Coating,1500W Auto Cut-Off, Silver with Black"/>
    <s v="Home&amp;Kitchen"/>
    <x v="3"/>
    <s v="Kitchen&amp;HomeAppliances"/>
    <s v="ElectricKettles"/>
    <n v="809"/>
    <n v="1950"/>
    <n v="59"/>
    <n v="3.9"/>
    <n v="710"/>
    <n v="4.0553245593473033"/>
    <s v="Medium (100-999)"/>
    <x v="2"/>
    <n v="47.1"/>
    <s v="Below median"/>
    <b v="0"/>
    <b v="0"/>
    <b v="0"/>
    <n v="0.81"/>
    <n v="1"/>
    <x v="0"/>
    <s v="https://www.amazon.in/SEK170L-Premium-Stainless-Electric-Cut-Off/dp/B07SYYVP69/ref=sr_1_460?qid=1672923615&amp;s=kitchen&amp;sr=1-460"/>
  </r>
  <r>
    <s v="B0BDZWMGZ1"/>
    <s v="Activa Easy Mix Nutri Mixer Grinder 500 Watt | Long Lasting Shock Proof ABS Body | Heavy Duty Motor With Nano - Grinding Technology"/>
    <s v="Home&amp;Kitchen"/>
    <x v="3"/>
    <s v="Kitchen&amp;HomeAppliances"/>
    <s v="MixerGrinders"/>
    <n v="1199"/>
    <n v="2990"/>
    <n v="60"/>
    <n v="3.8"/>
    <n v="133"/>
    <n v="4.0749169789964874"/>
    <s v="Medium (100-999)"/>
    <x v="4"/>
    <n v="47.3"/>
    <s v="Below median"/>
    <b v="0"/>
    <b v="0"/>
    <b v="1"/>
    <n v="0.41"/>
    <n v="1"/>
    <x v="0"/>
    <s v="https://www.amazon.in/Activa-Nutri-Mixer-Grinder-Lasting/dp/B0BDZWMGZ1/ref=sr_1_461?qid=1672923615&amp;s=kitchen&amp;sr=1-461"/>
  </r>
  <r>
    <s v="B078JT7LTD"/>
    <s v="Sujata Dynamix, Mixer Grinder, 900 Watts, 3 Jars (White)"/>
    <s v="Home&amp;Kitchen"/>
    <x v="3"/>
    <s v="Kitchen&amp;HomeAppliances"/>
    <s v="MixerGrinders"/>
    <n v="6120"/>
    <n v="8073"/>
    <n v="24"/>
    <n v="4.5999999999999996"/>
    <n v="2751"/>
    <n v="4.3023012346174578"/>
    <s v="High (1,000+)"/>
    <x v="3"/>
    <n v="53.2"/>
    <s v="Above median"/>
    <b v="0"/>
    <b v="0"/>
    <b v="0"/>
    <n v="2.11"/>
    <n v="1"/>
    <x v="0"/>
    <s v="https://www.amazon.in/Sujata-Dynamix-900W-900-Watt-Mixer-Grinder/dp/B078JT7LTD/ref=sr_1_462?qid=1672923615&amp;s=kitchen&amp;sr=1-462"/>
  </r>
  <r>
    <s v="B09WF4Q7B3"/>
    <s v="Wipro Vesta 1380W Cordless Steam Iron Quick heat up with 20gm/ min Steam Burst, Scratch resistant Ceramic soleplate ,Vertical and Horizontal Ironing, Steam burst of upto .8g/ shot"/>
    <s v="Home&amp;Kitchen"/>
    <x v="3"/>
    <s v="Kitchen&amp;HomeAppliances"/>
    <s v="SteamIrons"/>
    <n v="1799"/>
    <n v="2599"/>
    <n v="31"/>
    <n v="3.6"/>
    <n v="771"/>
    <n v="4.0022144241051762"/>
    <s v="Medium (100-999)"/>
    <x v="4"/>
    <n v="21.1"/>
    <s v="Bottom 25%"/>
    <b v="0"/>
    <b v="0"/>
    <b v="1"/>
    <n v="0.59"/>
    <n v="1"/>
    <x v="0"/>
    <s v="https://www.amazon.in/Cordless-resistant-soleplate-Vertical-Horizontal/dp/B09WF4Q7B3/ref=sr_1_463?qid=1672923615&amp;s=kitchen&amp;sr=1-463"/>
  </r>
  <r>
    <s v="B092R48XXB"/>
    <s v="Mi Robot Vacuum-Mop P, Best-in-class Laser Navigation in 10-20K INR price band, Intelligent mapping, Robotic Floor Cleaner with 2 in 1 Mopping and Vacuum, App Control (WiFi, Alexa,GA), Strong suction"/>
    <s v="Home&amp;Kitchen"/>
    <x v="3"/>
    <s v="Kitchen&amp;HomeAppliances"/>
    <s v="RoboticVacuums"/>
    <n v="18999"/>
    <n v="29999"/>
    <n v="37"/>
    <n v="4.0999999999999996"/>
    <n v="2536"/>
    <n v="4.0908214799842524"/>
    <s v="High (1,000+)"/>
    <x v="1"/>
    <n v="32.6"/>
    <s v="Bottom 25%"/>
    <b v="0"/>
    <b v="0"/>
    <b v="0"/>
    <m/>
    <n v="1"/>
    <x v="0"/>
    <s v="https://www.amazon.in/Vacuum-Mop-Intelligent-Navigation-Connectivity-Assistant/dp/B092R48XXB/ref=sr_1_464?qid=1672923615&amp;s=kitchen&amp;sr=1-464"/>
  </r>
  <r>
    <s v="B00KIDSU8S"/>
    <s v="Havells Ventil Air DX 200mm Exhaust Fan (White)"/>
    <s v="Home&amp;Kitchen"/>
    <x v="3"/>
    <s v="Heating,Cooling&amp;AirQuality"/>
    <s v="ExhaustFans"/>
    <n v="1999"/>
    <n v="2360"/>
    <n v="15"/>
    <n v="4.2"/>
    <n v="7801"/>
    <n v="4.1624628435751134"/>
    <s v="High (1,000+)"/>
    <x v="4"/>
    <n v="46.5"/>
    <s v="Below median"/>
    <b v="0"/>
    <b v="0"/>
    <b v="0"/>
    <m/>
    <n v="1"/>
    <x v="0"/>
    <s v="https://www.amazon.in/Havells-FHVVEDXOWH08-Ventil-200mm-White/dp/B00KIDSU8S/ref=sr_1_465?qid=1672923615&amp;s=kitchen&amp;sr=1-465"/>
  </r>
  <r>
    <s v="B0977CGNJJ"/>
    <s v="AGARO Royal Stand 1000W Mixer with 5L SS Bowl and 8 Speed Setting, Includes Whisking Cone, Mixing Beater &amp; Dough Hook, and Splash Guard, 2 Years Warranty, (Black), Medium (33554)"/>
    <s v="Home&amp;Kitchen"/>
    <x v="3"/>
    <s v="Kitchen&amp;HomeAppliances"/>
    <s v="StandMixers"/>
    <n v="5999"/>
    <n v="11495"/>
    <n v="48"/>
    <n v="4.3"/>
    <n v="534"/>
    <n v="4.1114020927919972"/>
    <s v="Medium (100-999)"/>
    <x v="3"/>
    <n v="47"/>
    <s v="Below median"/>
    <b v="0"/>
    <b v="0"/>
    <b v="0"/>
    <m/>
    <n v="1"/>
    <x v="0"/>
    <s v="https://www.amazon.in/AGARO-Setting-Whisking-Warranty-33554/dp/B0977CGNJJ/ref=sr_1_466?qid=1672923615&amp;s=kitchen&amp;sr=1-466"/>
  </r>
  <r>
    <s v="B08WWKM5HQ"/>
    <s v="Crompton Highspeed Markle Prime 1200 mm (48 inch) Anti-Dust Ceiling Fan with Energy Efficient 55W Motor (Burgundy)"/>
    <s v="Home&amp;Kitchen"/>
    <x v="3"/>
    <s v="Heating,Cooling&amp;AirQuality"/>
    <s v="CeilingFans"/>
    <n v="2599"/>
    <n v="4780"/>
    <n v="46"/>
    <n v="3.9"/>
    <n v="898"/>
    <n v="4.0490589189316202"/>
    <s v="Medium (100-999)"/>
    <x v="3"/>
    <n v="34.4"/>
    <s v="Bottom 25%"/>
    <b v="0"/>
    <b v="0"/>
    <b v="0"/>
    <n v="1.3"/>
    <n v="1"/>
    <x v="0"/>
    <s v="https://www.amazon.in/Crompton-Highspeed-Anti-Dust-Ceiling-Efficient/dp/B08WWKM5HQ/ref=sr_1_467?qid=1672923615&amp;s=kitchen&amp;sr=1-467"/>
  </r>
  <r>
    <s v="B015GX9Y0W"/>
    <s v="Lifelong LLWM105 750-Watt Belgian Waffle Maker for Home| Makes 2 Square Shape Waffles| Non-stick Plates| Easy to Use with Indicator Lights (1 Year Warranty, Black)"/>
    <s v="Home&amp;Kitchen"/>
    <x v="3"/>
    <s v="Kitchen&amp;HomeAppliances"/>
    <s v="WaffleMakers&amp;Irons"/>
    <n v="1199"/>
    <n v="2400"/>
    <n v="50"/>
    <n v="3.9"/>
    <n v="1202"/>
    <n v="4.039931330784734"/>
    <s v="High (1,000+)"/>
    <x v="4"/>
    <n v="37.299999999999997"/>
    <s v="Bottom 25%"/>
    <b v="0"/>
    <b v="0"/>
    <b v="0"/>
    <m/>
    <n v="1"/>
    <x v="0"/>
    <s v="https://www.amazon.in/Lifelong-Waffled105-750-Watt-Waffle-Maker/dp/B015GX9Y0W/ref=sr_1_468?qid=1672923615&amp;s=kitchen&amp;sr=1-468"/>
  </r>
  <r>
    <s v="B089BDBDGM"/>
    <s v="Kuber Industries Waterproof Round Laundry Bag/Hamper|Polka Dots Print Print with Handles|Foldable Bin &amp; 45 Liter Capicity|Size 37 x 37 x 49, Pack of 1(Black &amp; White)- CTKTC044992"/>
    <s v="Home&amp;Kitchen"/>
    <x v="3"/>
    <s v="HomeStorage&amp;Organization"/>
    <s v="LaundryBaskets"/>
    <n v="219"/>
    <n v="249"/>
    <n v="12"/>
    <n v="4"/>
    <n v="1108"/>
    <n v="4.0653811911879298"/>
    <s v="High (1,000+)"/>
    <x v="0"/>
    <n v="30.5"/>
    <s v="Bottom 25%"/>
    <b v="0"/>
    <b v="0"/>
    <b v="0"/>
    <n v="0.62"/>
    <n v="1"/>
    <x v="0"/>
    <s v="https://www.amazon.in/Kuber-Industries-Waterproof-Organizer-CTKTC044992/dp/B089BDBDGM/ref=sr_1_469?qid=1672923615&amp;s=kitchen&amp;sr=1-469"/>
  </r>
  <r>
    <s v="B0BPBG712X"/>
    <s v="Portable, Handy Compact Plug-in Portable Digital Electric Heater Fan Wall-Outlet Handy Air Warmer Blower Adjustable Timer Digital Display Heater for Home/Office/Camper (Black, 400 Watts)"/>
    <s v="Home&amp;Kitchen"/>
    <x v="3"/>
    <s v="Heating,Cooling&amp;AirQuality"/>
    <s v="FanHeaters"/>
    <n v="799"/>
    <n v="1199"/>
    <n v="33"/>
    <n v="4.4000000000000004"/>
    <n v="17"/>
    <n v="4.0860534704804374"/>
    <s v="Low (&lt;100)"/>
    <x v="2"/>
    <n v="44.3"/>
    <s v="Below median"/>
    <b v="0"/>
    <b v="0"/>
    <b v="0"/>
    <n v="0.74"/>
    <n v="1"/>
    <x v="0"/>
    <s v="https://www.amazon.in/Portable-Compact-Electric-Wall-Outlet-Adjustable/dp/B0BPBG712X/ref=sr_1_470?qid=1672923615&amp;s=kitchen&amp;sr=1-470"/>
  </r>
  <r>
    <s v="B00JBNZPFM"/>
    <s v="Karcher WD3 EU Wet and Dry Vacuum Cleaner, 1000 Watts Powerful Suction, 17 L Capacity, Blower Function, Easy Filter Removal for Home and Garden Cleaning  (Yellow/Black)"/>
    <s v="Home&amp;Kitchen"/>
    <x v="3"/>
    <s v="Kitchen&amp;HomeAppliances"/>
    <s v="Wet-DryVacuums"/>
    <n v="6199"/>
    <n v="10999"/>
    <n v="44"/>
    <n v="4.2"/>
    <n v="10429"/>
    <n v="4.1694140218920346"/>
    <s v="High (1,000+)"/>
    <x v="3"/>
    <n v="50.2"/>
    <s v="Below median"/>
    <b v="0"/>
    <b v="0"/>
    <b v="0"/>
    <m/>
    <n v="1"/>
    <x v="0"/>
    <s v="https://www.amazon.in/Karcher-WD-Multi-Purpose-Vacuum-Cleaner/dp/B00JBNZPFM/ref=sr_1_471?qid=1672923615&amp;s=kitchen&amp;sr=1-471"/>
  </r>
  <r>
    <s v="B08N6P8G5K"/>
    <s v="INALSA Air Fryer Digital 4L Nutri Fry - 1400W with Smart AirCrisp Technology| 8-Preset Menu, Touch Control &amp; Digital Display|Variable Temperature &amp; Timer Control|Free Recipe book|2 Yr Warranty (Black)"/>
    <s v="Home&amp;Kitchen"/>
    <x v="3"/>
    <s v="Kitchen&amp;HomeAppliances"/>
    <s v="AirFryers"/>
    <n v="6790"/>
    <n v="10995"/>
    <n v="38"/>
    <n v="4.5"/>
    <n v="3192"/>
    <n v="4.2752806228601354"/>
    <s v="High (1,000+)"/>
    <x v="3"/>
    <n v="56.6"/>
    <s v="Above median"/>
    <b v="0"/>
    <b v="0"/>
    <b v="0"/>
    <m/>
    <n v="1"/>
    <x v="0"/>
    <s v="https://www.amazon.in/Inalsa-Digital-Fryer-Nutri-Fry/dp/B08N6P8G5K/ref=sr_1_475?qid=1672923615&amp;s=kitchen&amp;sr=1-475"/>
  </r>
  <r>
    <s v="B07NPBG1B4"/>
    <s v="AmazonBasics High Speed 55 Watt Oscillating Pedestal Fan, 400mm Sweep Length, White (Without Remote)"/>
    <s v="Home&amp;Kitchen"/>
    <x v="3"/>
    <s v="Heating,Cooling&amp;AirQuality"/>
    <s v="PedestalFans"/>
    <n v="1982.84"/>
    <n v="3300"/>
    <n v="40"/>
    <n v="4.0999999999999996"/>
    <n v="5873"/>
    <n v="4.0940002170806711"/>
    <s v="High (1,000+)"/>
    <x v="4"/>
    <n v="44.5"/>
    <s v="Below median"/>
    <b v="0"/>
    <b v="0"/>
    <b v="0"/>
    <m/>
    <n v="1"/>
    <x v="0"/>
    <s v="https://www.amazon.in/AmazonBasics-400mm-Pedestal-Remote-White/dp/B07NPBG1B4/ref=sr_1_477?qid=1672923615&amp;s=kitchen&amp;sr=1-477"/>
  </r>
  <r>
    <s v="B01MRARGBW"/>
    <s v="Eco Crystal J 5 inch Cartridge (Pack of 2)"/>
    <s v="Home&amp;Kitchen"/>
    <x v="3"/>
    <s v="Kitchen&amp;HomeAppliances"/>
    <s v="WaterPurifierAccessories"/>
    <n v="199"/>
    <n v="400"/>
    <n v="50"/>
    <n v="4.0999999999999996"/>
    <n v="1379"/>
    <n v="4.0887560228884201"/>
    <s v="High (1,000+)"/>
    <x v="0"/>
    <n v="55.9"/>
    <s v="Above median"/>
    <b v="0"/>
    <b v="0"/>
    <b v="0"/>
    <n v="0.86"/>
    <n v="1"/>
    <x v="0"/>
    <s v="https://www.amazon.in/Crystal-Cartridge-size-Fresh-Clean/dp/B01MRARGBW/ref=sr_1_478?qid=1672923615&amp;s=kitchen&amp;sr=1-478"/>
  </r>
  <r>
    <s v="B07VZYMQNZ"/>
    <s v="Borosil Rio 1.5 L Electric Kettle, Stainless Steel Inner Body, Boil Water For Tea, Coffee, Soup, Silver"/>
    <s v="Home&amp;Kitchen"/>
    <x v="3"/>
    <s v="Kitchen&amp;HomeAppliances"/>
    <s v="ElectricKettles"/>
    <n v="1180"/>
    <n v="1440"/>
    <n v="18"/>
    <n v="4.2"/>
    <n v="1527"/>
    <n v="4.1179391420135767"/>
    <s v="High (1,000+)"/>
    <x v="4"/>
    <n v="44.1"/>
    <s v="Below median"/>
    <b v="0"/>
    <b v="0"/>
    <b v="0"/>
    <n v="1.18"/>
    <n v="1"/>
    <x v="0"/>
    <s v="https://www.amazon.in/Borosil-Rio-1-5L-Electric-Kettle/dp/B07VZYMQNZ/ref=sr_1_479?qid=1672923615&amp;s=kitchen&amp;sr=1-479"/>
  </r>
  <r>
    <s v="B01L7C4IU2"/>
    <s v="Havells Ambrose 1200mm Ceiling Fan (Pearl White Wood)"/>
    <s v="Home&amp;Kitchen"/>
    <x v="3"/>
    <s v="Heating,Cooling&amp;AirQuality"/>
    <s v="CeilingFans"/>
    <n v="2199"/>
    <n v="3045"/>
    <n v="28"/>
    <n v="4.2"/>
    <n v="2686"/>
    <n v="4.13268808120971"/>
    <s v="High (1,000+)"/>
    <x v="4"/>
    <n v="46.9"/>
    <s v="Below median"/>
    <b v="0"/>
    <b v="0"/>
    <b v="0"/>
    <n v="1.1000000000000001"/>
    <n v="1"/>
    <x v="0"/>
    <s v="https://www.amazon.in/Havells-Ambrose-1200mm-Ceiling-Pearl/dp/B01L7C4IU2/ref=sr_1_480?qid=1672923615&amp;s=kitchen&amp;sr=1-480"/>
  </r>
  <r>
    <s v="B09H7JDJCW"/>
    <s v="PHILIPS Drip Coffee Maker HD7432/20, 0.6 L, Ideal for 2-7 cups, Black, Medium"/>
    <s v="Home&amp;Kitchen"/>
    <x v="3"/>
    <s v="Kitchen&amp;HomeAppliances"/>
    <s v="DripCoffeeMachines"/>
    <n v="2999"/>
    <n v="3595"/>
    <n v="17"/>
    <n v="4"/>
    <n v="178"/>
    <n v="4.0808118491767074"/>
    <s v="Medium (100-999)"/>
    <x v="3"/>
    <n v="25"/>
    <s v="Bottom 25%"/>
    <b v="0"/>
    <b v="0"/>
    <b v="0"/>
    <m/>
    <n v="1"/>
    <x v="0"/>
    <s v="https://www.amazon.in/PHILIPS-Coffee-HD7432-20-Medium/dp/B09H7JDJCW/ref=sr_1_483?qid=1672923615&amp;s=kitchen&amp;sr=1-483"/>
  </r>
  <r>
    <s v="B07F6GXNPB"/>
    <s v="Eureka Forbes Euroclean Paper Vacuum Cleaner Dust Bags for Excel, Ace, 300, Jet Models - Set of 10"/>
    <s v="Home&amp;Kitchen"/>
    <x v="3"/>
    <s v="Kitchen&amp;HomeAppliances"/>
    <s v="HandheldBags"/>
    <n v="253"/>
    <n v="500"/>
    <n v="49"/>
    <n v="4.3"/>
    <n v="2664"/>
    <n v="4.1739110078084201"/>
    <s v="High (1,000+)"/>
    <x v="0"/>
    <n v="69"/>
    <s v="Top 25%"/>
    <b v="0"/>
    <b v="0"/>
    <b v="0"/>
    <m/>
    <n v="1"/>
    <x v="0"/>
    <s v="https://www.amazon.in/Eureka-Forbes-Euroclean-Vacuum-Cleaner/dp/B07F6GXNPB/ref=sr_1_485?qid=1672923615&amp;s=kitchen&amp;sr=1-485"/>
  </r>
  <r>
    <s v="B0B97D658R"/>
    <s v="Larrito wooden Cool Mist Humidifiers Essential Oil Diffuser Aroma Air Humidifier with Colorful Change for Car, Office, Babies, humidifiers for home, air humidifier for room (WOODEN HUMIDIFIRE-A)"/>
    <s v="Home&amp;Kitchen"/>
    <x v="3"/>
    <s v="Heating,Cooling&amp;AirQuality"/>
    <s v="Humidifiers"/>
    <n v="499"/>
    <n v="799"/>
    <n v="38"/>
    <n v="3.6"/>
    <n v="212"/>
    <n v="4.0587845242623768"/>
    <s v="Medium (100-999)"/>
    <x v="0"/>
    <n v="41.9"/>
    <s v="Below median"/>
    <b v="0"/>
    <b v="0"/>
    <b v="1"/>
    <m/>
    <n v="1"/>
    <x v="0"/>
    <s v="https://www.amazon.in/Larrito-Humidifiers-Humidifier-humidifiers-HUMIDIFIRE/dp/B0B97D658R/ref=sr_1_484?qid=1672923617&amp;s=kitchen&amp;sr=1-484"/>
  </r>
  <r>
    <s v="B09NFSHCWN"/>
    <s v="Hilton Quartz Heater 400/800-Watt ISI 2 Rods Multi Mode Heater Long Lasting Quick Heating Extremely Warm (Grey)"/>
    <s v="Home&amp;Kitchen"/>
    <x v="3"/>
    <s v="Heating,Cooling&amp;AirQuality"/>
    <s v="ElectricHeaters"/>
    <n v="1149"/>
    <n v="1899"/>
    <n v="39"/>
    <n v="3.5"/>
    <n v="24"/>
    <n v="4.0809293784975083"/>
    <s v="Low (&lt;100)"/>
    <x v="4"/>
    <n v="42.2"/>
    <s v="Below median"/>
    <b v="0"/>
    <b v="0"/>
    <b v="1"/>
    <n v="0.87"/>
    <n v="1"/>
    <x v="0"/>
    <s v="https://www.amazon.in/Hilton-Quartz-Heater-Watt-Certified/dp/B09NFSHCWN/ref=sr_1_485?qid=1672923617&amp;s=kitchen&amp;sr=1-485"/>
  </r>
  <r>
    <s v="B076VQS87V"/>
    <s v="Syska SDI-07 1000 W Stellar with Golden American Heritage Soleplate Dry Iron (Blue)"/>
    <s v="Home&amp;Kitchen"/>
    <x v="3"/>
    <s v="Kitchen&amp;HomeAppliances"/>
    <s v="DryIrons"/>
    <n v="457"/>
    <n v="799"/>
    <n v="43"/>
    <n v="4.3"/>
    <n v="1868"/>
    <n v="4.1560854438648107"/>
    <s v="High (1,000+)"/>
    <x v="0"/>
    <n v="63"/>
    <s v="Top 25%"/>
    <b v="0"/>
    <b v="0"/>
    <b v="0"/>
    <n v="0.67"/>
    <n v="1"/>
    <x v="0"/>
    <s v="https://www.amazon.in/Syska-SDI-07-Stellar-Dry-Iron/dp/B076VQS87V/ref=sr_1_486_mod_primary_new?qid=1672923617&amp;s=kitchen&amp;sbo=RZvfv%2F%2FHxDF%2BO5021pAnSA%3D%3D&amp;sr=1-486"/>
  </r>
  <r>
    <s v="B09LMMFW3S"/>
    <s v="IKEA Milk Frother for Your Milk, Coffee,(Cold and hot Drinks), Black"/>
    <s v="Home&amp;Kitchen"/>
    <x v="3"/>
    <s v="Kitchen&amp;HomeAppliances"/>
    <s v="MilkFrothers"/>
    <n v="229"/>
    <n v="399"/>
    <n v="43"/>
    <n v="3.6"/>
    <n v="451"/>
    <n v="4.0327611467143267"/>
    <s v="Medium (100-999)"/>
    <x v="0"/>
    <n v="41.8"/>
    <s v="Below median"/>
    <b v="0"/>
    <b v="0"/>
    <b v="1"/>
    <m/>
    <n v="1"/>
    <x v="0"/>
    <s v="https://www.amazon.in/IKEA-Frother-Coffee-Drinks-Black/dp/B09LMMFW3S/ref=sr_1_487_mod_primary_new?qid=1672923617&amp;s=kitchen&amp;sbo=RZvfv%2F%2FHxDF%2BO5021pAnSA%3D%3D&amp;sr=1-487"/>
  </r>
  <r>
    <s v="B0BBLHTRM9"/>
    <s v="IONIX Tap filter Multilayer | Activated Carbon Faucet Water Filters Universal Interface Home Kitchen Faucet Tap Water Clean Purifier Filter Cartridge Five Layer Water Filter-Pack of 1"/>
    <s v="Home&amp;Kitchen"/>
    <x v="3"/>
    <s v="Kitchen&amp;HomeAppliances"/>
    <s v="WaterPurifierAccessories"/>
    <n v="199"/>
    <n v="699"/>
    <n v="72"/>
    <n v="2.9"/>
    <n v="159"/>
    <n v="4.0366031089330141"/>
    <s v="Medium (100-999)"/>
    <x v="0"/>
    <n v="56.3"/>
    <s v="Above median"/>
    <b v="0"/>
    <b v="0"/>
    <b v="1"/>
    <n v="0.86"/>
    <n v="1"/>
    <x v="0"/>
    <s v="https://www.amazon.in/IONIX-Tap-Multilayer-Filter-Filter-Pack/dp/B0BBLHTRM9/ref=sr_1_488?qid=1672923617&amp;s=kitchen&amp;sr=1-488"/>
  </r>
  <r>
    <s v="B0BJYSCWFQ"/>
    <s v="Kitchengenix's Mini Waffle Maker 4 Inch- 350 Watts: Stainless Steel Non-Stick Electric Iron Machine for Individual Belgian Waffles, Pan Cakes, Paninis or Other Snacks (Red)"/>
    <s v="Home&amp;Kitchen"/>
    <x v="3"/>
    <s v="Kitchen&amp;HomeAppliances"/>
    <s v="WaffleMakers&amp;Irons"/>
    <n v="899"/>
    <n v="1999"/>
    <n v="55"/>
    <n v="4.2"/>
    <n v="39"/>
    <n v="4.0858185168172607"/>
    <s v="Low (&lt;100)"/>
    <x v="2"/>
    <n v="50.2"/>
    <s v="Below median"/>
    <b v="0"/>
    <b v="0"/>
    <b v="0"/>
    <m/>
    <n v="1"/>
    <x v="0"/>
    <s v="https://www.amazon.in/Kitchengenixs-Waffle-Maker-Inch-Watts/dp/B0BJYSCWFQ/ref=sr_1_489?qid=1672923617&amp;s=kitchen&amp;sr=1-489"/>
  </r>
  <r>
    <s v="B0187F2IOK"/>
    <s v="Bajaj HM-01 Powerful 250W Hand Mixer, Black"/>
    <s v="Home&amp;Kitchen"/>
    <x v="3"/>
    <s v="Kitchen&amp;HomeAppliances"/>
    <s v="HandMixers"/>
    <n v="1499"/>
    <n v="2199"/>
    <n v="32"/>
    <n v="4.4000000000000004"/>
    <n v="6531"/>
    <n v="4.2847271668218596"/>
    <s v="High (1,000+)"/>
    <x v="4"/>
    <n v="60.7"/>
    <s v="Top 25%"/>
    <b v="0"/>
    <b v="0"/>
    <b v="0"/>
    <m/>
    <n v="1"/>
    <x v="0"/>
    <s v="https://www.amazon.in/Bajaj-HM-01-250-Watt-Mixer/dp/B0187F2IOK/ref=sr_1_490?qid=1672923617&amp;s=kitchen&amp;sr=1-490"/>
  </r>
  <r>
    <s v="B0B8CB7MHW"/>
    <s v="KNOWZA Electric Handheld Milk Wand Mixer Frother for Latte Coffee Hot Milk, Milk Frother for Coffee, Egg Beater, Hand Blender, Coffee Beater (BLACK COFFEE BEATER)"/>
    <s v="Home&amp;Kitchen"/>
    <x v="3"/>
    <s v="Kitchen&amp;HomeAppliances"/>
    <s v="HandBlenders"/>
    <n v="426"/>
    <n v="999"/>
    <n v="57"/>
    <n v="4.0999999999999996"/>
    <n v="222"/>
    <n v="4.0854910507418287"/>
    <s v="Medium (100-999)"/>
    <x v="0"/>
    <n v="55.4"/>
    <s v="Above median"/>
    <b v="0"/>
    <b v="0"/>
    <b v="0"/>
    <n v="0.61"/>
    <n v="1"/>
    <x v="0"/>
    <s v="https://www.amazon.in/Electric-Handheld-BLACK-COFFEE-BEATER/dp/B0B8CB7MHW/ref=sr_1_491?qid=1672923617&amp;s=kitchen&amp;sr=1-491"/>
  </r>
  <r>
    <s v="B07K19NYZ8"/>
    <s v="Usha Hc 812 T Thermo Fan Room Heater"/>
    <s v="Home&amp;Kitchen"/>
    <x v="3"/>
    <s v="Heating,Cooling&amp;AirQuality"/>
    <s v="FanHeaters"/>
    <n v="2320"/>
    <n v="3290"/>
    <n v="29"/>
    <n v="3.8"/>
    <n v="195"/>
    <n v="4.0706100042149878"/>
    <s v="Medium (100-999)"/>
    <x v="4"/>
    <n v="30.9"/>
    <s v="Bottom 25%"/>
    <b v="0"/>
    <b v="1"/>
    <b v="1"/>
    <n v="2.15"/>
    <n v="1"/>
    <x v="0"/>
    <s v="https://www.amazon.in/Usha-812-Thermo-Room-Heater/dp/B07K19NYZ8/ref=sr_1_492?qid=1672923617&amp;s=kitchen&amp;sr=1-492"/>
  </r>
  <r>
    <s v="B08ZXZ362Z"/>
    <s v="akiara - Makes life easy Mini Sewing Machine for Home Tailoring use | Mini Silai Machine with Sewing Kit Set Sewing Box with Thread Scissors, Needle All in One Sewing Accessories (White &amp; Purple)"/>
    <s v="Home&amp;Kitchen"/>
    <x v="3"/>
    <s v="Kitchen&amp;HomeAppliances"/>
    <s v="Sewing&amp;EmbroideryMachines"/>
    <n v="1563"/>
    <n v="3098"/>
    <n v="50"/>
    <n v="3.5"/>
    <n v="2283"/>
    <n v="3.8638556102358481"/>
    <s v="High (1,000+)"/>
    <x v="4"/>
    <n v="25.7"/>
    <s v="Bottom 25%"/>
    <b v="0"/>
    <b v="0"/>
    <b v="1"/>
    <m/>
    <n v="1"/>
    <x v="0"/>
    <s v="https://www.amazon.in/akiara-Tailoring-Stitching-Scissors-Accessories/dp/B08ZXZ362Z/ref=sr_1_493?qid=1672923617&amp;s=kitchen&amp;sr=1-493"/>
  </r>
  <r>
    <s v="B00GHL8VP2"/>
    <s v="USHA 1212 PTC with Adjustable Thermostat Fan Heater (Black/Brown, 1500-Watts)."/>
    <s v="Home&amp;Kitchen"/>
    <x v="3"/>
    <s v="Heating,Cooling&amp;AirQuality"/>
    <s v="ElectricHeaters"/>
    <n v="3487.77"/>
    <n v="4990"/>
    <n v="30"/>
    <n v="4.0999999999999996"/>
    <n v="1127"/>
    <n v="4.0881765194152404"/>
    <s v="High (1,000+)"/>
    <x v="3"/>
    <n v="33.9"/>
    <s v="Bottom 25%"/>
    <b v="0"/>
    <b v="0"/>
    <b v="0"/>
    <n v="2.65"/>
    <n v="1"/>
    <x v="0"/>
    <s v="https://www.amazon.in/Usha-1212-PTC-Adjustable-Thermostat/dp/B00GHL8VP2/ref=sr_1_494?qid=1672923617&amp;s=kitchen&amp;sr=1-494"/>
  </r>
  <r>
    <s v="B0B9JZW1SQ"/>
    <s v="4 in 1 Handheld Electric Vegetable Cutter Set,Wireless Food Processor Electric Food Chopper for Garlic Chili Pepper Onion Ginger Celery Meat with Brush"/>
    <s v="Home&amp;Kitchen"/>
    <x v="3"/>
    <s v="Kitchen&amp;HomeAppliances"/>
    <s v="MiniFoodProcessors&amp;Choppers"/>
    <n v="498"/>
    <n v="1200"/>
    <n v="59"/>
    <n v="3.2"/>
    <n v="113"/>
    <n v="4.0588412054395091"/>
    <s v="Medium (100-999)"/>
    <x v="0"/>
    <n v="50.6"/>
    <s v="Above median"/>
    <b v="0"/>
    <b v="0"/>
    <b v="1"/>
    <m/>
    <n v="1"/>
    <x v="0"/>
    <s v="https://www.amazon.in/Handheld-Electric-Vegetable-Wireless-Processor/dp/B0B9JZW1SQ/ref=sr_1_495_mod_primary_new?qid=1672923617&amp;s=kitchen&amp;sbo=RZvfv%2F%2FHxDF%2BO5021pAnSA%3D%3D&amp;sr=1-495"/>
  </r>
  <r>
    <s v="B00TI8E7BI"/>
    <s v="Philips HD9306/06 1.5-Litre Electric Kettle (Multicolor)"/>
    <s v="Home&amp;Kitchen"/>
    <x v="3"/>
    <s v="Kitchen&amp;HomeAppliances"/>
    <s v="ElectricKettles"/>
    <n v="2695"/>
    <n v="2695"/>
    <n v="0"/>
    <n v="4.4000000000000004"/>
    <n v="2518"/>
    <n v="4.211072222224475"/>
    <s v="High (1,000+)"/>
    <x v="3"/>
    <n v="45.8"/>
    <s v="Below median"/>
    <b v="0"/>
    <b v="0"/>
    <b v="0"/>
    <n v="2.7"/>
    <n v="1"/>
    <x v="0"/>
    <s v="https://www.amazon.in/Philips-HD9306-06-1-5-Litre-Multicolor/dp/B00TI8E7BI/ref=sr_1_499?qid=1672923617&amp;s=kitchen&amp;sr=1-499"/>
  </r>
  <r>
    <s v="B07J9KXQCC"/>
    <s v="Libra Room Heater for Home, Room Heaters Home for Winter, Electric Heater with 2000 Watts Power as per IS Specification for Small to Medium Rooms - FH12 (Grey)"/>
    <s v="Home&amp;Kitchen"/>
    <x v="3"/>
    <s v="Heating,Cooling&amp;AirQuality"/>
    <s v="ElectricHeaters"/>
    <n v="949"/>
    <n v="2299"/>
    <n v="59"/>
    <n v="3.6"/>
    <n v="550"/>
    <n v="4.022826456041928"/>
    <s v="Medium (100-999)"/>
    <x v="2"/>
    <n v="45.3"/>
    <s v="Below median"/>
    <b v="0"/>
    <b v="0"/>
    <b v="1"/>
    <n v="0.72"/>
    <n v="1"/>
    <x v="0"/>
    <s v="https://www.amazon.in/LIBRA-Portable-Heater-Adjustable-Thermostat/dp/B07J9KXQCC/ref=sr_1_500?qid=1672923617&amp;s=kitchen&amp;sr=1-500"/>
  </r>
  <r>
    <s v="B0B3JSWG81"/>
    <s v="NGI Store 2 Pieces Pet Hair Removers for Your Laundry Catcher Lint Remover for Washing Machine Lint Remover Reusable Portable Silica Gel Clothes Washer Dryer Floating Ball"/>
    <s v="Home&amp;Kitchen"/>
    <x v="3"/>
    <s v="Kitchen&amp;HomeAppliances"/>
    <s v="LintShavers"/>
    <n v="199"/>
    <n v="999"/>
    <n v="80"/>
    <n v="3.1"/>
    <n v="2"/>
    <n v="4.0841118585949836"/>
    <s v="Low (&lt;100)"/>
    <x v="0"/>
    <n v="65.8"/>
    <s v="Top 25%"/>
    <b v="0"/>
    <b v="0"/>
    <b v="1"/>
    <n v="0.44"/>
    <n v="1"/>
    <x v="0"/>
    <s v="https://www.amazon.in/Hair-Removers-Laundry-Remover-Reusable/dp/B0B3JSWG81/ref=sr_1_501?qid=1672923617&amp;s=kitchen&amp;sr=1-501"/>
  </r>
  <r>
    <s v="B08L7J3T31"/>
    <s v="Noir Aqua - 5pcs PP Spun Filter + 1 Spanner | for All Types of RO Water purifiers (5 Piece, White, 10 Inch, 5 Micron) - RO Spun Filter Cartridge Sponge Replacement Water Filter Candle"/>
    <s v="Home&amp;Kitchen"/>
    <x v="3"/>
    <s v="Kitchen&amp;HomeAppliances"/>
    <s v="WaterPurifierAccessories"/>
    <n v="379"/>
    <n v="919"/>
    <n v="59"/>
    <n v="4"/>
    <n v="1090"/>
    <n v="4.0656237180176849"/>
    <s v="High (1,000+)"/>
    <x v="0"/>
    <n v="52.6"/>
    <s v="Above median"/>
    <b v="0"/>
    <b v="0"/>
    <b v="0"/>
    <n v="1.64"/>
    <n v="1"/>
    <x v="0"/>
    <s v="https://www.amazon.in/Noir-Aqua-Spanner-Purifiers-cartridge/dp/B08L7J3T31/ref=sr_1_502?qid=1672923617&amp;s=kitchen&amp;sr=1-502"/>
  </r>
  <r>
    <s v="B01M6453MB"/>
    <s v="Prestige Delight PRWO Electric Rice Cooker (1 L, White)"/>
    <s v="Home&amp;Kitchen"/>
    <x v="3"/>
    <s v="Kitchen&amp;HomeAppliances"/>
    <s v="Rice&amp;PastaCookers"/>
    <n v="2280"/>
    <n v="3045"/>
    <n v="25"/>
    <n v="4.0999999999999996"/>
    <n v="4118"/>
    <n v="4.0926640557935174"/>
    <s v="High (1,000+)"/>
    <x v="4"/>
    <n v="33.9"/>
    <s v="Bottom 25%"/>
    <b v="0"/>
    <b v="0"/>
    <b v="0"/>
    <m/>
    <n v="1"/>
    <x v="0"/>
    <s v="https://www.amazon.in/Prestige-Delight-PRWO-1-Litre-Electric/dp/B01M6453MB/ref=sr_1_503?qid=1672923617&amp;s=kitchen&amp;sr=1-503"/>
  </r>
  <r>
    <s v="B009P2LIL4"/>
    <s v="Bajaj Majesty RX10 2000 Watts Heat Convector Room Heater (White, ISI Approved)"/>
    <s v="Home&amp;Kitchen"/>
    <x v="3"/>
    <s v="Heating,Cooling&amp;AirQuality"/>
    <s v="HeatConvectors"/>
    <n v="2219"/>
    <n v="3080"/>
    <n v="28"/>
    <n v="3.6"/>
    <n v="468"/>
    <n v="4.0310221230778431"/>
    <s v="Medium (100-999)"/>
    <x v="4"/>
    <n v="26"/>
    <s v="Bottom 25%"/>
    <b v="0"/>
    <b v="0"/>
    <b v="1"/>
    <m/>
    <n v="1"/>
    <x v="0"/>
    <s v="https://www.amazon.in/Bajaj-RX-10-2000-Watt-Convector/dp/B009P2LIL4/ref=sr_1_504?qid=1672923617&amp;s=kitchen&amp;sr=1-504"/>
  </r>
  <r>
    <s v="B00J5DYCCA"/>
    <s v="Havells Ventil Air DSP 230mm Exhaust Fan (Pista Green)"/>
    <s v="Home&amp;Kitchen"/>
    <x v="3"/>
    <s v="Heating,Cooling&amp;AirQuality"/>
    <s v="ExhaustFans"/>
    <n v="1399"/>
    <n v="1890"/>
    <n v="26"/>
    <n v="4"/>
    <n v="8031"/>
    <n v="4.0270012372646642"/>
    <s v="High (1,000+)"/>
    <x v="4"/>
    <n v="28.7"/>
    <s v="Bottom 25%"/>
    <b v="0"/>
    <b v="0"/>
    <b v="0"/>
    <m/>
    <n v="1"/>
    <x v="0"/>
    <s v="https://www.amazon.in/Havells-Ventilair-230mm-Exhaust-Grey/dp/B00J5DYCCA/ref=sr_1_505?qid=1672923617&amp;s=kitchen&amp;sr=1-505"/>
  </r>
  <r>
    <s v="B01486F4G6"/>
    <s v="Borosil Jumbo 1000-Watt Grill Sandwich Maker (Black)"/>
    <s v="Home&amp;Kitchen"/>
    <x v="3"/>
    <s v="Kitchen&amp;HomeAppliances"/>
    <s v="SandwichMakers"/>
    <n v="2863"/>
    <n v="3690"/>
    <n v="22"/>
    <n v="4.3"/>
    <n v="6987"/>
    <n v="4.2246187349812381"/>
    <s v="High (1,000+)"/>
    <x v="3"/>
    <n v="50.1"/>
    <s v="Below median"/>
    <b v="0"/>
    <b v="0"/>
    <b v="0"/>
    <n v="1.94"/>
    <n v="1"/>
    <x v="0"/>
    <s v="https://www.amazon.in/Borosil-Jumbo-1000-Watt-Grill-Sandwich/dp/B01486F4G6/ref=sr_1_506?qid=1672923617&amp;s=kitchen&amp;sr=1-5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20A2E4-511E-514A-A636-71F42CE24B4F}"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0" firstDataRow="1" firstDataCol="1" rowPageCount="1" colPageCount="1"/>
  <pivotFields count="23">
    <pivotField dataField="1" showAll="0"/>
    <pivotField showAll="0"/>
    <pivotField showAll="0"/>
    <pivotField axis="axisRow" showAll="0">
      <items count="5">
        <item x="0"/>
        <item x="1"/>
        <item x="3"/>
        <item x="2"/>
        <item t="default"/>
      </items>
    </pivotField>
    <pivotField showAll="0"/>
    <pivotField showAll="0"/>
    <pivotField showAll="0"/>
    <pivotField showAll="0"/>
    <pivotField dataField="1"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axis="axisPage" multipleItemSelectionAllowed="1" showAll="0">
      <items count="3">
        <item h="1" x="1"/>
        <item x="0"/>
        <item t="default"/>
      </items>
    </pivotField>
    <pivotField showAll="0"/>
  </pivotFields>
  <rowFields count="1">
    <field x="3"/>
  </rowFields>
  <rowItems count="5">
    <i>
      <x/>
    </i>
    <i>
      <x v="1"/>
    </i>
    <i>
      <x v="2"/>
    </i>
    <i>
      <x v="3"/>
    </i>
    <i t="grand">
      <x/>
    </i>
  </rowItems>
  <colFields count="1">
    <field x="-2"/>
  </colFields>
  <colItems count="4">
    <i>
      <x/>
    </i>
    <i i="1">
      <x v="1"/>
    </i>
    <i i="2">
      <x v="2"/>
    </i>
    <i i="3">
      <x v="3"/>
    </i>
  </colItems>
  <pageFields count="1">
    <pageField fld="21" hier="-1"/>
  </pageFields>
  <dataFields count="4">
    <dataField name="Listings" fld="0" subtotal="count" baseField="0" baseItem="0"/>
    <dataField name="Avg discount %" fld="8" subtotal="average" baseField="0" baseItem="0"/>
    <dataField name="Avg rating" fld="9" subtotal="average" baseField="0" baseItem="0"/>
    <dataField name="Avg adj rating"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827171-0CAF-8B49-9367-78BF05605214}"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10" firstHeaderRow="0" firstDataRow="1" firstDataCol="1" rowPageCount="1" colPageCount="1"/>
  <pivotFields count="23">
    <pivotField dataField="1"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axis="axisRow" showAll="0">
      <items count="6">
        <item x="0"/>
        <item x="2"/>
        <item x="4"/>
        <item x="3"/>
        <item x="1"/>
        <item t="default"/>
      </items>
    </pivotField>
    <pivotField showAll="0"/>
    <pivotField showAll="0"/>
    <pivotField showAll="0"/>
    <pivotField showAll="0"/>
    <pivotField showAll="0"/>
    <pivotField showAll="0"/>
    <pivotField showAll="0"/>
    <pivotField axis="axisPage" multipleItemSelectionAllowed="1" showAll="0">
      <items count="3">
        <item h="1" x="1"/>
        <item x="0"/>
        <item t="default"/>
      </items>
    </pivotField>
    <pivotField showAll="0"/>
  </pivotFields>
  <rowFields count="1">
    <field x="13"/>
  </rowFields>
  <rowItems count="6">
    <i>
      <x/>
    </i>
    <i>
      <x v="1"/>
    </i>
    <i>
      <x v="2"/>
    </i>
    <i>
      <x v="3"/>
    </i>
    <i>
      <x v="4"/>
    </i>
    <i t="grand">
      <x/>
    </i>
  </rowItems>
  <colFields count="1">
    <field x="-2"/>
  </colFields>
  <colItems count="3">
    <i>
      <x/>
    </i>
    <i i="1">
      <x v="1"/>
    </i>
    <i i="2">
      <x v="2"/>
    </i>
  </colItems>
  <pageFields count="1">
    <pageField fld="21" hier="-1"/>
  </pageFields>
  <dataFields count="3">
    <dataField name="Count of product_id" fld="0" subtotal="count" baseField="0" baseItem="0"/>
    <dataField name="Average of rating_count" fld="10" subtotal="average" baseField="0" baseItem="0"/>
    <dataField name="Average of rating" fld="9" subtotal="average" baseField="0" baseItem="0"/>
  </dataFields>
  <formats count="12">
    <format dxfId="45">
      <pivotArea collapsedLevelsAreSubtotals="1" fieldPosition="0">
        <references count="2">
          <reference field="4294967294" count="1" selected="0">
            <x v="1"/>
          </reference>
          <reference field="13" count="1">
            <x v="1"/>
          </reference>
        </references>
      </pivotArea>
    </format>
    <format dxfId="44">
      <pivotArea collapsedLevelsAreSubtotals="1" fieldPosition="0">
        <references count="2">
          <reference field="4294967294" count="1" selected="0">
            <x v="1"/>
          </reference>
          <reference field="13" count="1">
            <x v="0"/>
          </reference>
        </references>
      </pivotArea>
    </format>
    <format dxfId="43">
      <pivotArea collapsedLevelsAreSubtotals="1" fieldPosition="0">
        <references count="2">
          <reference field="4294967294" count="1" selected="0">
            <x v="1"/>
          </reference>
          <reference field="13" count="1">
            <x v="2"/>
          </reference>
        </references>
      </pivotArea>
    </format>
    <format dxfId="42">
      <pivotArea collapsedLevelsAreSubtotals="1" fieldPosition="0">
        <references count="2">
          <reference field="4294967294" count="1" selected="0">
            <x v="1"/>
          </reference>
          <reference field="13" count="1">
            <x v="3"/>
          </reference>
        </references>
      </pivotArea>
    </format>
    <format dxfId="41">
      <pivotArea collapsedLevelsAreSubtotals="1" fieldPosition="0">
        <references count="2">
          <reference field="4294967294" count="1" selected="0">
            <x v="1"/>
          </reference>
          <reference field="13" count="1">
            <x v="4"/>
          </reference>
        </references>
      </pivotArea>
    </format>
    <format dxfId="40">
      <pivotArea field="13" grandRow="1" outline="0" collapsedLevelsAreSubtotals="1" axis="axisRow" fieldPosition="0">
        <references count="1">
          <reference field="4294967294" count="1" selected="0">
            <x v="1"/>
          </reference>
        </references>
      </pivotArea>
    </format>
    <format dxfId="39">
      <pivotArea collapsedLevelsAreSubtotals="1" fieldPosition="0">
        <references count="2">
          <reference field="4294967294" count="1" selected="0">
            <x v="2"/>
          </reference>
          <reference field="13" count="1">
            <x v="0"/>
          </reference>
        </references>
      </pivotArea>
    </format>
    <format dxfId="38">
      <pivotArea collapsedLevelsAreSubtotals="1" fieldPosition="0">
        <references count="2">
          <reference field="4294967294" count="1" selected="0">
            <x v="2"/>
          </reference>
          <reference field="13" count="1">
            <x v="1"/>
          </reference>
        </references>
      </pivotArea>
    </format>
    <format dxfId="37">
      <pivotArea collapsedLevelsAreSubtotals="1" fieldPosition="0">
        <references count="2">
          <reference field="4294967294" count="1" selected="0">
            <x v="2"/>
          </reference>
          <reference field="13" count="1">
            <x v="2"/>
          </reference>
        </references>
      </pivotArea>
    </format>
    <format dxfId="36">
      <pivotArea collapsedLevelsAreSubtotals="1" fieldPosition="0">
        <references count="2">
          <reference field="4294967294" count="1" selected="0">
            <x v="2"/>
          </reference>
          <reference field="13" count="1">
            <x v="3"/>
          </reference>
        </references>
      </pivotArea>
    </format>
    <format dxfId="35">
      <pivotArea collapsedLevelsAreSubtotals="1" fieldPosition="0">
        <references count="2">
          <reference field="4294967294" count="1" selected="0">
            <x v="2"/>
          </reference>
          <reference field="13" count="1">
            <x v="4"/>
          </reference>
        </references>
      </pivotArea>
    </format>
    <format dxfId="34">
      <pivotArea field="13" grandRow="1" outline="0" collapsedLevelsAreSubtotals="1" axis="axisRow"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B50DFF-41ED-6B41-AE06-02420B316AE1}" name="DisVSRate" displayName="DisVSRate" ref="A25:E30" totalsRowShown="0">
  <autoFilter ref="A25:E30" xr:uid="{BBB50DFF-41ED-6B41-AE06-02420B316AE1}"/>
  <tableColumns count="5">
    <tableColumn id="1" xr3:uid="{80BC00FC-C65F-CE48-BD02-55CD0F779AFC}" name="Discount band"/>
    <tableColumn id="2" xr3:uid="{CA666F3E-7598-9744-9104-F2EDB60111A1}" name="Listings">
      <calculatedColumnFormula>COUNTIFS(tb1Products[is_primary_listing],TRUE,tb1Products[discount_pct],"&gt;="&amp;D26,tb1Products[discount_pct],"&lt;"&amp;E26)</calculatedColumnFormula>
    </tableColumn>
    <tableColumn id="3" xr3:uid="{E02B4E24-05D1-DC4C-A9E3-463DB48B9043}" name="Average rating" dataDxfId="8">
      <calculatedColumnFormula>AVERAGEIFS(tb1Products[rating],tb1Products[is_primary_listing],TRUE,tb1Products[discount_pct],"&gt;="&amp;D26,tb1Products[discount_pct],"&lt;"&amp;E26)</calculatedColumnFormula>
    </tableColumn>
    <tableColumn id="4" xr3:uid="{FF2392F3-75A1-4249-BFE0-8A9F4073E26F}" name="From (%)"/>
    <tableColumn id="5" xr3:uid="{25BD40A7-FEE4-4240-B706-628F1C4B84AD}" name="Up to (%)"/>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C2A2DE1-AE40-084B-9EEB-18D097C5E39D}" name="PriceBrac" displayName="PriceBrac" ref="A33:C38" totalsRowShown="0" dataDxfId="4">
  <autoFilter ref="A33:C38" xr:uid="{CC2A2DE1-AE40-084B-9EEB-18D097C5E39D}"/>
  <tableColumns count="3">
    <tableColumn id="1" xr3:uid="{1E8EED86-2709-9045-8BFA-16A6074C0323}" name="Price bucket (INR)" dataDxfId="7"/>
    <tableColumn id="2" xr3:uid="{D66C1EE9-E885-A244-A03F-9F4FC78D9DDF}" name="Listings" dataDxfId="6">
      <calculatedColumnFormula array="1">SUMPRODUCT((tb1Products[is_primary_listing]=TRUE)*(tb1Products[price_bucket]=A34))</calculatedColumnFormula>
    </tableColumn>
    <tableColumn id="3" xr3:uid="{8813A810-5EFF-A64E-82A8-4E168A7DC7A2}" name="Median ratings per listing" dataDxfId="5">
      <calculatedColumnFormula array="1">MEDIAN(IF((tb1Products[is_primary_listing]=TRUE)*(tb1Products[price_bucket]=A34)*(tb1Products[rating_count]&lt;&gt;""),tb1Products[rating_count]))</calculatedColumnFormula>
    </tableColumn>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ACD1FF-F1C3-9C4B-8F4D-881DEEFBEF90}" name="tb1Products" displayName="tb1Products" ref="A1:W1352" totalsRowShown="0" headerRowDxfId="10" dataDxfId="9">
  <autoFilter ref="A1:W1352" xr:uid="{00000000-0009-0000-0000-000000000000}"/>
  <tableColumns count="23">
    <tableColumn id="1" xr3:uid="{986A0D64-1DCA-814D-9078-824A4DD4463D}" name="product_id" dataDxfId="33"/>
    <tableColumn id="2" xr3:uid="{EDC1C19F-6A9B-0846-8A03-9AFE10C20452}" name="product_name" dataDxfId="32"/>
    <tableColumn id="3" xr3:uid="{955D26C5-086B-4A44-98E5-185C9CBC7AEF}" name="main_category" dataDxfId="31"/>
    <tableColumn id="4" xr3:uid="{7A4A7019-0FC7-B84D-AF89-AF18FE6EA025}" name="category_group" dataDxfId="30"/>
    <tableColumn id="5" xr3:uid="{21799C33-FB38-4E46-B9EB-00811B88FFC9}" name="sub_category" dataDxfId="29"/>
    <tableColumn id="6" xr3:uid="{1EE5CFA3-CE22-FE42-8683-098ADE445EA7}" name="leaf_category" dataDxfId="28"/>
    <tableColumn id="7" xr3:uid="{5FEB7FF9-3ACD-DF40-859C-30B0376D8620}" name="discounted_price" dataDxfId="27"/>
    <tableColumn id="8" xr3:uid="{3880B9EF-2B9D-464D-BE73-D2CC87BB1832}" name="actual_price" dataDxfId="26"/>
    <tableColumn id="9" xr3:uid="{15558B86-B915-2F41-B038-7BD0381270EA}" name="discount_pct" dataDxfId="25"/>
    <tableColumn id="10" xr3:uid="{EF3C4FF7-A216-6A45-93F3-065FD4950638}" name="rating" dataDxfId="24"/>
    <tableColumn id="11" xr3:uid="{198E28C5-B313-D14E-9037-D85CDBBC21C7}" name="rating_count" dataDxfId="23"/>
    <tableColumn id="12" xr3:uid="{56899A21-081D-B648-A85F-95294A12C1BC}" name="adj_rating" dataDxfId="22"/>
    <tableColumn id="13" xr3:uid="{16CEF187-3A80-7B42-B3B9-AB7F67D68332}" name="rating_reliability" dataDxfId="21"/>
    <tableColumn id="14" xr3:uid="{882C0C29-0FCB-374C-86AD-6D173F7AFF60}" name="price_bucket" dataDxfId="20"/>
    <tableColumn id="15" xr3:uid="{DC5678B5-CF6C-4A48-A80C-5B30368F6A74}" name="value_score" dataDxfId="19"/>
    <tableColumn id="16" xr3:uid="{1A80D86C-64CF-2449-B5C5-DA9CFAA63848}" name="value_tier" dataDxfId="18"/>
    <tableColumn id="17" xr3:uid="{84C899A4-E7B0-2C4D-AFC1-3FEA471C94CA}" name="robust_value_pick" dataDxfId="17"/>
    <tableColumn id="18" xr3:uid="{F3FE12E4-219E-4C43-B519-6DC308415699}" name="price_premium_flag" dataDxfId="16"/>
    <tableColumn id="19" xr3:uid="{BEB3FE3C-5450-6443-B028-49F99F35CD11}" name="low_rating_flag" dataDxfId="15"/>
    <tableColumn id="20" xr3:uid="{4F567B60-1035-134E-9A69-3DBC7A241A6D}" name="price_x_leaf_median" dataDxfId="14"/>
    <tableColumn id="21" xr3:uid="{9E790580-3698-9844-94CC-C85709EC38FD}" name="variant_group_size" dataDxfId="13"/>
    <tableColumn id="22" xr3:uid="{E30EE894-B602-0842-A946-94AC3BBB883B}" name="is_primary_listing" dataDxfId="12"/>
    <tableColumn id="23" xr3:uid="{E7A8F44A-1E7C-5A42-9E0E-3E18D0E04174}" name="product_link" dataDxfId="11"/>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567A5-7191-4349-A182-69ACCE8E2BD9}">
  <sheetPr>
    <pageSetUpPr fitToPage="1"/>
  </sheetPr>
  <dimension ref="A1:E38"/>
  <sheetViews>
    <sheetView showGridLines="0" showRowColHeaders="0" topLeftCell="A35" zoomScale="108" zoomScaleNormal="108" zoomScalePageLayoutView="64" workbookViewId="0">
      <selection activeCell="A26" sqref="A26:E30"/>
    </sheetView>
  </sheetViews>
  <sheetFormatPr baseColWidth="10" defaultRowHeight="15" x14ac:dyDescent="0.2"/>
  <cols>
    <col min="1" max="1" width="42.6640625" customWidth="1"/>
    <col min="2" max="2" width="16.1640625" customWidth="1"/>
    <col min="3" max="3" width="27.5" customWidth="1"/>
    <col min="4" max="7" width="10.83203125" customWidth="1"/>
  </cols>
  <sheetData>
    <row r="1" spans="1:2" ht="16" x14ac:dyDescent="0.2">
      <c r="A1" s="18" t="s">
        <v>4370</v>
      </c>
    </row>
    <row r="2" spans="1:2" ht="32" x14ac:dyDescent="0.2">
      <c r="A2" s="8" t="s">
        <v>4371</v>
      </c>
    </row>
    <row r="4" spans="1:2" x14ac:dyDescent="0.2">
      <c r="A4" t="s">
        <v>4372</v>
      </c>
      <c r="B4">
        <f>COUNTIFS(tb1Products[is_primary_listing],TRUE)</f>
        <v>1181</v>
      </c>
    </row>
    <row r="5" spans="1:2" x14ac:dyDescent="0.2">
      <c r="A5" t="s">
        <v>4373</v>
      </c>
      <c r="B5" s="5">
        <f>AVERAGEIFS(tb1Products[discount_pct],tb1Products[is_primary_listing],TRUE)</f>
        <v>46.337849280270959</v>
      </c>
    </row>
    <row r="6" spans="1:2" x14ac:dyDescent="0.2">
      <c r="A6" t="s">
        <v>4374</v>
      </c>
      <c r="B6" s="4">
        <f>AVERAGEIFS(tb1Products[rating],tb1Products[is_primary_listing],TRUE)</f>
        <v>4.0844915254237328</v>
      </c>
    </row>
    <row r="7" spans="1:2" x14ac:dyDescent="0.2">
      <c r="A7" t="s">
        <v>4375</v>
      </c>
      <c r="B7">
        <f>COUNTIFS(tb1Products[rating_reliability],"Low (&lt;100)",tb1Products[is_primary_listing],TRUE)</f>
        <v>71</v>
      </c>
    </row>
    <row r="8" spans="1:2" x14ac:dyDescent="0.2">
      <c r="A8" t="s">
        <v>4376</v>
      </c>
      <c r="B8">
        <f>COUNTIFS(tb1Products[price_premium_flag],TRUE,tb1Products[is_primary_listing],TRUE)</f>
        <v>24</v>
      </c>
    </row>
    <row r="9" spans="1:2" x14ac:dyDescent="0.2">
      <c r="A9" t="s">
        <v>4377</v>
      </c>
      <c r="B9">
        <f>COUNTIFS(tb1Products[robust_value_pick],TRUE)</f>
        <v>24</v>
      </c>
    </row>
    <row r="11" spans="1:2" x14ac:dyDescent="0.2">
      <c r="A11" s="13" t="s">
        <v>4378</v>
      </c>
    </row>
    <row r="12" spans="1:2" ht="48" x14ac:dyDescent="0.2">
      <c r="A12" s="8" t="s">
        <v>4400</v>
      </c>
    </row>
    <row r="13" spans="1:2" ht="48" x14ac:dyDescent="0.2">
      <c r="A13" s="8" t="s">
        <v>4379</v>
      </c>
    </row>
    <row r="14" spans="1:2" ht="64" x14ac:dyDescent="0.2">
      <c r="A14" s="8" t="s">
        <v>4401</v>
      </c>
    </row>
    <row r="15" spans="1:2" ht="32" x14ac:dyDescent="0.2">
      <c r="A15" s="8" t="s">
        <v>4380</v>
      </c>
    </row>
    <row r="16" spans="1:2" ht="32" x14ac:dyDescent="0.2">
      <c r="A16" s="8" t="s">
        <v>4381</v>
      </c>
    </row>
    <row r="18" spans="1:5" x14ac:dyDescent="0.2">
      <c r="A18" s="13" t="s">
        <v>4382</v>
      </c>
    </row>
    <row r="19" spans="1:5" ht="32" x14ac:dyDescent="0.2">
      <c r="A19" s="8" t="s">
        <v>4383</v>
      </c>
    </row>
    <row r="20" spans="1:5" ht="32" x14ac:dyDescent="0.2">
      <c r="A20" s="8" t="s">
        <v>4384</v>
      </c>
    </row>
    <row r="21" spans="1:5" ht="32" x14ac:dyDescent="0.2">
      <c r="A21" s="8" t="s">
        <v>4385</v>
      </c>
    </row>
    <row r="22" spans="1:5" ht="32" x14ac:dyDescent="0.2">
      <c r="A22" s="8" t="s">
        <v>4386</v>
      </c>
    </row>
    <row r="24" spans="1:5" x14ac:dyDescent="0.2">
      <c r="A24" s="13" t="s">
        <v>4397</v>
      </c>
    </row>
    <row r="25" spans="1:5" x14ac:dyDescent="0.2">
      <c r="A25" s="7" t="s">
        <v>4387</v>
      </c>
      <c r="B25" s="14" t="s">
        <v>4365</v>
      </c>
      <c r="C25" s="14" t="s">
        <v>4388</v>
      </c>
      <c r="D25" s="14" t="s">
        <v>4389</v>
      </c>
      <c r="E25" s="15" t="s">
        <v>4390</v>
      </c>
    </row>
    <row r="26" spans="1:5" x14ac:dyDescent="0.2">
      <c r="A26" s="16" t="s">
        <v>4391</v>
      </c>
      <c r="B26" s="16">
        <f>COUNTIFS(tb1Products[is_primary_listing],TRUE,tb1Products[discount_pct],"&gt;="&amp;D26,tb1Products[discount_pct],"&lt;"&amp;E26)</f>
        <v>149</v>
      </c>
      <c r="C26" s="17">
        <f>AVERAGEIFS(tb1Products[rating],tb1Products[is_primary_listing],TRUE,tb1Products[discount_pct],"&gt;="&amp;D26,tb1Products[discount_pct],"&lt;"&amp;E26)</f>
        <v>4.1695945945945958</v>
      </c>
      <c r="D26" s="16">
        <v>0</v>
      </c>
      <c r="E26" s="16">
        <v>20</v>
      </c>
    </row>
    <row r="27" spans="1:5" x14ac:dyDescent="0.2">
      <c r="A27" s="16" t="s">
        <v>4392</v>
      </c>
      <c r="B27">
        <f>COUNTIFS(tb1Products[is_primary_listing],TRUE,tb1Products[discount_pct],"&gt;="&amp;D27,tb1Products[discount_pct],"&lt;"&amp;E27)</f>
        <v>260</v>
      </c>
      <c r="C27" s="4">
        <f>AVERAGEIFS(tb1Products[rating],tb1Products[is_primary_listing],TRUE,tb1Products[discount_pct],"&gt;="&amp;D27,tb1Products[discount_pct],"&lt;"&amp;E27)</f>
        <v>4.1280769230769234</v>
      </c>
      <c r="D27">
        <v>20</v>
      </c>
      <c r="E27">
        <v>40</v>
      </c>
    </row>
    <row r="28" spans="1:5" x14ac:dyDescent="0.2">
      <c r="A28" s="16" t="s">
        <v>4393</v>
      </c>
      <c r="B28" s="16">
        <f>COUNTIFS(tb1Products[is_primary_listing],TRUE,tb1Products[discount_pct],"&gt;="&amp;D28,tb1Products[discount_pct],"&lt;"&amp;E28)</f>
        <v>416</v>
      </c>
      <c r="C28" s="17">
        <f>AVERAGEIFS(tb1Products[rating],tb1Products[is_primary_listing],TRUE,tb1Products[discount_pct],"&gt;="&amp;D28,tb1Products[discount_pct],"&lt;"&amp;E28)</f>
        <v>4.0723557692307635</v>
      </c>
      <c r="D28" s="16">
        <v>40</v>
      </c>
      <c r="E28" s="16">
        <v>60</v>
      </c>
    </row>
    <row r="29" spans="1:5" x14ac:dyDescent="0.2">
      <c r="A29" t="s">
        <v>4394</v>
      </c>
      <c r="B29">
        <f>COUNTIFS(tb1Products[is_primary_listing],TRUE,tb1Products[discount_pct],"&gt;="&amp;D29,tb1Products[discount_pct],"&lt;"&amp;E29)</f>
        <v>290</v>
      </c>
      <c r="C29" s="4">
        <f>AVERAGEIFS(tb1Products[rating],tb1Products[is_primary_listing],TRUE,tb1Products[discount_pct],"&gt;="&amp;D29,tb1Products[discount_pct],"&lt;"&amp;E29)</f>
        <v>4.039655172413795</v>
      </c>
      <c r="D29">
        <v>60</v>
      </c>
      <c r="E29">
        <v>80</v>
      </c>
    </row>
    <row r="30" spans="1:5" x14ac:dyDescent="0.2">
      <c r="A30" s="16" t="s">
        <v>4395</v>
      </c>
      <c r="B30" s="16">
        <f>COUNTIFS(tb1Products[is_primary_listing],TRUE,tb1Products[discount_pct],"&gt;="&amp;D30,tb1Products[discount_pct],"&lt;"&amp;E30)</f>
        <v>66</v>
      </c>
      <c r="C30" s="17">
        <f>AVERAGEIFS(tb1Products[rating],tb1Products[is_primary_listing],TRUE,tb1Products[discount_pct],"&gt;="&amp;D30,tb1Products[discount_pct],"&lt;"&amp;E30)</f>
        <v>3.9954545454545451</v>
      </c>
      <c r="D30" s="16">
        <v>80</v>
      </c>
      <c r="E30" s="16">
        <v>101</v>
      </c>
    </row>
    <row r="32" spans="1:5" x14ac:dyDescent="0.2">
      <c r="A32" s="13" t="s">
        <v>4396</v>
      </c>
    </row>
    <row r="33" spans="1:3" x14ac:dyDescent="0.2">
      <c r="A33" t="s">
        <v>4398</v>
      </c>
      <c r="B33" t="s">
        <v>4365</v>
      </c>
      <c r="C33" t="s">
        <v>4399</v>
      </c>
    </row>
    <row r="34" spans="1:3" x14ac:dyDescent="0.2">
      <c r="A34" s="16" t="s">
        <v>29</v>
      </c>
      <c r="B34" s="16" cm="1">
        <f t="array" ref="B34">SUMPRODUCT((tb1Products[is_primary_listing]=TRUE)*(tb1Products[price_bucket]=A34))</f>
        <v>443</v>
      </c>
      <c r="C34" s="16" cm="1">
        <f t="array" ref="C34">MEDIAN(IF((tb1Products[is_primary_listing]=TRUE)*(tb1Products[price_bucket]=A34)*(tb1Products[rating_count]&lt;&gt;""),tb1Products[rating_count]))</f>
        <v>2523</v>
      </c>
    </row>
    <row r="35" spans="1:3" x14ac:dyDescent="0.2">
      <c r="A35" s="16" t="s">
        <v>93</v>
      </c>
      <c r="B35" s="16" cm="1">
        <f t="array" ref="B35">SUMPRODUCT((tb1Products[is_primary_listing]=TRUE)*(tb1Products[price_bucket]=A35))</f>
        <v>221</v>
      </c>
      <c r="C35" s="16" cm="1">
        <f t="array" ref="C35">MEDIAN(IF((tb1Products[is_primary_listing]=TRUE)*(tb1Products[price_bucket]=A35)*(tb1Products[rating_count]&lt;&gt;""),tb1Products[rating_count]))</f>
        <v>5556</v>
      </c>
    </row>
    <row r="36" spans="1:3" x14ac:dyDescent="0.2">
      <c r="A36" s="16" t="s">
        <v>179</v>
      </c>
      <c r="B36" s="16" cm="1">
        <f t="array" ref="B36">SUMPRODUCT((tb1Products[is_primary_listing]=TRUE)*(tb1Products[price_bucket]=A36))</f>
        <v>279</v>
      </c>
      <c r="C36" s="16" cm="1">
        <f t="array" ref="C36">MEDIAN(IF((tb1Products[is_primary_listing]=TRUE)*(tb1Products[price_bucket]=A36)*(tb1Products[rating_count]&lt;&gt;""),tb1Products[rating_count]))</f>
        <v>6355</v>
      </c>
    </row>
    <row r="37" spans="1:3" x14ac:dyDescent="0.2">
      <c r="A37" s="16" t="s">
        <v>144</v>
      </c>
      <c r="B37" s="16" cm="1">
        <f t="array" ref="B37">SUMPRODUCT((tb1Products[is_primary_listing]=TRUE)*(tb1Products[price_bucket]=A37))</f>
        <v>172</v>
      </c>
      <c r="C37" s="16" cm="1">
        <f t="array" ref="C37">MEDIAN(IF((tb1Products[is_primary_listing]=TRUE)*(tb1Products[price_bucket]=A37)*(tb1Products[rating_count]&lt;&gt;""),tb1Products[rating_count]))</f>
        <v>3618</v>
      </c>
    </row>
    <row r="38" spans="1:3" x14ac:dyDescent="0.2">
      <c r="A38" s="16" t="s">
        <v>58</v>
      </c>
      <c r="B38" s="16" cm="1">
        <f t="array" ref="B38">SUMPRODUCT((tb1Products[is_primary_listing]=TRUE)*(tb1Products[price_bucket]=A38))</f>
        <v>66</v>
      </c>
      <c r="C38" s="16" cm="1">
        <f t="array" ref="C38">MEDIAN(IF((tb1Products[is_primary_listing]=TRUE)*(tb1Products[price_bucket]=A38)*(tb1Products[rating_count]&lt;&gt;""),tb1Products[rating_count]))</f>
        <v>6297</v>
      </c>
    </row>
  </sheetData>
  <phoneticPr fontId="2" type="noConversion"/>
  <pageMargins left="0.7" right="0.7" top="0.75" bottom="0.75" header="0.3" footer="0.3"/>
  <pageSetup paperSize="9" scale="56" orientation="landscape" useFirstPageNumber="1" horizontalDpi="0" verticalDpi="0"/>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352"/>
  <sheetViews>
    <sheetView tabSelected="1" workbookViewId="0">
      <pane xSplit="2" ySplit="1" topLeftCell="C2" activePane="bottomRight" state="frozen"/>
      <selection pane="topRight"/>
      <selection pane="bottomLeft"/>
      <selection pane="bottomRight" activeCell="C17" sqref="C17"/>
    </sheetView>
  </sheetViews>
  <sheetFormatPr baseColWidth="10" defaultColWidth="25.6640625" defaultRowHeight="29" customHeight="1" x14ac:dyDescent="0.2"/>
  <cols>
    <col min="1" max="1" width="25.6640625" style="9"/>
    <col min="2" max="2" width="30.33203125" style="9" customWidth="1"/>
    <col min="3" max="16384" width="25.6640625" style="9"/>
  </cols>
  <sheetData>
    <row r="1" spans="1:23" ht="29" customHeight="1" x14ac:dyDescent="0.2">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row>
    <row r="2" spans="1:23" ht="29" customHeight="1" x14ac:dyDescent="0.2">
      <c r="A2" s="9" t="s">
        <v>23</v>
      </c>
      <c r="B2" s="10" t="s">
        <v>24</v>
      </c>
      <c r="C2" s="9" t="s">
        <v>25</v>
      </c>
      <c r="D2" s="9" t="s">
        <v>25</v>
      </c>
      <c r="E2" s="9" t="s">
        <v>26</v>
      </c>
      <c r="F2" s="9" t="s">
        <v>27</v>
      </c>
      <c r="G2" s="9">
        <v>149</v>
      </c>
      <c r="H2" s="9">
        <v>1000</v>
      </c>
      <c r="I2" s="9">
        <v>85</v>
      </c>
      <c r="J2" s="11">
        <v>3.9</v>
      </c>
      <c r="K2" s="9">
        <v>24871</v>
      </c>
      <c r="L2" s="9">
        <v>3.924261410294962</v>
      </c>
      <c r="M2" s="9" t="s">
        <v>28</v>
      </c>
      <c r="N2" s="9" t="s">
        <v>29</v>
      </c>
      <c r="O2" s="9">
        <v>49.1</v>
      </c>
      <c r="P2" s="9" t="s">
        <v>30</v>
      </c>
      <c r="Q2" s="9" t="b">
        <v>0</v>
      </c>
      <c r="R2" s="9" t="b">
        <v>0</v>
      </c>
      <c r="S2" s="9" t="b">
        <v>0</v>
      </c>
      <c r="T2" s="9">
        <v>0.5</v>
      </c>
      <c r="U2" s="9">
        <v>3</v>
      </c>
      <c r="V2" s="9" t="b">
        <v>1</v>
      </c>
      <c r="W2" s="9" t="s">
        <v>31</v>
      </c>
    </row>
    <row r="3" spans="1:23" ht="29" customHeight="1" x14ac:dyDescent="0.2">
      <c r="A3" s="9" t="s">
        <v>32</v>
      </c>
      <c r="B3" s="10" t="s">
        <v>33</v>
      </c>
      <c r="C3" s="9" t="s">
        <v>25</v>
      </c>
      <c r="D3" s="9" t="s">
        <v>25</v>
      </c>
      <c r="E3" s="9" t="s">
        <v>34</v>
      </c>
      <c r="F3" s="9" t="s">
        <v>35</v>
      </c>
      <c r="G3" s="9">
        <v>499</v>
      </c>
      <c r="H3" s="9">
        <v>999</v>
      </c>
      <c r="I3" s="9">
        <v>50</v>
      </c>
      <c r="J3" s="11">
        <v>4.2</v>
      </c>
      <c r="K3" s="9">
        <v>179691</v>
      </c>
      <c r="L3" s="9">
        <v>4.1976339458864551</v>
      </c>
      <c r="M3" s="9" t="s">
        <v>28</v>
      </c>
      <c r="N3" s="9" t="s">
        <v>29</v>
      </c>
      <c r="O3" s="9">
        <v>71.900000000000006</v>
      </c>
      <c r="P3" s="9" t="s">
        <v>36</v>
      </c>
      <c r="Q3" s="9" t="b">
        <v>0</v>
      </c>
      <c r="R3" s="9" t="b">
        <v>0</v>
      </c>
      <c r="S3" s="9" t="b">
        <v>0</v>
      </c>
      <c r="T3" s="9">
        <v>0.98</v>
      </c>
      <c r="U3" s="9">
        <v>3</v>
      </c>
      <c r="V3" s="9" t="b">
        <v>0</v>
      </c>
      <c r="W3" s="9" t="s">
        <v>37</v>
      </c>
    </row>
    <row r="4" spans="1:23" ht="29" customHeight="1" x14ac:dyDescent="0.2">
      <c r="A4" s="9" t="s">
        <v>38</v>
      </c>
      <c r="B4" s="10" t="s">
        <v>39</v>
      </c>
      <c r="C4" s="9" t="s">
        <v>25</v>
      </c>
      <c r="D4" s="9" t="s">
        <v>25</v>
      </c>
      <c r="E4" s="9" t="s">
        <v>26</v>
      </c>
      <c r="F4" s="9" t="s">
        <v>27</v>
      </c>
      <c r="G4" s="9">
        <v>199</v>
      </c>
      <c r="H4" s="9">
        <v>299</v>
      </c>
      <c r="I4" s="9">
        <v>33</v>
      </c>
      <c r="J4" s="11">
        <v>4</v>
      </c>
      <c r="K4" s="9">
        <v>43994</v>
      </c>
      <c r="L4" s="9">
        <v>4.0066679738188693</v>
      </c>
      <c r="M4" s="9" t="s">
        <v>28</v>
      </c>
      <c r="N4" s="9" t="s">
        <v>29</v>
      </c>
      <c r="O4" s="9">
        <v>29.9</v>
      </c>
      <c r="P4" s="9" t="s">
        <v>40</v>
      </c>
      <c r="Q4" s="9" t="b">
        <v>0</v>
      </c>
      <c r="R4" s="9" t="b">
        <v>0</v>
      </c>
      <c r="S4" s="9" t="b">
        <v>0</v>
      </c>
      <c r="T4" s="9">
        <v>0.67</v>
      </c>
      <c r="U4" s="9">
        <v>3</v>
      </c>
      <c r="V4" s="9" t="b">
        <v>1</v>
      </c>
      <c r="W4" s="9" t="s">
        <v>41</v>
      </c>
    </row>
    <row r="5" spans="1:23" ht="29" customHeight="1" x14ac:dyDescent="0.2">
      <c r="A5" s="9" t="s">
        <v>42</v>
      </c>
      <c r="B5" s="10" t="s">
        <v>43</v>
      </c>
      <c r="C5" s="9" t="s">
        <v>44</v>
      </c>
      <c r="D5" s="9" t="s">
        <v>44</v>
      </c>
      <c r="E5" s="9" t="s">
        <v>45</v>
      </c>
      <c r="F5" s="9" t="s">
        <v>46</v>
      </c>
      <c r="G5" s="9">
        <v>219</v>
      </c>
      <c r="H5" s="9">
        <v>700</v>
      </c>
      <c r="I5" s="9">
        <v>69</v>
      </c>
      <c r="J5" s="11">
        <v>4.4000000000000004</v>
      </c>
      <c r="K5" s="9">
        <v>426973</v>
      </c>
      <c r="L5" s="9">
        <v>4.3972452679003267</v>
      </c>
      <c r="M5" s="9" t="s">
        <v>28</v>
      </c>
      <c r="N5" s="9" t="s">
        <v>29</v>
      </c>
      <c r="O5" s="9">
        <v>92.8</v>
      </c>
      <c r="P5" s="9" t="s">
        <v>36</v>
      </c>
      <c r="Q5" s="9" t="b">
        <v>1</v>
      </c>
      <c r="R5" s="9" t="b">
        <v>0</v>
      </c>
      <c r="S5" s="9" t="b">
        <v>0</v>
      </c>
      <c r="T5" s="9">
        <v>0.56999999999999995</v>
      </c>
      <c r="U5" s="9">
        <v>3</v>
      </c>
      <c r="V5" s="9" t="b">
        <v>1</v>
      </c>
      <c r="W5" s="9" t="s">
        <v>47</v>
      </c>
    </row>
    <row r="6" spans="1:23" ht="29" customHeight="1" x14ac:dyDescent="0.2">
      <c r="A6" s="9" t="s">
        <v>48</v>
      </c>
      <c r="B6" s="10" t="s">
        <v>49</v>
      </c>
      <c r="C6" s="9" t="s">
        <v>25</v>
      </c>
      <c r="D6" s="9" t="s">
        <v>25</v>
      </c>
      <c r="E6" s="9" t="s">
        <v>26</v>
      </c>
      <c r="F6" s="9" t="s">
        <v>27</v>
      </c>
      <c r="G6" s="9">
        <v>159</v>
      </c>
      <c r="H6" s="9">
        <v>399</v>
      </c>
      <c r="I6" s="9">
        <v>60</v>
      </c>
      <c r="J6" s="11">
        <v>4.0999999999999996</v>
      </c>
      <c r="K6" s="9">
        <v>4768</v>
      </c>
      <c r="L6" s="9">
        <v>4.0932230340168587</v>
      </c>
      <c r="M6" s="9" t="s">
        <v>28</v>
      </c>
      <c r="N6" s="9" t="s">
        <v>29</v>
      </c>
      <c r="O6" s="9">
        <v>60.5</v>
      </c>
      <c r="P6" s="9" t="s">
        <v>36</v>
      </c>
      <c r="Q6" s="9" t="b">
        <v>0</v>
      </c>
      <c r="R6" s="9" t="b">
        <v>0</v>
      </c>
      <c r="S6" s="9" t="b">
        <v>0</v>
      </c>
      <c r="T6" s="9">
        <v>0.53</v>
      </c>
      <c r="U6" s="9">
        <v>1</v>
      </c>
      <c r="V6" s="9" t="b">
        <v>1</v>
      </c>
      <c r="W6" s="9" t="s">
        <v>50</v>
      </c>
    </row>
    <row r="7" spans="1:23" ht="29" customHeight="1" x14ac:dyDescent="0.2">
      <c r="A7" s="9" t="s">
        <v>51</v>
      </c>
      <c r="B7" s="10" t="s">
        <v>52</v>
      </c>
      <c r="C7" s="9" t="s">
        <v>25</v>
      </c>
      <c r="D7" s="9" t="s">
        <v>25</v>
      </c>
      <c r="E7" s="9" t="s">
        <v>26</v>
      </c>
      <c r="F7" s="9" t="s">
        <v>27</v>
      </c>
      <c r="G7" s="9">
        <v>349</v>
      </c>
      <c r="H7" s="9">
        <v>399</v>
      </c>
      <c r="I7" s="9">
        <v>13</v>
      </c>
      <c r="J7" s="11">
        <v>4.4000000000000004</v>
      </c>
      <c r="K7" s="9">
        <v>18757</v>
      </c>
      <c r="L7" s="9">
        <v>4.3473096246222536</v>
      </c>
      <c r="M7" s="9" t="s">
        <v>28</v>
      </c>
      <c r="N7" s="9" t="s">
        <v>29</v>
      </c>
      <c r="O7" s="9">
        <v>59.3</v>
      </c>
      <c r="P7" s="9" t="s">
        <v>53</v>
      </c>
      <c r="Q7" s="9" t="b">
        <v>0</v>
      </c>
      <c r="R7" s="9" t="b">
        <v>0</v>
      </c>
      <c r="S7" s="9" t="b">
        <v>0</v>
      </c>
      <c r="T7" s="9">
        <v>1.17</v>
      </c>
      <c r="U7" s="9">
        <v>1</v>
      </c>
      <c r="V7" s="9" t="b">
        <v>1</v>
      </c>
      <c r="W7" s="9" t="s">
        <v>54</v>
      </c>
    </row>
    <row r="8" spans="1:23" ht="29" customHeight="1" x14ac:dyDescent="0.2">
      <c r="A8" s="9" t="s">
        <v>55</v>
      </c>
      <c r="B8" s="10" t="s">
        <v>56</v>
      </c>
      <c r="C8" s="9" t="s">
        <v>44</v>
      </c>
      <c r="D8" s="9" t="s">
        <v>44</v>
      </c>
      <c r="E8" s="9" t="s">
        <v>45</v>
      </c>
      <c r="F8" s="9" t="s">
        <v>57</v>
      </c>
      <c r="G8" s="9">
        <v>13999</v>
      </c>
      <c r="H8" s="9">
        <v>24999</v>
      </c>
      <c r="I8" s="9">
        <v>44</v>
      </c>
      <c r="J8" s="11">
        <v>4.2</v>
      </c>
      <c r="K8" s="9">
        <v>32840</v>
      </c>
      <c r="L8" s="9">
        <v>4.1881412223668004</v>
      </c>
      <c r="M8" s="9" t="s">
        <v>28</v>
      </c>
      <c r="N8" s="9" t="s">
        <v>58</v>
      </c>
      <c r="O8" s="9">
        <v>51.8</v>
      </c>
      <c r="P8" s="9" t="s">
        <v>53</v>
      </c>
      <c r="Q8" s="9" t="b">
        <v>0</v>
      </c>
      <c r="R8" s="9" t="b">
        <v>0</v>
      </c>
      <c r="S8" s="9" t="b">
        <v>0</v>
      </c>
      <c r="T8" s="9">
        <v>0.74</v>
      </c>
      <c r="U8" s="9">
        <v>5</v>
      </c>
      <c r="V8" s="9" t="b">
        <v>1</v>
      </c>
      <c r="W8" s="9" t="s">
        <v>59</v>
      </c>
    </row>
    <row r="9" spans="1:23" ht="29" customHeight="1" x14ac:dyDescent="0.2">
      <c r="A9" s="9" t="s">
        <v>60</v>
      </c>
      <c r="B9" s="10" t="s">
        <v>61</v>
      </c>
      <c r="C9" s="9" t="s">
        <v>25</v>
      </c>
      <c r="D9" s="9" t="s">
        <v>25</v>
      </c>
      <c r="E9" s="9" t="s">
        <v>26</v>
      </c>
      <c r="F9" s="9" t="s">
        <v>27</v>
      </c>
      <c r="G9" s="9">
        <v>249</v>
      </c>
      <c r="H9" s="9">
        <v>399</v>
      </c>
      <c r="I9" s="9">
        <v>38</v>
      </c>
      <c r="J9" s="11">
        <v>4</v>
      </c>
      <c r="K9" s="9">
        <v>43994</v>
      </c>
      <c r="L9" s="9">
        <v>4.0066679738188693</v>
      </c>
      <c r="M9" s="9" t="s">
        <v>28</v>
      </c>
      <c r="N9" s="9" t="s">
        <v>29</v>
      </c>
      <c r="O9" s="9">
        <v>30.1</v>
      </c>
      <c r="P9" s="9" t="s">
        <v>40</v>
      </c>
      <c r="Q9" s="9" t="b">
        <v>0</v>
      </c>
      <c r="R9" s="9" t="b">
        <v>0</v>
      </c>
      <c r="S9" s="9" t="b">
        <v>0</v>
      </c>
      <c r="T9" s="9">
        <v>0.83</v>
      </c>
      <c r="U9" s="9">
        <v>3</v>
      </c>
      <c r="V9" s="9" t="b">
        <v>0</v>
      </c>
      <c r="W9" s="9" t="s">
        <v>62</v>
      </c>
    </row>
    <row r="10" spans="1:23" ht="29" customHeight="1" x14ac:dyDescent="0.2">
      <c r="A10" s="9" t="s">
        <v>63</v>
      </c>
      <c r="B10" s="10" t="s">
        <v>64</v>
      </c>
      <c r="C10" s="9" t="s">
        <v>25</v>
      </c>
      <c r="D10" s="9" t="s">
        <v>25</v>
      </c>
      <c r="E10" s="9" t="s">
        <v>26</v>
      </c>
      <c r="F10" s="9" t="s">
        <v>27</v>
      </c>
      <c r="G10" s="9">
        <v>199</v>
      </c>
      <c r="H10" s="9">
        <v>499</v>
      </c>
      <c r="I10" s="9">
        <v>60</v>
      </c>
      <c r="J10" s="11">
        <v>4.0999999999999996</v>
      </c>
      <c r="K10" s="9">
        <v>13045</v>
      </c>
      <c r="L10" s="9">
        <v>4.0965604100360444</v>
      </c>
      <c r="M10" s="9" t="s">
        <v>28</v>
      </c>
      <c r="N10" s="9" t="s">
        <v>29</v>
      </c>
      <c r="O10" s="9">
        <v>61.1</v>
      </c>
      <c r="P10" s="9" t="s">
        <v>36</v>
      </c>
      <c r="Q10" s="9" t="b">
        <v>0</v>
      </c>
      <c r="R10" s="9" t="b">
        <v>0</v>
      </c>
      <c r="S10" s="9" t="b">
        <v>0</v>
      </c>
      <c r="T10" s="9">
        <v>0.67</v>
      </c>
      <c r="U10" s="9">
        <v>1</v>
      </c>
      <c r="V10" s="9" t="b">
        <v>1</v>
      </c>
      <c r="W10" s="9" t="s">
        <v>65</v>
      </c>
    </row>
    <row r="11" spans="1:23" ht="29" customHeight="1" x14ac:dyDescent="0.2">
      <c r="A11" s="9" t="s">
        <v>66</v>
      </c>
      <c r="B11" s="10" t="s">
        <v>67</v>
      </c>
      <c r="C11" s="9" t="s">
        <v>44</v>
      </c>
      <c r="D11" s="9" t="s">
        <v>44</v>
      </c>
      <c r="E11" s="9" t="s">
        <v>45</v>
      </c>
      <c r="F11" s="9" t="s">
        <v>57</v>
      </c>
      <c r="G11" s="9">
        <v>13490</v>
      </c>
      <c r="H11" s="9">
        <v>22900</v>
      </c>
      <c r="I11" s="9">
        <v>41</v>
      </c>
      <c r="J11" s="11">
        <v>4.3</v>
      </c>
      <c r="K11" s="9">
        <v>16299</v>
      </c>
      <c r="L11" s="9">
        <v>4.2596086579608112</v>
      </c>
      <c r="M11" s="9" t="s">
        <v>28</v>
      </c>
      <c r="N11" s="9" t="s">
        <v>58</v>
      </c>
      <c r="O11" s="9">
        <v>55.6</v>
      </c>
      <c r="P11" s="9" t="s">
        <v>53</v>
      </c>
      <c r="Q11" s="9" t="b">
        <v>0</v>
      </c>
      <c r="R11" s="9" t="b">
        <v>0</v>
      </c>
      <c r="S11" s="9" t="b">
        <v>0</v>
      </c>
      <c r="T11" s="9">
        <v>0.71</v>
      </c>
      <c r="U11" s="9">
        <v>2</v>
      </c>
      <c r="V11" s="9" t="b">
        <v>1</v>
      </c>
      <c r="W11" s="9" t="s">
        <v>68</v>
      </c>
    </row>
    <row r="12" spans="1:23" ht="29" customHeight="1" x14ac:dyDescent="0.2">
      <c r="A12" s="9" t="s">
        <v>69</v>
      </c>
      <c r="B12" s="10" t="s">
        <v>70</v>
      </c>
      <c r="C12" s="9" t="s">
        <v>25</v>
      </c>
      <c r="D12" s="9" t="s">
        <v>25</v>
      </c>
      <c r="E12" s="9" t="s">
        <v>26</v>
      </c>
      <c r="F12" s="9" t="s">
        <v>27</v>
      </c>
      <c r="G12" s="9">
        <v>59</v>
      </c>
      <c r="H12" s="9">
        <v>199</v>
      </c>
      <c r="I12" s="9">
        <v>70</v>
      </c>
      <c r="J12" s="11">
        <v>4</v>
      </c>
      <c r="K12" s="9">
        <v>9378</v>
      </c>
      <c r="L12" s="9">
        <v>4.0242334075324999</v>
      </c>
      <c r="M12" s="9" t="s">
        <v>28</v>
      </c>
      <c r="N12" s="9" t="s">
        <v>29</v>
      </c>
      <c r="O12" s="9">
        <v>54.2</v>
      </c>
      <c r="P12" s="9" t="s">
        <v>53</v>
      </c>
      <c r="Q12" s="9" t="b">
        <v>0</v>
      </c>
      <c r="R12" s="9" t="b">
        <v>0</v>
      </c>
      <c r="S12" s="9" t="b">
        <v>0</v>
      </c>
      <c r="T12" s="9">
        <v>0.2</v>
      </c>
      <c r="U12" s="9">
        <v>8</v>
      </c>
      <c r="V12" s="9" t="b">
        <v>1</v>
      </c>
      <c r="W12" s="9" t="s">
        <v>71</v>
      </c>
    </row>
    <row r="13" spans="1:23" ht="29" customHeight="1" x14ac:dyDescent="0.2">
      <c r="A13" s="9" t="s">
        <v>72</v>
      </c>
      <c r="B13" s="10" t="s">
        <v>73</v>
      </c>
      <c r="C13" s="9" t="s">
        <v>44</v>
      </c>
      <c r="D13" s="9" t="s">
        <v>44</v>
      </c>
      <c r="E13" s="9" t="s">
        <v>45</v>
      </c>
      <c r="F13" s="9" t="s">
        <v>57</v>
      </c>
      <c r="G13" s="9">
        <v>11499</v>
      </c>
      <c r="H13" s="9">
        <v>19990</v>
      </c>
      <c r="I13" s="9">
        <v>42</v>
      </c>
      <c r="J13" s="11">
        <v>4.3</v>
      </c>
      <c r="K13" s="9">
        <v>4703</v>
      </c>
      <c r="L13" s="9">
        <v>4.2042807975525136</v>
      </c>
      <c r="M13" s="9" t="s">
        <v>28</v>
      </c>
      <c r="N13" s="9" t="s">
        <v>58</v>
      </c>
      <c r="O13" s="9">
        <v>53.2</v>
      </c>
      <c r="P13" s="9" t="s">
        <v>53</v>
      </c>
      <c r="Q13" s="9" t="b">
        <v>0</v>
      </c>
      <c r="R13" s="9" t="b">
        <v>0</v>
      </c>
      <c r="S13" s="9" t="b">
        <v>0</v>
      </c>
      <c r="T13" s="9">
        <v>0.61</v>
      </c>
      <c r="U13" s="9">
        <v>5</v>
      </c>
      <c r="V13" s="9" t="b">
        <v>1</v>
      </c>
      <c r="W13" s="9" t="s">
        <v>74</v>
      </c>
    </row>
    <row r="14" spans="1:23" ht="29" customHeight="1" x14ac:dyDescent="0.2">
      <c r="A14" s="9" t="s">
        <v>75</v>
      </c>
      <c r="B14" s="10" t="s">
        <v>76</v>
      </c>
      <c r="C14" s="9" t="s">
        <v>44</v>
      </c>
      <c r="D14" s="9" t="s">
        <v>44</v>
      </c>
      <c r="E14" s="9" t="s">
        <v>45</v>
      </c>
      <c r="F14" s="9" t="s">
        <v>46</v>
      </c>
      <c r="G14" s="9">
        <v>199</v>
      </c>
      <c r="H14" s="9">
        <v>699</v>
      </c>
      <c r="I14" s="9">
        <v>72</v>
      </c>
      <c r="J14" s="11">
        <v>4.2</v>
      </c>
      <c r="K14" s="9">
        <v>12153</v>
      </c>
      <c r="L14" s="9">
        <v>4.1727271585360697</v>
      </c>
      <c r="M14" s="9" t="s">
        <v>28</v>
      </c>
      <c r="N14" s="9" t="s">
        <v>29</v>
      </c>
      <c r="O14" s="9">
        <v>80.5</v>
      </c>
      <c r="P14" s="9" t="s">
        <v>36</v>
      </c>
      <c r="Q14" s="9" t="b">
        <v>0</v>
      </c>
      <c r="R14" s="9" t="b">
        <v>0</v>
      </c>
      <c r="S14" s="9" t="b">
        <v>0</v>
      </c>
      <c r="T14" s="9">
        <v>0.52</v>
      </c>
      <c r="U14" s="9">
        <v>2</v>
      </c>
      <c r="V14" s="9" t="b">
        <v>1</v>
      </c>
      <c r="W14" s="9" t="s">
        <v>77</v>
      </c>
    </row>
    <row r="15" spans="1:23" ht="29" customHeight="1" x14ac:dyDescent="0.2">
      <c r="A15" s="9" t="s">
        <v>78</v>
      </c>
      <c r="B15" s="10" t="s">
        <v>79</v>
      </c>
      <c r="C15" s="9" t="s">
        <v>44</v>
      </c>
      <c r="D15" s="9" t="s">
        <v>44</v>
      </c>
      <c r="E15" s="9" t="s">
        <v>45</v>
      </c>
      <c r="F15" s="9" t="s">
        <v>57</v>
      </c>
      <c r="G15" s="9">
        <v>14999</v>
      </c>
      <c r="H15" s="9">
        <v>19999</v>
      </c>
      <c r="I15" s="9">
        <v>25</v>
      </c>
      <c r="J15" s="11">
        <v>4.2</v>
      </c>
      <c r="K15" s="9">
        <v>34899</v>
      </c>
      <c r="L15" s="9">
        <v>4.1887727866658251</v>
      </c>
      <c r="M15" s="9" t="s">
        <v>28</v>
      </c>
      <c r="N15" s="9" t="s">
        <v>58</v>
      </c>
      <c r="O15" s="9">
        <v>44.4</v>
      </c>
      <c r="P15" s="9" t="s">
        <v>30</v>
      </c>
      <c r="Q15" s="9" t="b">
        <v>0</v>
      </c>
      <c r="R15" s="9" t="b">
        <v>0</v>
      </c>
      <c r="S15" s="9" t="b">
        <v>0</v>
      </c>
      <c r="T15" s="9">
        <v>0.79</v>
      </c>
      <c r="U15" s="9">
        <v>3</v>
      </c>
      <c r="V15" s="9" t="b">
        <v>1</v>
      </c>
      <c r="W15" s="9" t="s">
        <v>80</v>
      </c>
    </row>
    <row r="16" spans="1:23" ht="29" customHeight="1" x14ac:dyDescent="0.2">
      <c r="A16" s="9" t="s">
        <v>81</v>
      </c>
      <c r="B16" s="10" t="s">
        <v>82</v>
      </c>
      <c r="C16" s="9" t="s">
        <v>25</v>
      </c>
      <c r="D16" s="9" t="s">
        <v>25</v>
      </c>
      <c r="E16" s="9" t="s">
        <v>26</v>
      </c>
      <c r="F16" s="9" t="s">
        <v>27</v>
      </c>
      <c r="G16" s="9">
        <v>199</v>
      </c>
      <c r="H16" s="9">
        <v>750</v>
      </c>
      <c r="I16" s="9">
        <v>73</v>
      </c>
      <c r="J16" s="11">
        <v>4.5</v>
      </c>
      <c r="K16" s="9">
        <v>74976</v>
      </c>
      <c r="L16" s="9">
        <v>4.480151883661498</v>
      </c>
      <c r="M16" s="9" t="s">
        <v>28</v>
      </c>
      <c r="N16" s="9" t="s">
        <v>29</v>
      </c>
      <c r="O16" s="9">
        <v>90.3</v>
      </c>
      <c r="P16" s="9" t="s">
        <v>36</v>
      </c>
      <c r="Q16" s="9" t="b">
        <v>0</v>
      </c>
      <c r="R16" s="9" t="b">
        <v>0</v>
      </c>
      <c r="S16" s="9" t="b">
        <v>0</v>
      </c>
      <c r="T16" s="9">
        <v>0.67</v>
      </c>
      <c r="U16" s="9">
        <v>2</v>
      </c>
      <c r="V16" s="9" t="b">
        <v>0</v>
      </c>
      <c r="W16" s="9" t="s">
        <v>83</v>
      </c>
    </row>
    <row r="17" spans="1:23" ht="29" customHeight="1" x14ac:dyDescent="0.2">
      <c r="A17" s="9" t="s">
        <v>84</v>
      </c>
      <c r="B17" s="10" t="s">
        <v>85</v>
      </c>
      <c r="C17" s="9" t="s">
        <v>25</v>
      </c>
      <c r="D17" s="9" t="s">
        <v>25</v>
      </c>
      <c r="E17" s="9" t="s">
        <v>26</v>
      </c>
      <c r="F17" s="9" t="s">
        <v>27</v>
      </c>
      <c r="G17" s="9">
        <v>179</v>
      </c>
      <c r="H17" s="9">
        <v>499</v>
      </c>
      <c r="I17" s="9">
        <v>64</v>
      </c>
      <c r="J17" s="11">
        <v>4</v>
      </c>
      <c r="K17" s="9">
        <v>1934</v>
      </c>
      <c r="L17" s="9">
        <v>4.0559008323849408</v>
      </c>
      <c r="M17" s="9" t="s">
        <v>28</v>
      </c>
      <c r="N17" s="9" t="s">
        <v>29</v>
      </c>
      <c r="O17" s="9">
        <v>52.2</v>
      </c>
      <c r="P17" s="9" t="s">
        <v>53</v>
      </c>
      <c r="Q17" s="9" t="b">
        <v>0</v>
      </c>
      <c r="R17" s="9" t="b">
        <v>0</v>
      </c>
      <c r="S17" s="9" t="b">
        <v>0</v>
      </c>
      <c r="T17" s="9">
        <v>0.6</v>
      </c>
      <c r="U17" s="9">
        <v>1</v>
      </c>
      <c r="V17" s="9" t="b">
        <v>1</v>
      </c>
      <c r="W17" s="9" t="s">
        <v>86</v>
      </c>
    </row>
    <row r="18" spans="1:23" ht="29" customHeight="1" x14ac:dyDescent="0.2">
      <c r="A18" s="9" t="s">
        <v>87</v>
      </c>
      <c r="B18" s="10" t="s">
        <v>88</v>
      </c>
      <c r="C18" s="9" t="s">
        <v>25</v>
      </c>
      <c r="D18" s="9" t="s">
        <v>25</v>
      </c>
      <c r="E18" s="9" t="s">
        <v>26</v>
      </c>
      <c r="F18" s="9" t="s">
        <v>27</v>
      </c>
      <c r="G18" s="9">
        <v>389</v>
      </c>
      <c r="H18" s="9">
        <v>1099</v>
      </c>
      <c r="I18" s="9">
        <v>65</v>
      </c>
      <c r="J18" s="11">
        <v>4.3</v>
      </c>
      <c r="K18" s="9">
        <v>974</v>
      </c>
      <c r="L18" s="9">
        <v>4.1289220081665396</v>
      </c>
      <c r="M18" s="9" t="s">
        <v>89</v>
      </c>
      <c r="N18" s="9" t="s">
        <v>29</v>
      </c>
      <c r="O18" s="9">
        <v>63.9</v>
      </c>
      <c r="P18" s="9" t="s">
        <v>36</v>
      </c>
      <c r="Q18" s="9" t="b">
        <v>0</v>
      </c>
      <c r="R18" s="9" t="b">
        <v>0</v>
      </c>
      <c r="S18" s="9" t="b">
        <v>0</v>
      </c>
      <c r="T18" s="9">
        <v>1.3</v>
      </c>
      <c r="U18" s="9">
        <v>2</v>
      </c>
      <c r="V18" s="9" t="b">
        <v>1</v>
      </c>
      <c r="W18" s="9" t="s">
        <v>90</v>
      </c>
    </row>
    <row r="19" spans="1:23" ht="29" customHeight="1" x14ac:dyDescent="0.2">
      <c r="A19" s="9" t="s">
        <v>91</v>
      </c>
      <c r="B19" s="10" t="s">
        <v>92</v>
      </c>
      <c r="C19" s="9" t="s">
        <v>25</v>
      </c>
      <c r="D19" s="9" t="s">
        <v>25</v>
      </c>
      <c r="E19" s="9" t="s">
        <v>26</v>
      </c>
      <c r="F19" s="9" t="s">
        <v>27</v>
      </c>
      <c r="G19" s="9">
        <v>599</v>
      </c>
      <c r="H19" s="9">
        <v>599</v>
      </c>
      <c r="I19" s="9">
        <v>0</v>
      </c>
      <c r="J19" s="11">
        <v>4.3</v>
      </c>
      <c r="K19" s="9">
        <v>355</v>
      </c>
      <c r="L19" s="9">
        <v>4.1032031795217518</v>
      </c>
      <c r="M19" s="9" t="s">
        <v>89</v>
      </c>
      <c r="N19" s="9" t="s">
        <v>93</v>
      </c>
      <c r="O19" s="9">
        <v>35.700000000000003</v>
      </c>
      <c r="P19" s="9" t="s">
        <v>40</v>
      </c>
      <c r="Q19" s="9" t="b">
        <v>0</v>
      </c>
      <c r="R19" s="9" t="b">
        <v>1</v>
      </c>
      <c r="S19" s="9" t="b">
        <v>0</v>
      </c>
      <c r="T19" s="9">
        <v>2</v>
      </c>
      <c r="U19" s="9">
        <v>1</v>
      </c>
      <c r="V19" s="9" t="b">
        <v>1</v>
      </c>
      <c r="W19" s="9" t="s">
        <v>94</v>
      </c>
    </row>
    <row r="20" spans="1:23" ht="29" customHeight="1" x14ac:dyDescent="0.2">
      <c r="A20" s="9" t="s">
        <v>95</v>
      </c>
      <c r="B20" s="10" t="s">
        <v>96</v>
      </c>
      <c r="C20" s="9" t="s">
        <v>25</v>
      </c>
      <c r="D20" s="9" t="s">
        <v>25</v>
      </c>
      <c r="E20" s="9" t="s">
        <v>26</v>
      </c>
      <c r="F20" s="9" t="s">
        <v>27</v>
      </c>
      <c r="G20" s="9">
        <v>199</v>
      </c>
      <c r="H20" s="9">
        <v>999</v>
      </c>
      <c r="I20" s="9">
        <v>80</v>
      </c>
      <c r="J20" s="11">
        <v>3.9</v>
      </c>
      <c r="K20" s="9">
        <v>1075</v>
      </c>
      <c r="L20" s="9">
        <v>4.0436049801924163</v>
      </c>
      <c r="M20" s="9" t="s">
        <v>28</v>
      </c>
      <c r="N20" s="9" t="s">
        <v>29</v>
      </c>
      <c r="O20" s="9">
        <v>55.1</v>
      </c>
      <c r="P20" s="9" t="s">
        <v>53</v>
      </c>
      <c r="Q20" s="9" t="b">
        <v>0</v>
      </c>
      <c r="R20" s="9" t="b">
        <v>0</v>
      </c>
      <c r="S20" s="9" t="b">
        <v>0</v>
      </c>
      <c r="T20" s="9">
        <v>0.67</v>
      </c>
      <c r="U20" s="9">
        <v>4</v>
      </c>
      <c r="V20" s="9" t="b">
        <v>1</v>
      </c>
      <c r="W20" s="9" t="s">
        <v>97</v>
      </c>
    </row>
    <row r="21" spans="1:23" ht="29" customHeight="1" x14ac:dyDescent="0.2">
      <c r="A21" s="9" t="s">
        <v>98</v>
      </c>
      <c r="B21" s="10" t="s">
        <v>99</v>
      </c>
      <c r="C21" s="9" t="s">
        <v>25</v>
      </c>
      <c r="D21" s="9" t="s">
        <v>25</v>
      </c>
      <c r="E21" s="9" t="s">
        <v>26</v>
      </c>
      <c r="F21" s="9" t="s">
        <v>27</v>
      </c>
      <c r="G21" s="9">
        <v>99</v>
      </c>
      <c r="H21" s="9">
        <v>666.66</v>
      </c>
      <c r="I21" s="9">
        <v>85</v>
      </c>
      <c r="J21" s="11">
        <v>3.9</v>
      </c>
      <c r="K21" s="9">
        <v>24871</v>
      </c>
      <c r="L21" s="9">
        <v>3.924261410294962</v>
      </c>
      <c r="M21" s="9" t="s">
        <v>28</v>
      </c>
      <c r="N21" s="9" t="s">
        <v>29</v>
      </c>
      <c r="O21" s="9">
        <v>50.6</v>
      </c>
      <c r="P21" s="9" t="s">
        <v>53</v>
      </c>
      <c r="Q21" s="9" t="b">
        <v>0</v>
      </c>
      <c r="R21" s="9" t="b">
        <v>0</v>
      </c>
      <c r="S21" s="9" t="b">
        <v>0</v>
      </c>
      <c r="T21" s="9">
        <v>0.33</v>
      </c>
      <c r="U21" s="9">
        <v>3</v>
      </c>
      <c r="V21" s="9" t="b">
        <v>0</v>
      </c>
      <c r="W21" s="9" t="s">
        <v>100</v>
      </c>
    </row>
    <row r="22" spans="1:23" ht="29" customHeight="1" x14ac:dyDescent="0.2">
      <c r="A22" s="9" t="s">
        <v>101</v>
      </c>
      <c r="B22" s="10" t="s">
        <v>102</v>
      </c>
      <c r="C22" s="9" t="s">
        <v>25</v>
      </c>
      <c r="D22" s="9" t="s">
        <v>25</v>
      </c>
      <c r="E22" s="9" t="s">
        <v>26</v>
      </c>
      <c r="F22" s="9" t="s">
        <v>27</v>
      </c>
      <c r="G22" s="9">
        <v>199</v>
      </c>
      <c r="H22" s="9">
        <v>999</v>
      </c>
      <c r="I22" s="9">
        <v>80</v>
      </c>
      <c r="J22" s="11">
        <v>4</v>
      </c>
      <c r="K22" s="9">
        <v>576</v>
      </c>
      <c r="L22" s="9">
        <v>4.0733984307204816</v>
      </c>
      <c r="M22" s="9" t="s">
        <v>89</v>
      </c>
      <c r="N22" s="9" t="s">
        <v>29</v>
      </c>
      <c r="O22" s="9">
        <v>59.1</v>
      </c>
      <c r="P22" s="9" t="s">
        <v>53</v>
      </c>
      <c r="Q22" s="9" t="b">
        <v>0</v>
      </c>
      <c r="R22" s="9" t="b">
        <v>0</v>
      </c>
      <c r="S22" s="9" t="b">
        <v>0</v>
      </c>
      <c r="T22" s="9">
        <v>0.67</v>
      </c>
      <c r="U22" s="9">
        <v>1</v>
      </c>
      <c r="V22" s="9" t="b">
        <v>1</v>
      </c>
      <c r="W22" s="9" t="s">
        <v>103</v>
      </c>
    </row>
    <row r="23" spans="1:23" ht="29" customHeight="1" x14ac:dyDescent="0.2">
      <c r="A23" s="9" t="s">
        <v>104</v>
      </c>
      <c r="B23" s="10" t="s">
        <v>105</v>
      </c>
      <c r="C23" s="9" t="s">
        <v>44</v>
      </c>
      <c r="D23" s="9" t="s">
        <v>44</v>
      </c>
      <c r="E23" s="9" t="s">
        <v>45</v>
      </c>
      <c r="F23" s="9" t="s">
        <v>57</v>
      </c>
      <c r="G23" s="9">
        <v>32999</v>
      </c>
      <c r="H23" s="9">
        <v>45999</v>
      </c>
      <c r="I23" s="9">
        <v>28</v>
      </c>
      <c r="J23" s="11">
        <v>4.2</v>
      </c>
      <c r="K23" s="9">
        <v>7298</v>
      </c>
      <c r="L23" s="9">
        <v>4.1607557607414511</v>
      </c>
      <c r="M23" s="9" t="s">
        <v>28</v>
      </c>
      <c r="N23" s="9" t="s">
        <v>58</v>
      </c>
      <c r="O23" s="9">
        <v>41</v>
      </c>
      <c r="P23" s="9" t="s">
        <v>30</v>
      </c>
      <c r="Q23" s="9" t="b">
        <v>0</v>
      </c>
      <c r="R23" s="9" t="b">
        <v>0</v>
      </c>
      <c r="S23" s="9" t="b">
        <v>0</v>
      </c>
      <c r="T23" s="9">
        <v>1.74</v>
      </c>
      <c r="U23" s="9">
        <v>2</v>
      </c>
      <c r="V23" s="9" t="b">
        <v>1</v>
      </c>
      <c r="W23" s="9" t="s">
        <v>106</v>
      </c>
    </row>
    <row r="24" spans="1:23" ht="29" customHeight="1" x14ac:dyDescent="0.2">
      <c r="A24" s="9" t="s">
        <v>107</v>
      </c>
      <c r="B24" s="10" t="s">
        <v>108</v>
      </c>
      <c r="C24" s="9" t="s">
        <v>25</v>
      </c>
      <c r="D24" s="9" t="s">
        <v>25</v>
      </c>
      <c r="E24" s="9" t="s">
        <v>26</v>
      </c>
      <c r="F24" s="9" t="s">
        <v>27</v>
      </c>
      <c r="G24" s="9">
        <v>970</v>
      </c>
      <c r="H24" s="9">
        <v>1999</v>
      </c>
      <c r="I24" s="9">
        <v>51</v>
      </c>
      <c r="J24" s="11">
        <v>4.2</v>
      </c>
      <c r="K24" s="9">
        <v>462</v>
      </c>
      <c r="L24" s="9">
        <v>4.0972515307564956</v>
      </c>
      <c r="M24" s="9" t="s">
        <v>89</v>
      </c>
      <c r="N24" s="9" t="s">
        <v>93</v>
      </c>
      <c r="O24" s="9">
        <v>46.8</v>
      </c>
      <c r="P24" s="9" t="s">
        <v>30</v>
      </c>
      <c r="Q24" s="9" t="b">
        <v>0</v>
      </c>
      <c r="R24" s="9" t="b">
        <v>1</v>
      </c>
      <c r="S24" s="9" t="b">
        <v>0</v>
      </c>
      <c r="T24" s="9">
        <v>3.24</v>
      </c>
      <c r="U24" s="9">
        <v>1</v>
      </c>
      <c r="V24" s="9" t="b">
        <v>1</v>
      </c>
      <c r="W24" s="9" t="s">
        <v>109</v>
      </c>
    </row>
    <row r="25" spans="1:23" ht="29" customHeight="1" x14ac:dyDescent="0.2">
      <c r="A25" s="9" t="s">
        <v>110</v>
      </c>
      <c r="B25" s="10" t="s">
        <v>111</v>
      </c>
      <c r="C25" s="9" t="s">
        <v>25</v>
      </c>
      <c r="D25" s="9" t="s">
        <v>25</v>
      </c>
      <c r="E25" s="9" t="s">
        <v>26</v>
      </c>
      <c r="F25" s="9" t="s">
        <v>27</v>
      </c>
      <c r="G25" s="9">
        <v>209</v>
      </c>
      <c r="H25" s="9">
        <v>695</v>
      </c>
      <c r="I25" s="9">
        <v>70</v>
      </c>
      <c r="J25" s="11">
        <v>4.5</v>
      </c>
      <c r="K25" s="9">
        <v>107687</v>
      </c>
      <c r="L25" s="9">
        <v>4.4859774076301893</v>
      </c>
      <c r="M25" s="9" t="s">
        <v>28</v>
      </c>
      <c r="N25" s="9" t="s">
        <v>29</v>
      </c>
      <c r="O25" s="9">
        <v>89.2</v>
      </c>
      <c r="P25" s="9" t="s">
        <v>36</v>
      </c>
      <c r="Q25" s="9" t="b">
        <v>1</v>
      </c>
      <c r="R25" s="9" t="b">
        <v>0</v>
      </c>
      <c r="S25" s="9" t="b">
        <v>0</v>
      </c>
      <c r="T25" s="9">
        <v>0.7</v>
      </c>
      <c r="U25" s="9">
        <v>1</v>
      </c>
      <c r="V25" s="9" t="b">
        <v>1</v>
      </c>
      <c r="W25" s="9" t="s">
        <v>112</v>
      </c>
    </row>
    <row r="26" spans="1:23" ht="29" customHeight="1" x14ac:dyDescent="0.2">
      <c r="A26" s="9" t="s">
        <v>113</v>
      </c>
      <c r="B26" s="10" t="s">
        <v>114</v>
      </c>
      <c r="C26" s="9" t="s">
        <v>44</v>
      </c>
      <c r="D26" s="9" t="s">
        <v>44</v>
      </c>
      <c r="E26" s="9" t="s">
        <v>45</v>
      </c>
      <c r="F26" s="9" t="s">
        <v>57</v>
      </c>
      <c r="G26" s="9">
        <v>19999</v>
      </c>
      <c r="H26" s="9">
        <v>34999</v>
      </c>
      <c r="I26" s="9">
        <v>43</v>
      </c>
      <c r="J26" s="11">
        <v>4.3</v>
      </c>
      <c r="K26" s="9">
        <v>27151</v>
      </c>
      <c r="L26" s="9">
        <v>4.2737877979420258</v>
      </c>
      <c r="M26" s="9" t="s">
        <v>28</v>
      </c>
      <c r="N26" s="9" t="s">
        <v>58</v>
      </c>
      <c r="O26" s="9">
        <v>57</v>
      </c>
      <c r="P26" s="9" t="s">
        <v>53</v>
      </c>
      <c r="Q26" s="9" t="b">
        <v>0</v>
      </c>
      <c r="R26" s="9" t="b">
        <v>0</v>
      </c>
      <c r="S26" s="9" t="b">
        <v>0</v>
      </c>
      <c r="T26" s="9">
        <v>1.05</v>
      </c>
      <c r="U26" s="9">
        <v>1</v>
      </c>
      <c r="V26" s="9" t="b">
        <v>1</v>
      </c>
      <c r="W26" s="9" t="s">
        <v>115</v>
      </c>
    </row>
    <row r="27" spans="1:23" ht="29" customHeight="1" x14ac:dyDescent="0.2">
      <c r="A27" s="9" t="s">
        <v>116</v>
      </c>
      <c r="B27" s="10" t="s">
        <v>117</v>
      </c>
      <c r="C27" s="9" t="s">
        <v>25</v>
      </c>
      <c r="D27" s="9" t="s">
        <v>25</v>
      </c>
      <c r="E27" s="9" t="s">
        <v>26</v>
      </c>
      <c r="F27" s="9" t="s">
        <v>27</v>
      </c>
      <c r="G27" s="9">
        <v>399</v>
      </c>
      <c r="H27" s="9">
        <v>1099</v>
      </c>
      <c r="I27" s="9">
        <v>64</v>
      </c>
      <c r="J27" s="11">
        <v>4.2</v>
      </c>
      <c r="K27" s="9">
        <v>24269</v>
      </c>
      <c r="L27" s="9">
        <v>4.1845152450522027</v>
      </c>
      <c r="M27" s="9" t="s">
        <v>28</v>
      </c>
      <c r="N27" s="9" t="s">
        <v>29</v>
      </c>
      <c r="O27" s="9">
        <v>69.099999999999994</v>
      </c>
      <c r="P27" s="9" t="s">
        <v>36</v>
      </c>
      <c r="Q27" s="9" t="b">
        <v>0</v>
      </c>
      <c r="R27" s="9" t="b">
        <v>0</v>
      </c>
      <c r="S27" s="9" t="b">
        <v>0</v>
      </c>
      <c r="T27" s="9">
        <v>1.33</v>
      </c>
      <c r="U27" s="9">
        <v>6</v>
      </c>
      <c r="V27" s="9" t="b">
        <v>0</v>
      </c>
      <c r="W27" s="9" t="s">
        <v>118</v>
      </c>
    </row>
    <row r="28" spans="1:23" ht="29" customHeight="1" x14ac:dyDescent="0.2">
      <c r="A28" s="9" t="s">
        <v>119</v>
      </c>
      <c r="B28" s="10" t="s">
        <v>120</v>
      </c>
      <c r="C28" s="9" t="s">
        <v>25</v>
      </c>
      <c r="D28" s="9" t="s">
        <v>25</v>
      </c>
      <c r="E28" s="9" t="s">
        <v>26</v>
      </c>
      <c r="F28" s="9" t="s">
        <v>27</v>
      </c>
      <c r="G28" s="9">
        <v>59</v>
      </c>
      <c r="H28" s="9">
        <v>199</v>
      </c>
      <c r="I28" s="9">
        <v>70</v>
      </c>
      <c r="J28" s="11">
        <v>4</v>
      </c>
      <c r="K28" s="9">
        <v>9378</v>
      </c>
      <c r="L28" s="9">
        <v>4.0242334075324999</v>
      </c>
      <c r="M28" s="9" t="s">
        <v>28</v>
      </c>
      <c r="N28" s="9" t="s">
        <v>29</v>
      </c>
      <c r="O28" s="9">
        <v>54.2</v>
      </c>
      <c r="P28" s="9" t="s">
        <v>53</v>
      </c>
      <c r="Q28" s="9" t="b">
        <v>0</v>
      </c>
      <c r="R28" s="9" t="b">
        <v>0</v>
      </c>
      <c r="S28" s="9" t="b">
        <v>0</v>
      </c>
      <c r="T28" s="9">
        <v>0.2</v>
      </c>
      <c r="U28" s="9">
        <v>8</v>
      </c>
      <c r="V28" s="9" t="b">
        <v>0</v>
      </c>
      <c r="W28" s="9" t="s">
        <v>121</v>
      </c>
    </row>
    <row r="29" spans="1:23" ht="29" customHeight="1" x14ac:dyDescent="0.2">
      <c r="A29" s="9" t="s">
        <v>122</v>
      </c>
      <c r="B29" s="10" t="s">
        <v>123</v>
      </c>
      <c r="C29" s="9" t="s">
        <v>25</v>
      </c>
      <c r="D29" s="9" t="s">
        <v>25</v>
      </c>
      <c r="E29" s="9" t="s">
        <v>26</v>
      </c>
      <c r="F29" s="9" t="s">
        <v>27</v>
      </c>
      <c r="G29" s="9">
        <v>333</v>
      </c>
      <c r="H29" s="9">
        <v>999</v>
      </c>
      <c r="I29" s="9">
        <v>67</v>
      </c>
      <c r="J29" s="11">
        <v>3.3</v>
      </c>
      <c r="K29" s="9">
        <v>9792</v>
      </c>
      <c r="L29" s="9">
        <v>3.5178014011347378</v>
      </c>
      <c r="M29" s="9" t="s">
        <v>28</v>
      </c>
      <c r="N29" s="9" t="s">
        <v>29</v>
      </c>
      <c r="O29" s="9">
        <v>35.299999999999997</v>
      </c>
      <c r="P29" s="9" t="s">
        <v>40</v>
      </c>
      <c r="Q29" s="9" t="b">
        <v>0</v>
      </c>
      <c r="R29" s="9" t="b">
        <v>0</v>
      </c>
      <c r="S29" s="9" t="b">
        <v>1</v>
      </c>
      <c r="T29" s="9">
        <v>1.1100000000000001</v>
      </c>
      <c r="U29" s="9">
        <v>1</v>
      </c>
      <c r="V29" s="9" t="b">
        <v>1</v>
      </c>
      <c r="W29" s="9" t="s">
        <v>124</v>
      </c>
    </row>
    <row r="30" spans="1:23" ht="29" customHeight="1" x14ac:dyDescent="0.2">
      <c r="A30" s="9" t="s">
        <v>125</v>
      </c>
      <c r="B30" s="10" t="s">
        <v>126</v>
      </c>
      <c r="C30" s="9" t="s">
        <v>25</v>
      </c>
      <c r="D30" s="9" t="s">
        <v>25</v>
      </c>
      <c r="E30" s="9" t="s">
        <v>34</v>
      </c>
      <c r="F30" s="9" t="s">
        <v>35</v>
      </c>
      <c r="G30" s="9">
        <v>507</v>
      </c>
      <c r="H30" s="9">
        <v>1208</v>
      </c>
      <c r="I30" s="9">
        <v>58</v>
      </c>
      <c r="J30" s="11">
        <v>4.0999999999999996</v>
      </c>
      <c r="K30" s="9">
        <v>8131</v>
      </c>
      <c r="L30" s="9">
        <v>4.0951392854652378</v>
      </c>
      <c r="M30" s="9" t="s">
        <v>28</v>
      </c>
      <c r="N30" s="9" t="s">
        <v>93</v>
      </c>
      <c r="O30" s="9">
        <v>60.8</v>
      </c>
      <c r="P30" s="9" t="s">
        <v>36</v>
      </c>
      <c r="Q30" s="9" t="b">
        <v>0</v>
      </c>
      <c r="R30" s="9" t="b">
        <v>0</v>
      </c>
      <c r="S30" s="9" t="b">
        <v>0</v>
      </c>
      <c r="T30" s="9">
        <v>1</v>
      </c>
      <c r="U30" s="9">
        <v>1</v>
      </c>
      <c r="V30" s="9" t="b">
        <v>1</v>
      </c>
      <c r="W30" s="9" t="s">
        <v>127</v>
      </c>
    </row>
    <row r="31" spans="1:23" ht="29" customHeight="1" x14ac:dyDescent="0.2">
      <c r="A31" s="9" t="s">
        <v>128</v>
      </c>
      <c r="B31" s="10" t="s">
        <v>129</v>
      </c>
      <c r="C31" s="9" t="s">
        <v>44</v>
      </c>
      <c r="D31" s="9" t="s">
        <v>44</v>
      </c>
      <c r="E31" s="9" t="s">
        <v>45</v>
      </c>
      <c r="F31" s="9" t="s">
        <v>46</v>
      </c>
      <c r="G31" s="9">
        <v>309</v>
      </c>
      <c r="H31" s="9">
        <v>475</v>
      </c>
      <c r="I31" s="9">
        <v>35</v>
      </c>
      <c r="J31" s="11">
        <v>4.4000000000000004</v>
      </c>
      <c r="K31" s="9">
        <v>426973</v>
      </c>
      <c r="L31" s="9">
        <v>4.3972452679003267</v>
      </c>
      <c r="M31" s="9" t="s">
        <v>28</v>
      </c>
      <c r="N31" s="9" t="s">
        <v>29</v>
      </c>
      <c r="O31" s="9">
        <v>75.7</v>
      </c>
      <c r="P31" s="9" t="s">
        <v>36</v>
      </c>
      <c r="Q31" s="9" t="b">
        <v>0</v>
      </c>
      <c r="R31" s="9" t="b">
        <v>0</v>
      </c>
      <c r="S31" s="9" t="b">
        <v>0</v>
      </c>
      <c r="T31" s="9">
        <v>0.81</v>
      </c>
      <c r="U31" s="9">
        <v>3</v>
      </c>
      <c r="V31" s="9" t="b">
        <v>0</v>
      </c>
      <c r="W31" s="9" t="s">
        <v>130</v>
      </c>
    </row>
    <row r="32" spans="1:23" ht="29" customHeight="1" x14ac:dyDescent="0.2">
      <c r="A32" s="9" t="s">
        <v>131</v>
      </c>
      <c r="B32" s="10" t="s">
        <v>132</v>
      </c>
      <c r="C32" s="9" t="s">
        <v>44</v>
      </c>
      <c r="D32" s="9" t="s">
        <v>44</v>
      </c>
      <c r="E32" s="9" t="s">
        <v>45</v>
      </c>
      <c r="F32" s="9" t="s">
        <v>133</v>
      </c>
      <c r="G32" s="9">
        <v>399</v>
      </c>
      <c r="H32" s="9">
        <v>999</v>
      </c>
      <c r="I32" s="9">
        <v>60</v>
      </c>
      <c r="J32" s="11">
        <v>3.6</v>
      </c>
      <c r="K32" s="9">
        <v>493</v>
      </c>
      <c r="L32" s="9">
        <v>4.0284899757210244</v>
      </c>
      <c r="M32" s="9" t="s">
        <v>89</v>
      </c>
      <c r="N32" s="9" t="s">
        <v>29</v>
      </c>
      <c r="O32" s="9">
        <v>48.9</v>
      </c>
      <c r="P32" s="9" t="s">
        <v>30</v>
      </c>
      <c r="Q32" s="9" t="b">
        <v>0</v>
      </c>
      <c r="R32" s="9" t="b">
        <v>0</v>
      </c>
      <c r="S32" s="9" t="b">
        <v>1</v>
      </c>
      <c r="T32" s="9">
        <v>1.1599999999999999</v>
      </c>
      <c r="U32" s="9">
        <v>1</v>
      </c>
      <c r="V32" s="9" t="b">
        <v>1</v>
      </c>
      <c r="W32" s="9" t="s">
        <v>134</v>
      </c>
    </row>
    <row r="33" spans="1:23" ht="29" customHeight="1" x14ac:dyDescent="0.2">
      <c r="A33" s="9" t="s">
        <v>135</v>
      </c>
      <c r="B33" s="10" t="s">
        <v>136</v>
      </c>
      <c r="C33" s="9" t="s">
        <v>25</v>
      </c>
      <c r="D33" s="9" t="s">
        <v>25</v>
      </c>
      <c r="E33" s="9" t="s">
        <v>26</v>
      </c>
      <c r="F33" s="9" t="s">
        <v>27</v>
      </c>
      <c r="G33" s="9">
        <v>199</v>
      </c>
      <c r="H33" s="9">
        <v>395</v>
      </c>
      <c r="I33" s="9">
        <v>50</v>
      </c>
      <c r="J33" s="11">
        <v>4.2</v>
      </c>
      <c r="K33" s="9">
        <v>92595</v>
      </c>
      <c r="L33" s="9">
        <v>4.1954953074922123</v>
      </c>
      <c r="M33" s="9" t="s">
        <v>28</v>
      </c>
      <c r="N33" s="9" t="s">
        <v>29</v>
      </c>
      <c r="O33" s="9">
        <v>69.5</v>
      </c>
      <c r="P33" s="9" t="s">
        <v>36</v>
      </c>
      <c r="Q33" s="9" t="b">
        <v>0</v>
      </c>
      <c r="R33" s="9" t="b">
        <v>0</v>
      </c>
      <c r="S33" s="9" t="b">
        <v>0</v>
      </c>
      <c r="T33" s="9">
        <v>0.67</v>
      </c>
      <c r="U33" s="9">
        <v>2</v>
      </c>
      <c r="V33" s="9" t="b">
        <v>1</v>
      </c>
      <c r="W33" s="9" t="s">
        <v>137</v>
      </c>
    </row>
    <row r="34" spans="1:23" ht="29" customHeight="1" x14ac:dyDescent="0.2">
      <c r="A34" s="9" t="s">
        <v>138</v>
      </c>
      <c r="B34" s="10" t="s">
        <v>139</v>
      </c>
      <c r="C34" s="9" t="s">
        <v>25</v>
      </c>
      <c r="D34" s="9" t="s">
        <v>25</v>
      </c>
      <c r="E34" s="9" t="s">
        <v>26</v>
      </c>
      <c r="F34" s="9" t="s">
        <v>27</v>
      </c>
      <c r="G34" s="9">
        <v>179</v>
      </c>
      <c r="H34" s="9">
        <v>500</v>
      </c>
      <c r="I34" s="9">
        <v>64</v>
      </c>
      <c r="J34" s="11">
        <v>4.2</v>
      </c>
      <c r="K34" s="9">
        <v>92595</v>
      </c>
      <c r="L34" s="9">
        <v>4.1954953074922123</v>
      </c>
      <c r="M34" s="9" t="s">
        <v>28</v>
      </c>
      <c r="N34" s="9" t="s">
        <v>29</v>
      </c>
      <c r="O34" s="9">
        <v>77.7</v>
      </c>
      <c r="P34" s="9" t="s">
        <v>36</v>
      </c>
      <c r="Q34" s="9" t="b">
        <v>0</v>
      </c>
      <c r="R34" s="9" t="b">
        <v>0</v>
      </c>
      <c r="S34" s="9" t="b">
        <v>0</v>
      </c>
      <c r="T34" s="9">
        <v>0.6</v>
      </c>
      <c r="U34" s="9">
        <v>2</v>
      </c>
      <c r="V34" s="9" t="b">
        <v>0</v>
      </c>
      <c r="W34" s="9" t="s">
        <v>140</v>
      </c>
    </row>
    <row r="35" spans="1:23" ht="29" customHeight="1" x14ac:dyDescent="0.2">
      <c r="A35" s="9" t="s">
        <v>141</v>
      </c>
      <c r="B35" s="10" t="s">
        <v>142</v>
      </c>
      <c r="C35" s="9" t="s">
        <v>44</v>
      </c>
      <c r="D35" s="9" t="s">
        <v>44</v>
      </c>
      <c r="E35" s="9" t="s">
        <v>45</v>
      </c>
      <c r="F35" s="9" t="s">
        <v>143</v>
      </c>
      <c r="G35" s="9">
        <v>6999</v>
      </c>
      <c r="H35" s="9">
        <v>12999</v>
      </c>
      <c r="I35" s="9">
        <v>46</v>
      </c>
      <c r="J35" s="11">
        <v>4.2</v>
      </c>
      <c r="K35" s="9">
        <v>4003</v>
      </c>
      <c r="L35" s="9">
        <v>4.1441039329960478</v>
      </c>
      <c r="M35" s="9" t="s">
        <v>28</v>
      </c>
      <c r="N35" s="9" t="s">
        <v>144</v>
      </c>
      <c r="O35" s="9">
        <v>48.9</v>
      </c>
      <c r="P35" s="9" t="s">
        <v>30</v>
      </c>
      <c r="Q35" s="9" t="b">
        <v>0</v>
      </c>
      <c r="R35" s="9" t="b">
        <v>0</v>
      </c>
      <c r="S35" s="9" t="b">
        <v>0</v>
      </c>
      <c r="U35" s="9">
        <v>2</v>
      </c>
      <c r="V35" s="9" t="b">
        <v>1</v>
      </c>
      <c r="W35" s="9" t="s">
        <v>145</v>
      </c>
    </row>
    <row r="36" spans="1:23" ht="29" customHeight="1" x14ac:dyDescent="0.2">
      <c r="A36" s="9" t="s">
        <v>146</v>
      </c>
      <c r="B36" s="10" t="s">
        <v>147</v>
      </c>
      <c r="C36" s="9" t="s">
        <v>25</v>
      </c>
      <c r="D36" s="9" t="s">
        <v>25</v>
      </c>
      <c r="E36" s="9" t="s">
        <v>26</v>
      </c>
      <c r="F36" s="9" t="s">
        <v>27</v>
      </c>
      <c r="G36" s="9">
        <v>199</v>
      </c>
      <c r="H36" s="9">
        <v>349</v>
      </c>
      <c r="I36" s="9">
        <v>43</v>
      </c>
      <c r="J36" s="11">
        <v>4.0999999999999996</v>
      </c>
      <c r="K36" s="9">
        <v>314</v>
      </c>
      <c r="L36" s="9">
        <v>4.0858184942182794</v>
      </c>
      <c r="M36" s="9" t="s">
        <v>89</v>
      </c>
      <c r="N36" s="9" t="s">
        <v>29</v>
      </c>
      <c r="O36" s="9">
        <v>46.1</v>
      </c>
      <c r="P36" s="9" t="s">
        <v>30</v>
      </c>
      <c r="Q36" s="9" t="b">
        <v>0</v>
      </c>
      <c r="R36" s="9" t="b">
        <v>0</v>
      </c>
      <c r="S36" s="9" t="b">
        <v>0</v>
      </c>
      <c r="T36" s="9">
        <v>0.67</v>
      </c>
      <c r="U36" s="9">
        <v>1</v>
      </c>
      <c r="V36" s="9" t="b">
        <v>1</v>
      </c>
      <c r="W36" s="9" t="s">
        <v>148</v>
      </c>
    </row>
    <row r="37" spans="1:23" ht="29" customHeight="1" x14ac:dyDescent="0.2">
      <c r="A37" s="9" t="s">
        <v>149</v>
      </c>
      <c r="B37" s="10" t="s">
        <v>150</v>
      </c>
      <c r="C37" s="9" t="s">
        <v>44</v>
      </c>
      <c r="D37" s="9" t="s">
        <v>44</v>
      </c>
      <c r="E37" s="9" t="s">
        <v>45</v>
      </c>
      <c r="F37" s="9" t="s">
        <v>133</v>
      </c>
      <c r="G37" s="9">
        <v>230</v>
      </c>
      <c r="H37" s="9">
        <v>499</v>
      </c>
      <c r="I37" s="9">
        <v>54</v>
      </c>
      <c r="J37" s="11">
        <v>3.7</v>
      </c>
      <c r="K37" s="9">
        <v>2960</v>
      </c>
      <c r="L37" s="9">
        <v>3.915275432009047</v>
      </c>
      <c r="M37" s="9" t="s">
        <v>28</v>
      </c>
      <c r="N37" s="9" t="s">
        <v>29</v>
      </c>
      <c r="O37" s="9">
        <v>39.9</v>
      </c>
      <c r="P37" s="9" t="s">
        <v>30</v>
      </c>
      <c r="Q37" s="9" t="b">
        <v>0</v>
      </c>
      <c r="R37" s="9" t="b">
        <v>0</v>
      </c>
      <c r="S37" s="9" t="b">
        <v>1</v>
      </c>
      <c r="T37" s="9">
        <v>0.67</v>
      </c>
      <c r="U37" s="9">
        <v>1</v>
      </c>
      <c r="V37" s="9" t="b">
        <v>1</v>
      </c>
      <c r="W37" s="9" t="s">
        <v>151</v>
      </c>
    </row>
    <row r="38" spans="1:23" ht="29" customHeight="1" x14ac:dyDescent="0.2">
      <c r="A38" s="9" t="s">
        <v>152</v>
      </c>
      <c r="B38" s="10" t="s">
        <v>153</v>
      </c>
      <c r="C38" s="9" t="s">
        <v>25</v>
      </c>
      <c r="D38" s="9" t="s">
        <v>25</v>
      </c>
      <c r="E38" s="9" t="s">
        <v>34</v>
      </c>
      <c r="F38" s="9" t="s">
        <v>35</v>
      </c>
      <c r="G38" s="9">
        <v>649</v>
      </c>
      <c r="H38" s="9">
        <v>1399</v>
      </c>
      <c r="I38" s="9">
        <v>54</v>
      </c>
      <c r="J38" s="11">
        <v>4.2</v>
      </c>
      <c r="K38" s="9">
        <v>179691</v>
      </c>
      <c r="L38" s="9">
        <v>4.1976339458864551</v>
      </c>
      <c r="M38" s="9" t="s">
        <v>28</v>
      </c>
      <c r="N38" s="9" t="s">
        <v>93</v>
      </c>
      <c r="O38" s="9">
        <v>72.3</v>
      </c>
      <c r="P38" s="9" t="s">
        <v>36</v>
      </c>
      <c r="Q38" s="9" t="b">
        <v>0</v>
      </c>
      <c r="R38" s="9" t="b">
        <v>0</v>
      </c>
      <c r="S38" s="9" t="b">
        <v>0</v>
      </c>
      <c r="T38" s="9">
        <v>1.28</v>
      </c>
      <c r="U38" s="9">
        <v>3</v>
      </c>
      <c r="V38" s="9" t="b">
        <v>0</v>
      </c>
      <c r="W38" s="9" t="s">
        <v>154</v>
      </c>
    </row>
    <row r="39" spans="1:23" ht="29" customHeight="1" x14ac:dyDescent="0.2">
      <c r="A39" s="9" t="s">
        <v>155</v>
      </c>
      <c r="B39" s="10" t="s">
        <v>156</v>
      </c>
      <c r="C39" s="9" t="s">
        <v>44</v>
      </c>
      <c r="D39" s="9" t="s">
        <v>44</v>
      </c>
      <c r="E39" s="9" t="s">
        <v>45</v>
      </c>
      <c r="F39" s="9" t="s">
        <v>57</v>
      </c>
      <c r="G39" s="9">
        <v>15999</v>
      </c>
      <c r="H39" s="9">
        <v>21999</v>
      </c>
      <c r="I39" s="9">
        <v>27</v>
      </c>
      <c r="J39" s="11">
        <v>4.2</v>
      </c>
      <c r="K39" s="9">
        <v>34899</v>
      </c>
      <c r="L39" s="9">
        <v>4.1887727866658251</v>
      </c>
      <c r="M39" s="9" t="s">
        <v>28</v>
      </c>
      <c r="N39" s="9" t="s">
        <v>58</v>
      </c>
      <c r="O39" s="9">
        <v>45.1</v>
      </c>
      <c r="P39" s="9" t="s">
        <v>30</v>
      </c>
      <c r="Q39" s="9" t="b">
        <v>0</v>
      </c>
      <c r="R39" s="9" t="b">
        <v>0</v>
      </c>
      <c r="S39" s="9" t="b">
        <v>0</v>
      </c>
      <c r="T39" s="9">
        <v>0.84</v>
      </c>
      <c r="U39" s="9">
        <v>3</v>
      </c>
      <c r="V39" s="9" t="b">
        <v>0</v>
      </c>
      <c r="W39" s="9" t="s">
        <v>157</v>
      </c>
    </row>
    <row r="40" spans="1:23" ht="29" customHeight="1" x14ac:dyDescent="0.2">
      <c r="A40" s="9" t="s">
        <v>158</v>
      </c>
      <c r="B40" s="10" t="s">
        <v>159</v>
      </c>
      <c r="C40" s="9" t="s">
        <v>44</v>
      </c>
      <c r="D40" s="9" t="s">
        <v>44</v>
      </c>
      <c r="E40" s="9" t="s">
        <v>45</v>
      </c>
      <c r="F40" s="9" t="s">
        <v>133</v>
      </c>
      <c r="G40" s="9">
        <v>179</v>
      </c>
      <c r="H40" s="9">
        <v>799</v>
      </c>
      <c r="I40" s="9">
        <v>78</v>
      </c>
      <c r="J40" s="11">
        <v>3.7</v>
      </c>
      <c r="K40" s="9">
        <v>2201</v>
      </c>
      <c r="L40" s="9">
        <v>3.942674451526925</v>
      </c>
      <c r="M40" s="9" t="s">
        <v>28</v>
      </c>
      <c r="N40" s="9" t="s">
        <v>29</v>
      </c>
      <c r="O40" s="9">
        <v>52</v>
      </c>
      <c r="P40" s="9" t="s">
        <v>53</v>
      </c>
      <c r="Q40" s="9" t="b">
        <v>0</v>
      </c>
      <c r="R40" s="9" t="b">
        <v>0</v>
      </c>
      <c r="S40" s="9" t="b">
        <v>1</v>
      </c>
      <c r="T40" s="9">
        <v>0.52</v>
      </c>
      <c r="U40" s="9">
        <v>1</v>
      </c>
      <c r="V40" s="9" t="b">
        <v>1</v>
      </c>
      <c r="W40" s="9" t="s">
        <v>160</v>
      </c>
    </row>
    <row r="41" spans="1:23" ht="29" customHeight="1" x14ac:dyDescent="0.2">
      <c r="A41" s="9" t="s">
        <v>161</v>
      </c>
      <c r="B41" s="10" t="s">
        <v>162</v>
      </c>
      <c r="C41" s="9" t="s">
        <v>44</v>
      </c>
      <c r="D41" s="9" t="s">
        <v>44</v>
      </c>
      <c r="E41" s="9" t="s">
        <v>45</v>
      </c>
      <c r="F41" s="9" t="s">
        <v>57</v>
      </c>
      <c r="G41" s="9">
        <v>32990</v>
      </c>
      <c r="H41" s="9">
        <v>47900</v>
      </c>
      <c r="I41" s="9">
        <v>31</v>
      </c>
      <c r="J41" s="11">
        <v>4.3</v>
      </c>
      <c r="K41" s="9">
        <v>7109</v>
      </c>
      <c r="L41" s="9">
        <v>4.2254646637244919</v>
      </c>
      <c r="M41" s="9" t="s">
        <v>28</v>
      </c>
      <c r="N41" s="9" t="s">
        <v>58</v>
      </c>
      <c r="O41" s="9">
        <v>49.1</v>
      </c>
      <c r="P41" s="9" t="s">
        <v>30</v>
      </c>
      <c r="Q41" s="9" t="b">
        <v>0</v>
      </c>
      <c r="R41" s="9" t="b">
        <v>0</v>
      </c>
      <c r="S41" s="9" t="b">
        <v>0</v>
      </c>
      <c r="T41" s="9">
        <v>1.74</v>
      </c>
      <c r="U41" s="9">
        <v>4</v>
      </c>
      <c r="V41" s="9" t="b">
        <v>1</v>
      </c>
      <c r="W41" s="9" t="s">
        <v>163</v>
      </c>
    </row>
    <row r="42" spans="1:23" ht="29" customHeight="1" x14ac:dyDescent="0.2">
      <c r="A42" s="9" t="s">
        <v>164</v>
      </c>
      <c r="B42" s="10" t="s">
        <v>165</v>
      </c>
      <c r="C42" s="9" t="s">
        <v>25</v>
      </c>
      <c r="D42" s="9" t="s">
        <v>25</v>
      </c>
      <c r="E42" s="9" t="s">
        <v>26</v>
      </c>
      <c r="F42" s="9" t="s">
        <v>27</v>
      </c>
      <c r="G42" s="9">
        <v>329</v>
      </c>
      <c r="H42" s="9">
        <v>845</v>
      </c>
      <c r="I42" s="9">
        <v>61</v>
      </c>
      <c r="J42" s="11">
        <v>4.2</v>
      </c>
      <c r="K42" s="9">
        <v>29746</v>
      </c>
      <c r="L42" s="9">
        <v>4.1870462447343453</v>
      </c>
      <c r="M42" s="9" t="s">
        <v>28</v>
      </c>
      <c r="N42" s="9" t="s">
        <v>29</v>
      </c>
      <c r="O42" s="9">
        <v>70.099999999999994</v>
      </c>
      <c r="P42" s="9" t="s">
        <v>36</v>
      </c>
      <c r="Q42" s="9" t="b">
        <v>0</v>
      </c>
      <c r="R42" s="9" t="b">
        <v>0</v>
      </c>
      <c r="S42" s="9" t="b">
        <v>0</v>
      </c>
      <c r="T42" s="9">
        <v>1.1000000000000001</v>
      </c>
      <c r="U42" s="9">
        <v>2</v>
      </c>
      <c r="V42" s="9" t="b">
        <v>1</v>
      </c>
      <c r="W42" s="9" t="s">
        <v>166</v>
      </c>
    </row>
    <row r="43" spans="1:23" ht="29" customHeight="1" x14ac:dyDescent="0.2">
      <c r="A43" s="9" t="s">
        <v>167</v>
      </c>
      <c r="B43" s="10" t="s">
        <v>168</v>
      </c>
      <c r="C43" s="9" t="s">
        <v>44</v>
      </c>
      <c r="D43" s="9" t="s">
        <v>44</v>
      </c>
      <c r="E43" s="9" t="s">
        <v>45</v>
      </c>
      <c r="F43" s="9" t="s">
        <v>57</v>
      </c>
      <c r="G43" s="9">
        <v>13999</v>
      </c>
      <c r="H43" s="9">
        <v>24999</v>
      </c>
      <c r="I43" s="9">
        <v>44</v>
      </c>
      <c r="J43" s="11">
        <v>4.2</v>
      </c>
      <c r="K43" s="9">
        <v>45238</v>
      </c>
      <c r="L43" s="9">
        <v>4.1911417045067054</v>
      </c>
      <c r="M43" s="9" t="s">
        <v>28</v>
      </c>
      <c r="N43" s="9" t="s">
        <v>58</v>
      </c>
      <c r="O43" s="9">
        <v>52.6</v>
      </c>
      <c r="P43" s="9" t="s">
        <v>53</v>
      </c>
      <c r="Q43" s="9" t="b">
        <v>0</v>
      </c>
      <c r="R43" s="9" t="b">
        <v>0</v>
      </c>
      <c r="S43" s="9" t="b">
        <v>0</v>
      </c>
      <c r="T43" s="9">
        <v>0.74</v>
      </c>
      <c r="U43" s="9">
        <v>3</v>
      </c>
      <c r="V43" s="9" t="b">
        <v>1</v>
      </c>
      <c r="W43" s="9" t="s">
        <v>169</v>
      </c>
    </row>
    <row r="44" spans="1:23" ht="29" customHeight="1" x14ac:dyDescent="0.2">
      <c r="A44" s="9" t="s">
        <v>170</v>
      </c>
      <c r="B44" s="10" t="s">
        <v>171</v>
      </c>
      <c r="C44" s="9" t="s">
        <v>44</v>
      </c>
      <c r="D44" s="9" t="s">
        <v>44</v>
      </c>
      <c r="E44" s="9" t="s">
        <v>45</v>
      </c>
      <c r="F44" s="9" t="s">
        <v>46</v>
      </c>
      <c r="G44" s="9">
        <v>309</v>
      </c>
      <c r="H44" s="9">
        <v>1400</v>
      </c>
      <c r="I44" s="9">
        <v>78</v>
      </c>
      <c r="J44" s="11">
        <v>4.4000000000000004</v>
      </c>
      <c r="K44" s="9">
        <v>426973</v>
      </c>
      <c r="L44" s="9">
        <v>4.3972452679003267</v>
      </c>
      <c r="M44" s="9" t="s">
        <v>28</v>
      </c>
      <c r="N44" s="9" t="s">
        <v>29</v>
      </c>
      <c r="O44" s="9">
        <v>94.7</v>
      </c>
      <c r="P44" s="9" t="s">
        <v>36</v>
      </c>
      <c r="Q44" s="9" t="b">
        <v>0</v>
      </c>
      <c r="R44" s="9" t="b">
        <v>0</v>
      </c>
      <c r="S44" s="9" t="b">
        <v>0</v>
      </c>
      <c r="T44" s="9">
        <v>0.81</v>
      </c>
      <c r="U44" s="9">
        <v>3</v>
      </c>
      <c r="V44" s="9" t="b">
        <v>0</v>
      </c>
      <c r="W44" s="9" t="s">
        <v>172</v>
      </c>
    </row>
    <row r="45" spans="1:23" ht="29" customHeight="1" x14ac:dyDescent="0.2">
      <c r="A45" s="9" t="s">
        <v>173</v>
      </c>
      <c r="B45" s="10" t="s">
        <v>174</v>
      </c>
      <c r="C45" s="9" t="s">
        <v>44</v>
      </c>
      <c r="D45" s="9" t="s">
        <v>44</v>
      </c>
      <c r="E45" s="9" t="s">
        <v>45</v>
      </c>
      <c r="F45" s="9" t="s">
        <v>143</v>
      </c>
      <c r="G45" s="9">
        <v>7999</v>
      </c>
      <c r="H45" s="9">
        <v>14990</v>
      </c>
      <c r="I45" s="9">
        <v>47</v>
      </c>
      <c r="J45" s="11">
        <v>4.3</v>
      </c>
      <c r="K45" s="9">
        <v>457</v>
      </c>
      <c r="L45" s="9">
        <v>4.1079604435788157</v>
      </c>
      <c r="M45" s="9" t="s">
        <v>89</v>
      </c>
      <c r="N45" s="9" t="s">
        <v>144</v>
      </c>
      <c r="O45" s="9">
        <v>45.8</v>
      </c>
      <c r="P45" s="9" t="s">
        <v>30</v>
      </c>
      <c r="Q45" s="9" t="b">
        <v>0</v>
      </c>
      <c r="R45" s="9" t="b">
        <v>0</v>
      </c>
      <c r="S45" s="9" t="b">
        <v>0</v>
      </c>
      <c r="U45" s="9">
        <v>1</v>
      </c>
      <c r="V45" s="9" t="b">
        <v>1</v>
      </c>
      <c r="W45" s="9" t="s">
        <v>175</v>
      </c>
    </row>
    <row r="46" spans="1:23" ht="29" customHeight="1" x14ac:dyDescent="0.2">
      <c r="A46" s="9" t="s">
        <v>176</v>
      </c>
      <c r="B46" s="10" t="s">
        <v>177</v>
      </c>
      <c r="C46" s="9" t="s">
        <v>44</v>
      </c>
      <c r="D46" s="9" t="s">
        <v>44</v>
      </c>
      <c r="E46" s="9" t="s">
        <v>45</v>
      </c>
      <c r="F46" s="9" t="s">
        <v>178</v>
      </c>
      <c r="G46" s="9">
        <v>1599</v>
      </c>
      <c r="H46" s="9">
        <v>2999</v>
      </c>
      <c r="I46" s="9">
        <v>47</v>
      </c>
      <c r="J46" s="11">
        <v>4.2</v>
      </c>
      <c r="K46" s="9">
        <v>2727</v>
      </c>
      <c r="L46" s="9">
        <v>4.1331133510564477</v>
      </c>
      <c r="M46" s="9" t="s">
        <v>28</v>
      </c>
      <c r="N46" s="9" t="s">
        <v>179</v>
      </c>
      <c r="O46" s="9">
        <v>53.9</v>
      </c>
      <c r="P46" s="9" t="s">
        <v>53</v>
      </c>
      <c r="Q46" s="9" t="b">
        <v>0</v>
      </c>
      <c r="R46" s="9" t="b">
        <v>0</v>
      </c>
      <c r="S46" s="9" t="b">
        <v>0</v>
      </c>
      <c r="U46" s="9">
        <v>1</v>
      </c>
      <c r="V46" s="9" t="b">
        <v>1</v>
      </c>
      <c r="W46" s="9" t="s">
        <v>180</v>
      </c>
    </row>
    <row r="47" spans="1:23" ht="29" customHeight="1" x14ac:dyDescent="0.2">
      <c r="A47" s="9" t="s">
        <v>181</v>
      </c>
      <c r="B47" s="10" t="s">
        <v>182</v>
      </c>
      <c r="C47" s="9" t="s">
        <v>25</v>
      </c>
      <c r="D47" s="9" t="s">
        <v>25</v>
      </c>
      <c r="E47" s="9" t="s">
        <v>26</v>
      </c>
      <c r="F47" s="9" t="s">
        <v>27</v>
      </c>
      <c r="G47" s="9">
        <v>219</v>
      </c>
      <c r="H47" s="9">
        <v>700</v>
      </c>
      <c r="I47" s="9">
        <v>69</v>
      </c>
      <c r="J47" s="11">
        <v>4.3</v>
      </c>
      <c r="K47" s="9">
        <v>20053</v>
      </c>
      <c r="L47" s="9">
        <v>4.2659754820046114</v>
      </c>
      <c r="M47" s="9" t="s">
        <v>28</v>
      </c>
      <c r="N47" s="9" t="s">
        <v>29</v>
      </c>
      <c r="O47" s="9">
        <v>82.3</v>
      </c>
      <c r="P47" s="9" t="s">
        <v>36</v>
      </c>
      <c r="Q47" s="9" t="b">
        <v>1</v>
      </c>
      <c r="R47" s="9" t="b">
        <v>0</v>
      </c>
      <c r="S47" s="9" t="b">
        <v>0</v>
      </c>
      <c r="T47" s="9">
        <v>0.73</v>
      </c>
      <c r="U47" s="9">
        <v>1</v>
      </c>
      <c r="V47" s="9" t="b">
        <v>1</v>
      </c>
      <c r="W47" s="9" t="s">
        <v>183</v>
      </c>
    </row>
    <row r="48" spans="1:23" ht="29" customHeight="1" x14ac:dyDescent="0.2">
      <c r="A48" s="9" t="s">
        <v>184</v>
      </c>
      <c r="B48" s="10" t="s">
        <v>185</v>
      </c>
      <c r="C48" s="9" t="s">
        <v>25</v>
      </c>
      <c r="D48" s="9" t="s">
        <v>25</v>
      </c>
      <c r="E48" s="9" t="s">
        <v>26</v>
      </c>
      <c r="F48" s="9" t="s">
        <v>27</v>
      </c>
      <c r="G48" s="9">
        <v>349</v>
      </c>
      <c r="H48" s="9">
        <v>899</v>
      </c>
      <c r="I48" s="9">
        <v>61</v>
      </c>
      <c r="J48" s="11">
        <v>4.5</v>
      </c>
      <c r="K48" s="9">
        <v>149</v>
      </c>
      <c r="L48" s="9">
        <v>4.1004573927344534</v>
      </c>
      <c r="M48" s="9" t="s">
        <v>89</v>
      </c>
      <c r="N48" s="9" t="s">
        <v>29</v>
      </c>
      <c r="O48" s="9">
        <v>60.6</v>
      </c>
      <c r="P48" s="9" t="s">
        <v>36</v>
      </c>
      <c r="Q48" s="9" t="b">
        <v>0</v>
      </c>
      <c r="R48" s="9" t="b">
        <v>0</v>
      </c>
      <c r="S48" s="9" t="b">
        <v>0</v>
      </c>
      <c r="T48" s="9">
        <v>1.17</v>
      </c>
      <c r="U48" s="9">
        <v>1</v>
      </c>
      <c r="V48" s="9" t="b">
        <v>1</v>
      </c>
      <c r="W48" s="9" t="s">
        <v>186</v>
      </c>
    </row>
    <row r="49" spans="1:23" ht="29" customHeight="1" x14ac:dyDescent="0.2">
      <c r="A49" s="9" t="s">
        <v>187</v>
      </c>
      <c r="B49" s="10" t="s">
        <v>188</v>
      </c>
      <c r="C49" s="9" t="s">
        <v>25</v>
      </c>
      <c r="D49" s="9" t="s">
        <v>25</v>
      </c>
      <c r="E49" s="9" t="s">
        <v>26</v>
      </c>
      <c r="F49" s="9" t="s">
        <v>27</v>
      </c>
      <c r="G49" s="9">
        <v>349</v>
      </c>
      <c r="H49" s="9">
        <v>599</v>
      </c>
      <c r="I49" s="9">
        <v>42</v>
      </c>
      <c r="J49" s="11">
        <v>4.0999999999999996</v>
      </c>
      <c r="K49" s="9">
        <v>210</v>
      </c>
      <c r="L49" s="9">
        <v>4.0854472225754099</v>
      </c>
      <c r="M49" s="9" t="s">
        <v>89</v>
      </c>
      <c r="N49" s="9" t="s">
        <v>29</v>
      </c>
      <c r="O49" s="9">
        <v>40.700000000000003</v>
      </c>
      <c r="P49" s="9" t="s">
        <v>30</v>
      </c>
      <c r="Q49" s="9" t="b">
        <v>0</v>
      </c>
      <c r="R49" s="9" t="b">
        <v>0</v>
      </c>
      <c r="S49" s="9" t="b">
        <v>0</v>
      </c>
      <c r="T49" s="9">
        <v>1.17</v>
      </c>
      <c r="U49" s="9">
        <v>1</v>
      </c>
      <c r="V49" s="9" t="b">
        <v>1</v>
      </c>
      <c r="W49" s="9" t="s">
        <v>189</v>
      </c>
    </row>
    <row r="50" spans="1:23" ht="29" customHeight="1" x14ac:dyDescent="0.2">
      <c r="A50" s="9" t="s">
        <v>190</v>
      </c>
      <c r="B50" s="10" t="s">
        <v>191</v>
      </c>
      <c r="C50" s="9" t="s">
        <v>44</v>
      </c>
      <c r="D50" s="9" t="s">
        <v>44</v>
      </c>
      <c r="E50" s="9" t="s">
        <v>45</v>
      </c>
      <c r="F50" s="9" t="s">
        <v>57</v>
      </c>
      <c r="G50" s="9">
        <v>26999</v>
      </c>
      <c r="H50" s="9">
        <v>42999</v>
      </c>
      <c r="I50" s="9">
        <v>37</v>
      </c>
      <c r="J50" s="11">
        <v>4.2</v>
      </c>
      <c r="K50" s="9">
        <v>45238</v>
      </c>
      <c r="L50" s="9">
        <v>4.1911417045067054</v>
      </c>
      <c r="M50" s="9" t="s">
        <v>28</v>
      </c>
      <c r="N50" s="9" t="s">
        <v>58</v>
      </c>
      <c r="O50" s="9">
        <v>48.7</v>
      </c>
      <c r="P50" s="9" t="s">
        <v>30</v>
      </c>
      <c r="Q50" s="9" t="b">
        <v>0</v>
      </c>
      <c r="R50" s="9" t="b">
        <v>0</v>
      </c>
      <c r="S50" s="9" t="b">
        <v>0</v>
      </c>
      <c r="T50" s="9">
        <v>1.42</v>
      </c>
      <c r="U50" s="9">
        <v>3</v>
      </c>
      <c r="V50" s="9" t="b">
        <v>0</v>
      </c>
      <c r="W50" s="9" t="s">
        <v>192</v>
      </c>
    </row>
    <row r="51" spans="1:23" ht="29" customHeight="1" x14ac:dyDescent="0.2">
      <c r="A51" s="9" t="s">
        <v>193</v>
      </c>
      <c r="B51" s="10" t="s">
        <v>194</v>
      </c>
      <c r="C51" s="9" t="s">
        <v>25</v>
      </c>
      <c r="D51" s="9" t="s">
        <v>25</v>
      </c>
      <c r="E51" s="9" t="s">
        <v>26</v>
      </c>
      <c r="F51" s="9" t="s">
        <v>27</v>
      </c>
      <c r="G51" s="9">
        <v>179</v>
      </c>
      <c r="H51" s="9">
        <v>399</v>
      </c>
      <c r="I51" s="9">
        <v>55</v>
      </c>
      <c r="J51" s="11">
        <v>4</v>
      </c>
      <c r="K51" s="9">
        <v>1423</v>
      </c>
      <c r="L51" s="9">
        <v>4.0614095249601423</v>
      </c>
      <c r="M51" s="9" t="s">
        <v>28</v>
      </c>
      <c r="N51" s="9" t="s">
        <v>29</v>
      </c>
      <c r="O51" s="9">
        <v>47.9</v>
      </c>
      <c r="P51" s="9" t="s">
        <v>30</v>
      </c>
      <c r="Q51" s="9" t="b">
        <v>0</v>
      </c>
      <c r="R51" s="9" t="b">
        <v>0</v>
      </c>
      <c r="S51" s="9" t="b">
        <v>0</v>
      </c>
      <c r="T51" s="9">
        <v>0.6</v>
      </c>
      <c r="U51" s="9">
        <v>3</v>
      </c>
      <c r="V51" s="9" t="b">
        <v>1</v>
      </c>
      <c r="W51" s="9" t="s">
        <v>195</v>
      </c>
    </row>
    <row r="52" spans="1:23" ht="29" customHeight="1" x14ac:dyDescent="0.2">
      <c r="A52" s="9" t="s">
        <v>196</v>
      </c>
      <c r="B52" s="10" t="s">
        <v>197</v>
      </c>
      <c r="C52" s="9" t="s">
        <v>44</v>
      </c>
      <c r="D52" s="9" t="s">
        <v>44</v>
      </c>
      <c r="E52" s="9" t="s">
        <v>45</v>
      </c>
      <c r="F52" s="9" t="s">
        <v>57</v>
      </c>
      <c r="G52" s="9">
        <v>10901</v>
      </c>
      <c r="H52" s="9">
        <v>30990</v>
      </c>
      <c r="I52" s="9">
        <v>65</v>
      </c>
      <c r="J52" s="11">
        <v>4.0999999999999996</v>
      </c>
      <c r="K52" s="9">
        <v>398</v>
      </c>
      <c r="L52" s="9">
        <v>4.0861048171327523</v>
      </c>
      <c r="M52" s="9" t="s">
        <v>89</v>
      </c>
      <c r="N52" s="9" t="s">
        <v>58</v>
      </c>
      <c r="O52" s="9">
        <v>44.7</v>
      </c>
      <c r="P52" s="9" t="s">
        <v>30</v>
      </c>
      <c r="Q52" s="9" t="b">
        <v>0</v>
      </c>
      <c r="R52" s="9" t="b">
        <v>0</v>
      </c>
      <c r="S52" s="9" t="b">
        <v>0</v>
      </c>
      <c r="T52" s="9">
        <v>0.56999999999999995</v>
      </c>
      <c r="U52" s="9">
        <v>1</v>
      </c>
      <c r="V52" s="9" t="b">
        <v>1</v>
      </c>
      <c r="W52" s="9" t="s">
        <v>198</v>
      </c>
    </row>
    <row r="53" spans="1:23" ht="29" customHeight="1" x14ac:dyDescent="0.2">
      <c r="A53" s="9" t="s">
        <v>199</v>
      </c>
      <c r="B53" s="10" t="s">
        <v>200</v>
      </c>
      <c r="C53" s="9" t="s">
        <v>25</v>
      </c>
      <c r="D53" s="9" t="s">
        <v>25</v>
      </c>
      <c r="E53" s="9" t="s">
        <v>26</v>
      </c>
      <c r="F53" s="9" t="s">
        <v>27</v>
      </c>
      <c r="G53" s="9">
        <v>209</v>
      </c>
      <c r="H53" s="9">
        <v>499</v>
      </c>
      <c r="I53" s="9">
        <v>58</v>
      </c>
      <c r="J53" s="11">
        <v>3.9</v>
      </c>
      <c r="K53" s="9">
        <v>536</v>
      </c>
      <c r="L53" s="9">
        <v>4.0616119789882088</v>
      </c>
      <c r="M53" s="9" t="s">
        <v>89</v>
      </c>
      <c r="N53" s="9" t="s">
        <v>29</v>
      </c>
      <c r="O53" s="9">
        <v>48.1</v>
      </c>
      <c r="P53" s="9" t="s">
        <v>30</v>
      </c>
      <c r="Q53" s="9" t="b">
        <v>0</v>
      </c>
      <c r="R53" s="9" t="b">
        <v>0</v>
      </c>
      <c r="S53" s="9" t="b">
        <v>0</v>
      </c>
      <c r="T53" s="9">
        <v>0.7</v>
      </c>
      <c r="U53" s="9">
        <v>1</v>
      </c>
      <c r="V53" s="9" t="b">
        <v>1</v>
      </c>
      <c r="W53" s="9" t="s">
        <v>201</v>
      </c>
    </row>
    <row r="54" spans="1:23" ht="29" customHeight="1" x14ac:dyDescent="0.2">
      <c r="A54" s="9" t="s">
        <v>202</v>
      </c>
      <c r="B54" s="10" t="s">
        <v>203</v>
      </c>
      <c r="C54" s="9" t="s">
        <v>44</v>
      </c>
      <c r="D54" s="9" t="s">
        <v>44</v>
      </c>
      <c r="E54" s="9" t="s">
        <v>45</v>
      </c>
      <c r="F54" s="9" t="s">
        <v>133</v>
      </c>
      <c r="G54" s="9">
        <v>1434</v>
      </c>
      <c r="H54" s="9">
        <v>3999</v>
      </c>
      <c r="I54" s="9">
        <v>64</v>
      </c>
      <c r="J54" s="11">
        <v>4</v>
      </c>
      <c r="K54" s="9">
        <v>32</v>
      </c>
      <c r="L54" s="9">
        <v>4.0839212259008608</v>
      </c>
      <c r="M54" s="9" t="s">
        <v>204</v>
      </c>
      <c r="N54" s="9" t="s">
        <v>179</v>
      </c>
      <c r="O54" s="9">
        <v>50.4</v>
      </c>
      <c r="P54" s="9" t="s">
        <v>30</v>
      </c>
      <c r="Q54" s="9" t="b">
        <v>0</v>
      </c>
      <c r="R54" s="9" t="b">
        <v>0</v>
      </c>
      <c r="S54" s="9" t="b">
        <v>0</v>
      </c>
      <c r="T54" s="9">
        <v>4.17</v>
      </c>
      <c r="U54" s="9">
        <v>1</v>
      </c>
      <c r="V54" s="9" t="b">
        <v>1</v>
      </c>
      <c r="W54" s="9" t="s">
        <v>205</v>
      </c>
    </row>
    <row r="55" spans="1:23" ht="29" customHeight="1" x14ac:dyDescent="0.2">
      <c r="A55" s="9" t="s">
        <v>206</v>
      </c>
      <c r="B55" s="10" t="s">
        <v>207</v>
      </c>
      <c r="C55" s="9" t="s">
        <v>25</v>
      </c>
      <c r="D55" s="9" t="s">
        <v>25</v>
      </c>
      <c r="E55" s="9" t="s">
        <v>26</v>
      </c>
      <c r="F55" s="9" t="s">
        <v>27</v>
      </c>
      <c r="G55" s="9">
        <v>399</v>
      </c>
      <c r="H55" s="9">
        <v>1099</v>
      </c>
      <c r="I55" s="9">
        <v>64</v>
      </c>
      <c r="J55" s="11">
        <v>4.2</v>
      </c>
      <c r="K55" s="9">
        <v>24269</v>
      </c>
      <c r="L55" s="9">
        <v>4.1845152450522027</v>
      </c>
      <c r="M55" s="9" t="s">
        <v>28</v>
      </c>
      <c r="N55" s="9" t="s">
        <v>29</v>
      </c>
      <c r="O55" s="9">
        <v>69.099999999999994</v>
      </c>
      <c r="P55" s="9" t="s">
        <v>36</v>
      </c>
      <c r="Q55" s="9" t="b">
        <v>0</v>
      </c>
      <c r="R55" s="9" t="b">
        <v>0</v>
      </c>
      <c r="S55" s="9" t="b">
        <v>0</v>
      </c>
      <c r="T55" s="9">
        <v>1.33</v>
      </c>
      <c r="U55" s="9">
        <v>6</v>
      </c>
      <c r="V55" s="9" t="b">
        <v>0</v>
      </c>
      <c r="W55" s="9" t="s">
        <v>208</v>
      </c>
    </row>
    <row r="56" spans="1:23" ht="29" customHeight="1" x14ac:dyDescent="0.2">
      <c r="A56" s="9" t="s">
        <v>209</v>
      </c>
      <c r="B56" s="10" t="s">
        <v>210</v>
      </c>
      <c r="C56" s="9" t="s">
        <v>25</v>
      </c>
      <c r="D56" s="9" t="s">
        <v>25</v>
      </c>
      <c r="E56" s="9" t="s">
        <v>26</v>
      </c>
      <c r="F56" s="9" t="s">
        <v>27</v>
      </c>
      <c r="G56" s="9">
        <v>139</v>
      </c>
      <c r="H56" s="9">
        <v>249</v>
      </c>
      <c r="I56" s="9">
        <v>44</v>
      </c>
      <c r="J56" s="11">
        <v>4</v>
      </c>
      <c r="K56" s="9">
        <v>9378</v>
      </c>
      <c r="L56" s="9">
        <v>4.0242334075324999</v>
      </c>
      <c r="M56" s="9" t="s">
        <v>28</v>
      </c>
      <c r="N56" s="9" t="s">
        <v>29</v>
      </c>
      <c r="O56" s="9">
        <v>39.200000000000003</v>
      </c>
      <c r="P56" s="9" t="s">
        <v>30</v>
      </c>
      <c r="Q56" s="9" t="b">
        <v>0</v>
      </c>
      <c r="R56" s="9" t="b">
        <v>0</v>
      </c>
      <c r="S56" s="9" t="b">
        <v>0</v>
      </c>
      <c r="T56" s="9">
        <v>0.46</v>
      </c>
      <c r="U56" s="9">
        <v>8</v>
      </c>
      <c r="V56" s="9" t="b">
        <v>0</v>
      </c>
      <c r="W56" s="9" t="s">
        <v>211</v>
      </c>
    </row>
    <row r="57" spans="1:23" ht="29" customHeight="1" x14ac:dyDescent="0.2">
      <c r="A57" s="9" t="s">
        <v>212</v>
      </c>
      <c r="B57" s="10" t="s">
        <v>213</v>
      </c>
      <c r="C57" s="9" t="s">
        <v>44</v>
      </c>
      <c r="D57" s="9" t="s">
        <v>44</v>
      </c>
      <c r="E57" s="9" t="s">
        <v>45</v>
      </c>
      <c r="F57" s="9" t="s">
        <v>57</v>
      </c>
      <c r="G57" s="9">
        <v>7299</v>
      </c>
      <c r="H57" s="9">
        <v>19125</v>
      </c>
      <c r="I57" s="9">
        <v>62</v>
      </c>
      <c r="J57" s="11">
        <v>3.4</v>
      </c>
      <c r="K57" s="9">
        <v>902</v>
      </c>
      <c r="L57" s="9">
        <v>3.952243346914099</v>
      </c>
      <c r="M57" s="9" t="s">
        <v>89</v>
      </c>
      <c r="N57" s="9" t="s">
        <v>144</v>
      </c>
      <c r="O57" s="9">
        <v>29.6</v>
      </c>
      <c r="P57" s="9" t="s">
        <v>40</v>
      </c>
      <c r="Q57" s="9" t="b">
        <v>0</v>
      </c>
      <c r="R57" s="9" t="b">
        <v>0</v>
      </c>
      <c r="S57" s="9" t="b">
        <v>1</v>
      </c>
      <c r="T57" s="9">
        <v>0.38</v>
      </c>
      <c r="U57" s="9">
        <v>1</v>
      </c>
      <c r="V57" s="9" t="b">
        <v>1</v>
      </c>
      <c r="W57" s="9" t="s">
        <v>214</v>
      </c>
    </row>
    <row r="58" spans="1:23" ht="29" customHeight="1" x14ac:dyDescent="0.2">
      <c r="A58" s="9" t="s">
        <v>215</v>
      </c>
      <c r="B58" s="10" t="s">
        <v>216</v>
      </c>
      <c r="C58" s="9" t="s">
        <v>25</v>
      </c>
      <c r="D58" s="9" t="s">
        <v>25</v>
      </c>
      <c r="E58" s="9" t="s">
        <v>26</v>
      </c>
      <c r="F58" s="9" t="s">
        <v>27</v>
      </c>
      <c r="G58" s="9">
        <v>299</v>
      </c>
      <c r="H58" s="9">
        <v>799</v>
      </c>
      <c r="I58" s="9">
        <v>63</v>
      </c>
      <c r="J58" s="11">
        <v>4.4000000000000004</v>
      </c>
      <c r="K58" s="9">
        <v>28791</v>
      </c>
      <c r="L58" s="9">
        <v>4.3635504351814962</v>
      </c>
      <c r="M58" s="9" t="s">
        <v>28</v>
      </c>
      <c r="N58" s="9" t="s">
        <v>29</v>
      </c>
      <c r="O58" s="9">
        <v>82</v>
      </c>
      <c r="P58" s="9" t="s">
        <v>36</v>
      </c>
      <c r="Q58" s="9" t="b">
        <v>0</v>
      </c>
      <c r="R58" s="9" t="b">
        <v>0</v>
      </c>
      <c r="S58" s="9" t="b">
        <v>0</v>
      </c>
      <c r="T58" s="9">
        <v>1</v>
      </c>
      <c r="U58" s="9">
        <v>2</v>
      </c>
      <c r="V58" s="9" t="b">
        <v>1</v>
      </c>
      <c r="W58" s="9" t="s">
        <v>217</v>
      </c>
    </row>
    <row r="59" spans="1:23" ht="29" customHeight="1" x14ac:dyDescent="0.2">
      <c r="A59" s="9" t="s">
        <v>218</v>
      </c>
      <c r="B59" s="10" t="s">
        <v>219</v>
      </c>
      <c r="C59" s="9" t="s">
        <v>44</v>
      </c>
      <c r="D59" s="9" t="s">
        <v>44</v>
      </c>
      <c r="E59" s="9" t="s">
        <v>45</v>
      </c>
      <c r="F59" s="9" t="s">
        <v>57</v>
      </c>
      <c r="G59" s="9">
        <v>29999</v>
      </c>
      <c r="H59" s="9">
        <v>39999</v>
      </c>
      <c r="I59" s="9">
        <v>25</v>
      </c>
      <c r="J59" s="11">
        <v>4.2</v>
      </c>
      <c r="K59" s="9">
        <v>7298</v>
      </c>
      <c r="L59" s="9">
        <v>4.1607557607414511</v>
      </c>
      <c r="M59" s="9" t="s">
        <v>28</v>
      </c>
      <c r="N59" s="9" t="s">
        <v>58</v>
      </c>
      <c r="O59" s="9">
        <v>40</v>
      </c>
      <c r="P59" s="9" t="s">
        <v>30</v>
      </c>
      <c r="Q59" s="9" t="b">
        <v>0</v>
      </c>
      <c r="R59" s="9" t="b">
        <v>0</v>
      </c>
      <c r="S59" s="9" t="b">
        <v>0</v>
      </c>
      <c r="T59" s="9">
        <v>1.58</v>
      </c>
      <c r="U59" s="9">
        <v>2</v>
      </c>
      <c r="V59" s="9" t="b">
        <v>0</v>
      </c>
      <c r="W59" s="9" t="s">
        <v>220</v>
      </c>
    </row>
    <row r="60" spans="1:23" ht="29" customHeight="1" x14ac:dyDescent="0.2">
      <c r="A60" s="9" t="s">
        <v>221</v>
      </c>
      <c r="B60" s="10" t="s">
        <v>222</v>
      </c>
      <c r="C60" s="9" t="s">
        <v>44</v>
      </c>
      <c r="D60" s="9" t="s">
        <v>44</v>
      </c>
      <c r="E60" s="9" t="s">
        <v>45</v>
      </c>
      <c r="F60" s="9" t="s">
        <v>57</v>
      </c>
      <c r="G60" s="9">
        <v>27999</v>
      </c>
      <c r="H60" s="9">
        <v>40990</v>
      </c>
      <c r="I60" s="9">
        <v>32</v>
      </c>
      <c r="J60" s="11">
        <v>4.3</v>
      </c>
      <c r="K60" s="9">
        <v>4703</v>
      </c>
      <c r="L60" s="9">
        <v>4.2042807975525136</v>
      </c>
      <c r="M60" s="9" t="s">
        <v>28</v>
      </c>
      <c r="N60" s="9" t="s">
        <v>58</v>
      </c>
      <c r="O60" s="9">
        <v>48.5</v>
      </c>
      <c r="P60" s="9" t="s">
        <v>30</v>
      </c>
      <c r="Q60" s="9" t="b">
        <v>0</v>
      </c>
      <c r="R60" s="9" t="b">
        <v>0</v>
      </c>
      <c r="S60" s="9" t="b">
        <v>0</v>
      </c>
      <c r="T60" s="9">
        <v>1.47</v>
      </c>
      <c r="U60" s="9">
        <v>5</v>
      </c>
      <c r="V60" s="9" t="b">
        <v>0</v>
      </c>
      <c r="W60" s="9" t="s">
        <v>223</v>
      </c>
    </row>
    <row r="61" spans="1:23" ht="29" customHeight="1" x14ac:dyDescent="0.2">
      <c r="A61" s="9" t="s">
        <v>224</v>
      </c>
      <c r="B61" s="10" t="s">
        <v>225</v>
      </c>
      <c r="C61" s="9" t="s">
        <v>44</v>
      </c>
      <c r="D61" s="9" t="s">
        <v>44</v>
      </c>
      <c r="E61" s="9" t="s">
        <v>45</v>
      </c>
      <c r="F61" s="9" t="s">
        <v>57</v>
      </c>
      <c r="G61" s="9">
        <v>30990</v>
      </c>
      <c r="H61" s="9">
        <v>52900</v>
      </c>
      <c r="I61" s="9">
        <v>41</v>
      </c>
      <c r="J61" s="11">
        <v>4.3</v>
      </c>
      <c r="K61" s="9">
        <v>7109</v>
      </c>
      <c r="L61" s="9">
        <v>4.2254646637244919</v>
      </c>
      <c r="M61" s="9" t="s">
        <v>28</v>
      </c>
      <c r="N61" s="9" t="s">
        <v>58</v>
      </c>
      <c r="O61" s="9">
        <v>53</v>
      </c>
      <c r="P61" s="9" t="s">
        <v>53</v>
      </c>
      <c r="Q61" s="9" t="b">
        <v>0</v>
      </c>
      <c r="R61" s="9" t="b">
        <v>0</v>
      </c>
      <c r="S61" s="9" t="b">
        <v>0</v>
      </c>
      <c r="T61" s="9">
        <v>1.63</v>
      </c>
      <c r="U61" s="9">
        <v>4</v>
      </c>
      <c r="V61" s="9" t="b">
        <v>0</v>
      </c>
      <c r="W61" s="9" t="s">
        <v>226</v>
      </c>
    </row>
    <row r="62" spans="1:23" ht="29" customHeight="1" x14ac:dyDescent="0.2">
      <c r="A62" s="9" t="s">
        <v>227</v>
      </c>
      <c r="B62" s="10" t="s">
        <v>228</v>
      </c>
      <c r="C62" s="9" t="s">
        <v>25</v>
      </c>
      <c r="D62" s="9" t="s">
        <v>25</v>
      </c>
      <c r="E62" s="9" t="s">
        <v>26</v>
      </c>
      <c r="F62" s="9" t="s">
        <v>27</v>
      </c>
      <c r="G62" s="9">
        <v>649</v>
      </c>
      <c r="H62" s="9">
        <v>1999</v>
      </c>
      <c r="I62" s="9">
        <v>68</v>
      </c>
      <c r="J62" s="11">
        <v>4.2</v>
      </c>
      <c r="K62" s="9">
        <v>24269</v>
      </c>
      <c r="L62" s="9">
        <v>4.1845152450522027</v>
      </c>
      <c r="M62" s="9" t="s">
        <v>28</v>
      </c>
      <c r="N62" s="9" t="s">
        <v>93</v>
      </c>
      <c r="O62" s="9">
        <v>67.599999999999994</v>
      </c>
      <c r="P62" s="9" t="s">
        <v>36</v>
      </c>
      <c r="Q62" s="9" t="b">
        <v>0</v>
      </c>
      <c r="R62" s="9" t="b">
        <v>0</v>
      </c>
      <c r="S62" s="9" t="b">
        <v>0</v>
      </c>
      <c r="T62" s="9">
        <v>2.17</v>
      </c>
      <c r="U62" s="9">
        <v>6</v>
      </c>
      <c r="V62" s="9" t="b">
        <v>0</v>
      </c>
      <c r="W62" s="9" t="s">
        <v>229</v>
      </c>
    </row>
    <row r="63" spans="1:23" ht="29" customHeight="1" x14ac:dyDescent="0.2">
      <c r="A63" s="9" t="s">
        <v>230</v>
      </c>
      <c r="B63" s="10" t="s">
        <v>231</v>
      </c>
      <c r="C63" s="9" t="s">
        <v>25</v>
      </c>
      <c r="D63" s="9" t="s">
        <v>25</v>
      </c>
      <c r="E63" s="9" t="s">
        <v>34</v>
      </c>
      <c r="F63" s="9" t="s">
        <v>35</v>
      </c>
      <c r="G63" s="9">
        <v>269</v>
      </c>
      <c r="H63" s="9">
        <v>800</v>
      </c>
      <c r="I63" s="9">
        <v>66</v>
      </c>
      <c r="J63" s="11">
        <v>3.6</v>
      </c>
      <c r="K63" s="9">
        <v>10134</v>
      </c>
      <c r="L63" s="9">
        <v>3.7312157083928188</v>
      </c>
      <c r="M63" s="9" t="s">
        <v>28</v>
      </c>
      <c r="N63" s="9" t="s">
        <v>29</v>
      </c>
      <c r="O63" s="9">
        <v>43.7</v>
      </c>
      <c r="P63" s="9" t="s">
        <v>30</v>
      </c>
      <c r="Q63" s="9" t="b">
        <v>0</v>
      </c>
      <c r="R63" s="9" t="b">
        <v>0</v>
      </c>
      <c r="S63" s="9" t="b">
        <v>1</v>
      </c>
      <c r="T63" s="9">
        <v>0.53</v>
      </c>
      <c r="U63" s="9">
        <v>1</v>
      </c>
      <c r="V63" s="9" t="b">
        <v>1</v>
      </c>
      <c r="W63" s="9" t="s">
        <v>232</v>
      </c>
    </row>
    <row r="64" spans="1:23" ht="29" customHeight="1" x14ac:dyDescent="0.2">
      <c r="A64" s="9" t="s">
        <v>233</v>
      </c>
      <c r="B64" s="10" t="s">
        <v>234</v>
      </c>
      <c r="C64" s="9" t="s">
        <v>44</v>
      </c>
      <c r="D64" s="9" t="s">
        <v>44</v>
      </c>
      <c r="E64" s="9" t="s">
        <v>45</v>
      </c>
      <c r="F64" s="9" t="s">
        <v>57</v>
      </c>
      <c r="G64" s="9">
        <v>24999</v>
      </c>
      <c r="H64" s="9">
        <v>31999</v>
      </c>
      <c r="I64" s="9">
        <v>22</v>
      </c>
      <c r="J64" s="11">
        <v>4.2</v>
      </c>
      <c r="K64" s="9">
        <v>34899</v>
      </c>
      <c r="L64" s="9">
        <v>4.1887727866658251</v>
      </c>
      <c r="M64" s="9" t="s">
        <v>28</v>
      </c>
      <c r="N64" s="9" t="s">
        <v>58</v>
      </c>
      <c r="O64" s="9">
        <v>43.1</v>
      </c>
      <c r="P64" s="9" t="s">
        <v>30</v>
      </c>
      <c r="Q64" s="9" t="b">
        <v>0</v>
      </c>
      <c r="R64" s="9" t="b">
        <v>0</v>
      </c>
      <c r="S64" s="9" t="b">
        <v>0</v>
      </c>
      <c r="T64" s="9">
        <v>1.32</v>
      </c>
      <c r="U64" s="9">
        <v>3</v>
      </c>
      <c r="V64" s="9" t="b">
        <v>0</v>
      </c>
      <c r="W64" s="9" t="s">
        <v>235</v>
      </c>
    </row>
    <row r="65" spans="1:23" ht="29" customHeight="1" x14ac:dyDescent="0.2">
      <c r="A65" s="9" t="s">
        <v>236</v>
      </c>
      <c r="B65" s="10" t="s">
        <v>237</v>
      </c>
      <c r="C65" s="9" t="s">
        <v>25</v>
      </c>
      <c r="D65" s="9" t="s">
        <v>25</v>
      </c>
      <c r="E65" s="9" t="s">
        <v>26</v>
      </c>
      <c r="F65" s="9" t="s">
        <v>27</v>
      </c>
      <c r="G65" s="9">
        <v>299</v>
      </c>
      <c r="H65" s="9">
        <v>699</v>
      </c>
      <c r="I65" s="9">
        <v>57</v>
      </c>
      <c r="J65" s="11">
        <v>4.2</v>
      </c>
      <c r="K65" s="9">
        <v>94363</v>
      </c>
      <c r="L65" s="9">
        <v>4.1955764718822417</v>
      </c>
      <c r="M65" s="9" t="s">
        <v>28</v>
      </c>
      <c r="N65" s="9" t="s">
        <v>29</v>
      </c>
      <c r="O65" s="9">
        <v>70.2</v>
      </c>
      <c r="P65" s="9" t="s">
        <v>36</v>
      </c>
      <c r="Q65" s="9" t="b">
        <v>0</v>
      </c>
      <c r="R65" s="9" t="b">
        <v>0</v>
      </c>
      <c r="S65" s="9" t="b">
        <v>0</v>
      </c>
      <c r="T65" s="9">
        <v>1</v>
      </c>
      <c r="U65" s="9">
        <v>4</v>
      </c>
      <c r="V65" s="9" t="b">
        <v>0</v>
      </c>
      <c r="W65" s="9" t="s">
        <v>238</v>
      </c>
    </row>
    <row r="66" spans="1:23" ht="29" customHeight="1" x14ac:dyDescent="0.2">
      <c r="A66" s="9" t="s">
        <v>239</v>
      </c>
      <c r="B66" s="10" t="s">
        <v>240</v>
      </c>
      <c r="C66" s="9" t="s">
        <v>25</v>
      </c>
      <c r="D66" s="9" t="s">
        <v>25</v>
      </c>
      <c r="E66" s="9" t="s">
        <v>26</v>
      </c>
      <c r="F66" s="9" t="s">
        <v>27</v>
      </c>
      <c r="G66" s="9">
        <v>199</v>
      </c>
      <c r="H66" s="9">
        <v>999</v>
      </c>
      <c r="I66" s="9">
        <v>80</v>
      </c>
      <c r="J66" s="11">
        <v>4.0999999999999996</v>
      </c>
      <c r="K66" s="9">
        <v>425</v>
      </c>
      <c r="L66" s="9">
        <v>4.0861944099536274</v>
      </c>
      <c r="M66" s="9" t="s">
        <v>89</v>
      </c>
      <c r="N66" s="9" t="s">
        <v>29</v>
      </c>
      <c r="O66" s="9">
        <v>62.7</v>
      </c>
      <c r="P66" s="9" t="s">
        <v>36</v>
      </c>
      <c r="Q66" s="9" t="b">
        <v>0</v>
      </c>
      <c r="R66" s="9" t="b">
        <v>0</v>
      </c>
      <c r="S66" s="9" t="b">
        <v>0</v>
      </c>
      <c r="T66" s="9">
        <v>0.67</v>
      </c>
      <c r="U66" s="9">
        <v>1</v>
      </c>
      <c r="V66" s="9" t="b">
        <v>1</v>
      </c>
      <c r="W66" s="9" t="s">
        <v>241</v>
      </c>
    </row>
    <row r="67" spans="1:23" ht="29" customHeight="1" x14ac:dyDescent="0.2">
      <c r="A67" s="9" t="s">
        <v>242</v>
      </c>
      <c r="B67" s="10" t="s">
        <v>243</v>
      </c>
      <c r="C67" s="9" t="s">
        <v>44</v>
      </c>
      <c r="D67" s="9" t="s">
        <v>44</v>
      </c>
      <c r="E67" s="9" t="s">
        <v>45</v>
      </c>
      <c r="F67" s="9" t="s">
        <v>57</v>
      </c>
      <c r="G67" s="9">
        <v>18990</v>
      </c>
      <c r="H67" s="9">
        <v>40990</v>
      </c>
      <c r="I67" s="9">
        <v>54</v>
      </c>
      <c r="J67" s="11">
        <v>4.2</v>
      </c>
      <c r="K67" s="9">
        <v>6659</v>
      </c>
      <c r="L67" s="9">
        <v>4.1583494786432684</v>
      </c>
      <c r="M67" s="9" t="s">
        <v>28</v>
      </c>
      <c r="N67" s="9" t="s">
        <v>58</v>
      </c>
      <c r="O67" s="9">
        <v>52.6</v>
      </c>
      <c r="P67" s="9" t="s">
        <v>53</v>
      </c>
      <c r="Q67" s="9" t="b">
        <v>0</v>
      </c>
      <c r="R67" s="9" t="b">
        <v>0</v>
      </c>
      <c r="S67" s="9" t="b">
        <v>0</v>
      </c>
      <c r="T67" s="9">
        <v>1</v>
      </c>
      <c r="U67" s="9">
        <v>1</v>
      </c>
      <c r="V67" s="9" t="b">
        <v>1</v>
      </c>
      <c r="W67" s="9" t="s">
        <v>244</v>
      </c>
    </row>
    <row r="68" spans="1:23" ht="29" customHeight="1" x14ac:dyDescent="0.2">
      <c r="A68" s="9" t="s">
        <v>245</v>
      </c>
      <c r="B68" s="10" t="s">
        <v>246</v>
      </c>
      <c r="C68" s="9" t="s">
        <v>25</v>
      </c>
      <c r="D68" s="9" t="s">
        <v>25</v>
      </c>
      <c r="E68" s="9" t="s">
        <v>34</v>
      </c>
      <c r="F68" s="9" t="s">
        <v>35</v>
      </c>
      <c r="G68" s="9">
        <v>290</v>
      </c>
      <c r="H68" s="9">
        <v>349</v>
      </c>
      <c r="I68" s="9">
        <v>17</v>
      </c>
      <c r="J68" s="11">
        <v>3.7</v>
      </c>
      <c r="K68" s="9">
        <v>1977</v>
      </c>
      <c r="L68" s="9">
        <v>3.9521454990296738</v>
      </c>
      <c r="M68" s="9" t="s">
        <v>28</v>
      </c>
      <c r="N68" s="9" t="s">
        <v>29</v>
      </c>
      <c r="O68" s="9">
        <v>26.1</v>
      </c>
      <c r="P68" s="9" t="s">
        <v>40</v>
      </c>
      <c r="Q68" s="9" t="b">
        <v>0</v>
      </c>
      <c r="R68" s="9" t="b">
        <v>0</v>
      </c>
      <c r="S68" s="9" t="b">
        <v>1</v>
      </c>
      <c r="T68" s="9">
        <v>0.56999999999999995</v>
      </c>
      <c r="U68" s="9">
        <v>1</v>
      </c>
      <c r="V68" s="9" t="b">
        <v>1</v>
      </c>
      <c r="W68" s="9" t="s">
        <v>247</v>
      </c>
    </row>
    <row r="69" spans="1:23" ht="29" customHeight="1" x14ac:dyDescent="0.2">
      <c r="A69" s="9" t="s">
        <v>248</v>
      </c>
      <c r="B69" s="10" t="s">
        <v>249</v>
      </c>
      <c r="C69" s="9" t="s">
        <v>44</v>
      </c>
      <c r="D69" s="9" t="s">
        <v>44</v>
      </c>
      <c r="E69" s="9" t="s">
        <v>45</v>
      </c>
      <c r="F69" s="9" t="s">
        <v>133</v>
      </c>
      <c r="G69" s="9">
        <v>249</v>
      </c>
      <c r="H69" s="9">
        <v>799</v>
      </c>
      <c r="I69" s="9">
        <v>69</v>
      </c>
      <c r="J69" s="11">
        <v>3.8</v>
      </c>
      <c r="K69" s="9">
        <v>1079</v>
      </c>
      <c r="L69" s="9">
        <v>4.0211998536984019</v>
      </c>
      <c r="M69" s="9" t="s">
        <v>28</v>
      </c>
      <c r="N69" s="9" t="s">
        <v>29</v>
      </c>
      <c r="O69" s="9">
        <v>53</v>
      </c>
      <c r="P69" s="9" t="s">
        <v>53</v>
      </c>
      <c r="Q69" s="9" t="b">
        <v>0</v>
      </c>
      <c r="R69" s="9" t="b">
        <v>0</v>
      </c>
      <c r="S69" s="9" t="b">
        <v>1</v>
      </c>
      <c r="T69" s="9">
        <v>0.72</v>
      </c>
      <c r="U69" s="9">
        <v>1</v>
      </c>
      <c r="V69" s="9" t="b">
        <v>1</v>
      </c>
      <c r="W69" s="9" t="s">
        <v>250</v>
      </c>
    </row>
    <row r="70" spans="1:23" ht="29" customHeight="1" x14ac:dyDescent="0.2">
      <c r="A70" s="9" t="s">
        <v>251</v>
      </c>
      <c r="B70" s="10" t="s">
        <v>252</v>
      </c>
      <c r="C70" s="9" t="s">
        <v>25</v>
      </c>
      <c r="D70" s="9" t="s">
        <v>25</v>
      </c>
      <c r="E70" s="9" t="s">
        <v>26</v>
      </c>
      <c r="F70" s="9" t="s">
        <v>27</v>
      </c>
      <c r="G70" s="9">
        <v>345</v>
      </c>
      <c r="H70" s="9">
        <v>999</v>
      </c>
      <c r="I70" s="9">
        <v>65</v>
      </c>
      <c r="J70" s="11">
        <v>3.7</v>
      </c>
      <c r="K70" s="9">
        <v>1097</v>
      </c>
      <c r="L70" s="9">
        <v>3.997806171762694</v>
      </c>
      <c r="M70" s="9" t="s">
        <v>28</v>
      </c>
      <c r="N70" s="9" t="s">
        <v>29</v>
      </c>
      <c r="O70" s="9">
        <v>40.799999999999997</v>
      </c>
      <c r="P70" s="9" t="s">
        <v>30</v>
      </c>
      <c r="Q70" s="9" t="b">
        <v>0</v>
      </c>
      <c r="R70" s="9" t="b">
        <v>0</v>
      </c>
      <c r="S70" s="9" t="b">
        <v>1</v>
      </c>
      <c r="T70" s="9">
        <v>1.1499999999999999</v>
      </c>
      <c r="U70" s="9">
        <v>1</v>
      </c>
      <c r="V70" s="9" t="b">
        <v>1</v>
      </c>
      <c r="W70" s="9" t="s">
        <v>253</v>
      </c>
    </row>
    <row r="71" spans="1:23" ht="29" customHeight="1" x14ac:dyDescent="0.2">
      <c r="A71" s="9" t="s">
        <v>254</v>
      </c>
      <c r="B71" s="10" t="s">
        <v>255</v>
      </c>
      <c r="C71" s="9" t="s">
        <v>25</v>
      </c>
      <c r="D71" s="9" t="s">
        <v>25</v>
      </c>
      <c r="E71" s="9" t="s">
        <v>34</v>
      </c>
      <c r="F71" s="9" t="s">
        <v>35</v>
      </c>
      <c r="G71" s="9">
        <v>1099</v>
      </c>
      <c r="H71" s="9">
        <v>1899</v>
      </c>
      <c r="I71" s="9">
        <v>42</v>
      </c>
      <c r="J71" s="11">
        <v>4.5</v>
      </c>
      <c r="K71" s="9">
        <v>22420</v>
      </c>
      <c r="L71" s="9">
        <v>4.4403108599897188</v>
      </c>
      <c r="M71" s="9" t="s">
        <v>28</v>
      </c>
      <c r="N71" s="9" t="s">
        <v>179</v>
      </c>
      <c r="O71" s="9">
        <v>71.8</v>
      </c>
      <c r="P71" s="9" t="s">
        <v>36</v>
      </c>
      <c r="Q71" s="9" t="b">
        <v>0</v>
      </c>
      <c r="R71" s="9" t="b">
        <v>0</v>
      </c>
      <c r="S71" s="9" t="b">
        <v>0</v>
      </c>
      <c r="T71" s="9">
        <v>2.17</v>
      </c>
      <c r="U71" s="9">
        <v>2</v>
      </c>
      <c r="V71" s="9" t="b">
        <v>1</v>
      </c>
      <c r="W71" s="9" t="s">
        <v>256</v>
      </c>
    </row>
    <row r="72" spans="1:23" ht="29" customHeight="1" x14ac:dyDescent="0.2">
      <c r="A72" s="9" t="s">
        <v>257</v>
      </c>
      <c r="B72" s="10" t="s">
        <v>258</v>
      </c>
      <c r="C72" s="9" t="s">
        <v>25</v>
      </c>
      <c r="D72" s="9" t="s">
        <v>25</v>
      </c>
      <c r="E72" s="9" t="s">
        <v>26</v>
      </c>
      <c r="F72" s="9" t="s">
        <v>27</v>
      </c>
      <c r="G72" s="9">
        <v>719</v>
      </c>
      <c r="H72" s="9">
        <v>1499</v>
      </c>
      <c r="I72" s="9">
        <v>52</v>
      </c>
      <c r="J72" s="11">
        <v>4.0999999999999996</v>
      </c>
      <c r="K72" s="9">
        <v>1045</v>
      </c>
      <c r="L72" s="9">
        <v>4.0879748500636124</v>
      </c>
      <c r="M72" s="9" t="s">
        <v>28</v>
      </c>
      <c r="N72" s="9" t="s">
        <v>93</v>
      </c>
      <c r="O72" s="9">
        <v>42.7</v>
      </c>
      <c r="P72" s="9" t="s">
        <v>30</v>
      </c>
      <c r="Q72" s="9" t="b">
        <v>0</v>
      </c>
      <c r="R72" s="9" t="b">
        <v>1</v>
      </c>
      <c r="S72" s="9" t="b">
        <v>0</v>
      </c>
      <c r="T72" s="9">
        <v>2.4</v>
      </c>
      <c r="U72" s="9">
        <v>2</v>
      </c>
      <c r="V72" s="9" t="b">
        <v>1</v>
      </c>
      <c r="W72" s="9" t="s">
        <v>259</v>
      </c>
    </row>
    <row r="73" spans="1:23" ht="29" customHeight="1" x14ac:dyDescent="0.2">
      <c r="A73" s="9" t="s">
        <v>260</v>
      </c>
      <c r="B73" s="10" t="s">
        <v>261</v>
      </c>
      <c r="C73" s="9" t="s">
        <v>44</v>
      </c>
      <c r="D73" s="9" t="s">
        <v>44</v>
      </c>
      <c r="E73" s="9" t="s">
        <v>45</v>
      </c>
      <c r="F73" s="9" t="s">
        <v>133</v>
      </c>
      <c r="G73" s="9">
        <v>349</v>
      </c>
      <c r="H73" s="9">
        <v>1499</v>
      </c>
      <c r="I73" s="9">
        <v>77</v>
      </c>
      <c r="J73" s="11">
        <v>4.3</v>
      </c>
      <c r="K73" s="9">
        <v>4145</v>
      </c>
      <c r="L73" s="9">
        <v>4.1975262841202419</v>
      </c>
      <c r="M73" s="9" t="s">
        <v>28</v>
      </c>
      <c r="N73" s="9" t="s">
        <v>29</v>
      </c>
      <c r="O73" s="9">
        <v>85</v>
      </c>
      <c r="P73" s="9" t="s">
        <v>36</v>
      </c>
      <c r="Q73" s="9" t="b">
        <v>1</v>
      </c>
      <c r="R73" s="9" t="b">
        <v>0</v>
      </c>
      <c r="S73" s="9" t="b">
        <v>0</v>
      </c>
      <c r="T73" s="9">
        <v>1.01</v>
      </c>
      <c r="U73" s="9">
        <v>1</v>
      </c>
      <c r="V73" s="9" t="b">
        <v>1</v>
      </c>
      <c r="W73" s="9" t="s">
        <v>262</v>
      </c>
    </row>
    <row r="74" spans="1:23" ht="29" customHeight="1" x14ac:dyDescent="0.2">
      <c r="A74" s="9" t="s">
        <v>263</v>
      </c>
      <c r="B74" s="10" t="s">
        <v>264</v>
      </c>
      <c r="C74" s="9" t="s">
        <v>25</v>
      </c>
      <c r="D74" s="9" t="s">
        <v>25</v>
      </c>
      <c r="E74" s="9" t="s">
        <v>26</v>
      </c>
      <c r="F74" s="9" t="s">
        <v>27</v>
      </c>
      <c r="G74" s="9">
        <v>849</v>
      </c>
      <c r="H74" s="9">
        <v>1809</v>
      </c>
      <c r="I74" s="9">
        <v>53</v>
      </c>
      <c r="J74" s="11">
        <v>4.3</v>
      </c>
      <c r="K74" s="9">
        <v>6547</v>
      </c>
      <c r="L74" s="9">
        <v>4.2214015317601064</v>
      </c>
      <c r="M74" s="9" t="s">
        <v>28</v>
      </c>
      <c r="N74" s="9" t="s">
        <v>93</v>
      </c>
      <c r="O74" s="9">
        <v>63</v>
      </c>
      <c r="P74" s="9" t="s">
        <v>36</v>
      </c>
      <c r="Q74" s="9" t="b">
        <v>0</v>
      </c>
      <c r="R74" s="9" t="b">
        <v>0</v>
      </c>
      <c r="S74" s="9" t="b">
        <v>0</v>
      </c>
      <c r="T74" s="9">
        <v>2.84</v>
      </c>
      <c r="U74" s="9">
        <v>1</v>
      </c>
      <c r="V74" s="9" t="b">
        <v>1</v>
      </c>
      <c r="W74" s="9" t="s">
        <v>265</v>
      </c>
    </row>
    <row r="75" spans="1:23" ht="29" customHeight="1" x14ac:dyDescent="0.2">
      <c r="A75" s="9" t="s">
        <v>266</v>
      </c>
      <c r="B75" s="10" t="s">
        <v>267</v>
      </c>
      <c r="C75" s="9" t="s">
        <v>44</v>
      </c>
      <c r="D75" s="9" t="s">
        <v>44</v>
      </c>
      <c r="E75" s="9" t="s">
        <v>45</v>
      </c>
      <c r="F75" s="9" t="s">
        <v>133</v>
      </c>
      <c r="G75" s="9">
        <v>299</v>
      </c>
      <c r="H75" s="9">
        <v>899</v>
      </c>
      <c r="I75" s="9">
        <v>67</v>
      </c>
      <c r="J75" s="11">
        <v>4</v>
      </c>
      <c r="K75" s="9">
        <v>1588</v>
      </c>
      <c r="L75" s="9">
        <v>4.0595157633269441</v>
      </c>
      <c r="M75" s="9" t="s">
        <v>28</v>
      </c>
      <c r="N75" s="9" t="s">
        <v>29</v>
      </c>
      <c r="O75" s="9">
        <v>57</v>
      </c>
      <c r="P75" s="9" t="s">
        <v>53</v>
      </c>
      <c r="Q75" s="9" t="b">
        <v>0</v>
      </c>
      <c r="R75" s="9" t="b">
        <v>0</v>
      </c>
      <c r="S75" s="9" t="b">
        <v>0</v>
      </c>
      <c r="T75" s="9">
        <v>0.87</v>
      </c>
      <c r="U75" s="9">
        <v>1</v>
      </c>
      <c r="V75" s="9" t="b">
        <v>1</v>
      </c>
      <c r="W75" s="9" t="s">
        <v>268</v>
      </c>
    </row>
    <row r="76" spans="1:23" ht="29" customHeight="1" x14ac:dyDescent="0.2">
      <c r="A76" s="9" t="s">
        <v>269</v>
      </c>
      <c r="B76" s="10" t="s">
        <v>270</v>
      </c>
      <c r="C76" s="9" t="s">
        <v>44</v>
      </c>
      <c r="D76" s="9" t="s">
        <v>44</v>
      </c>
      <c r="E76" s="9" t="s">
        <v>45</v>
      </c>
      <c r="F76" s="9" t="s">
        <v>57</v>
      </c>
      <c r="G76" s="9">
        <v>21999</v>
      </c>
      <c r="H76" s="9">
        <v>29999</v>
      </c>
      <c r="I76" s="9">
        <v>27</v>
      </c>
      <c r="J76" s="11">
        <v>4.2</v>
      </c>
      <c r="K76" s="9">
        <v>32840</v>
      </c>
      <c r="L76" s="9">
        <v>4.1881412223668004</v>
      </c>
      <c r="M76" s="9" t="s">
        <v>28</v>
      </c>
      <c r="N76" s="9" t="s">
        <v>58</v>
      </c>
      <c r="O76" s="9">
        <v>44.5</v>
      </c>
      <c r="P76" s="9" t="s">
        <v>30</v>
      </c>
      <c r="Q76" s="9" t="b">
        <v>0</v>
      </c>
      <c r="R76" s="9" t="b">
        <v>0</v>
      </c>
      <c r="S76" s="9" t="b">
        <v>0</v>
      </c>
      <c r="T76" s="9">
        <v>1.1599999999999999</v>
      </c>
      <c r="U76" s="9">
        <v>5</v>
      </c>
      <c r="V76" s="9" t="b">
        <v>0</v>
      </c>
      <c r="W76" s="9" t="s">
        <v>271</v>
      </c>
    </row>
    <row r="77" spans="1:23" ht="29" customHeight="1" x14ac:dyDescent="0.2">
      <c r="A77" s="9" t="s">
        <v>272</v>
      </c>
      <c r="B77" s="10" t="s">
        <v>273</v>
      </c>
      <c r="C77" s="9" t="s">
        <v>25</v>
      </c>
      <c r="D77" s="9" t="s">
        <v>25</v>
      </c>
      <c r="E77" s="9" t="s">
        <v>26</v>
      </c>
      <c r="F77" s="9" t="s">
        <v>27</v>
      </c>
      <c r="G77" s="9">
        <v>349</v>
      </c>
      <c r="H77" s="9">
        <v>999</v>
      </c>
      <c r="I77" s="9">
        <v>65</v>
      </c>
      <c r="J77" s="11">
        <v>4.2</v>
      </c>
      <c r="K77" s="9">
        <v>13120</v>
      </c>
      <c r="L77" s="9">
        <v>4.1742892990777918</v>
      </c>
      <c r="M77" s="9" t="s">
        <v>28</v>
      </c>
      <c r="N77" s="9" t="s">
        <v>29</v>
      </c>
      <c r="O77" s="9">
        <v>69.2</v>
      </c>
      <c r="P77" s="9" t="s">
        <v>36</v>
      </c>
      <c r="Q77" s="9" t="b">
        <v>0</v>
      </c>
      <c r="R77" s="9" t="b">
        <v>0</v>
      </c>
      <c r="S77" s="9" t="b">
        <v>0</v>
      </c>
      <c r="T77" s="9">
        <v>1.17</v>
      </c>
      <c r="U77" s="9">
        <v>2</v>
      </c>
      <c r="V77" s="9" t="b">
        <v>1</v>
      </c>
      <c r="W77" s="9" t="s">
        <v>274</v>
      </c>
    </row>
    <row r="78" spans="1:23" ht="29" customHeight="1" x14ac:dyDescent="0.2">
      <c r="A78" s="9" t="s">
        <v>275</v>
      </c>
      <c r="B78" s="10" t="s">
        <v>276</v>
      </c>
      <c r="C78" s="9" t="s">
        <v>25</v>
      </c>
      <c r="D78" s="9" t="s">
        <v>25</v>
      </c>
      <c r="E78" s="9" t="s">
        <v>26</v>
      </c>
      <c r="F78" s="9" t="s">
        <v>27</v>
      </c>
      <c r="G78" s="9">
        <v>399</v>
      </c>
      <c r="H78" s="9">
        <v>999</v>
      </c>
      <c r="I78" s="9">
        <v>60</v>
      </c>
      <c r="J78" s="11">
        <v>4.3</v>
      </c>
      <c r="K78" s="9">
        <v>2806</v>
      </c>
      <c r="L78" s="9">
        <v>4.1766368412393717</v>
      </c>
      <c r="M78" s="9" t="s">
        <v>28</v>
      </c>
      <c r="N78" s="9" t="s">
        <v>29</v>
      </c>
      <c r="O78" s="9">
        <v>65.7</v>
      </c>
      <c r="P78" s="9" t="s">
        <v>36</v>
      </c>
      <c r="Q78" s="9" t="b">
        <v>0</v>
      </c>
      <c r="R78" s="9" t="b">
        <v>0</v>
      </c>
      <c r="S78" s="9" t="b">
        <v>0</v>
      </c>
      <c r="T78" s="9">
        <v>1.33</v>
      </c>
      <c r="U78" s="9">
        <v>4</v>
      </c>
      <c r="V78" s="9" t="b">
        <v>1</v>
      </c>
      <c r="W78" s="9" t="s">
        <v>277</v>
      </c>
    </row>
    <row r="79" spans="1:23" ht="29" customHeight="1" x14ac:dyDescent="0.2">
      <c r="A79" s="9" t="s">
        <v>278</v>
      </c>
      <c r="B79" s="10" t="s">
        <v>279</v>
      </c>
      <c r="C79" s="9" t="s">
        <v>25</v>
      </c>
      <c r="D79" s="9" t="s">
        <v>25</v>
      </c>
      <c r="E79" s="9" t="s">
        <v>26</v>
      </c>
      <c r="F79" s="9" t="s">
        <v>27</v>
      </c>
      <c r="G79" s="9">
        <v>449</v>
      </c>
      <c r="H79" s="9">
        <v>1299</v>
      </c>
      <c r="I79" s="9">
        <v>65</v>
      </c>
      <c r="J79" s="11">
        <v>4.2</v>
      </c>
      <c r="K79" s="9">
        <v>24269</v>
      </c>
      <c r="L79" s="9">
        <v>4.1845152450522027</v>
      </c>
      <c r="M79" s="9" t="s">
        <v>28</v>
      </c>
      <c r="N79" s="9" t="s">
        <v>29</v>
      </c>
      <c r="O79" s="9">
        <v>68.599999999999994</v>
      </c>
      <c r="P79" s="9" t="s">
        <v>36</v>
      </c>
      <c r="Q79" s="9" t="b">
        <v>0</v>
      </c>
      <c r="R79" s="9" t="b">
        <v>0</v>
      </c>
      <c r="S79" s="9" t="b">
        <v>0</v>
      </c>
      <c r="T79" s="9">
        <v>1.5</v>
      </c>
      <c r="U79" s="9">
        <v>6</v>
      </c>
      <c r="V79" s="9" t="b">
        <v>0</v>
      </c>
      <c r="W79" s="9" t="s">
        <v>280</v>
      </c>
    </row>
    <row r="80" spans="1:23" ht="29" customHeight="1" x14ac:dyDescent="0.2">
      <c r="A80" s="9" t="s">
        <v>281</v>
      </c>
      <c r="B80" s="10" t="s">
        <v>282</v>
      </c>
      <c r="C80" s="9" t="s">
        <v>25</v>
      </c>
      <c r="D80" s="9" t="s">
        <v>25</v>
      </c>
      <c r="E80" s="9" t="s">
        <v>26</v>
      </c>
      <c r="F80" s="9" t="s">
        <v>27</v>
      </c>
      <c r="G80" s="9">
        <v>299</v>
      </c>
      <c r="H80" s="9">
        <v>999</v>
      </c>
      <c r="I80" s="9">
        <v>70</v>
      </c>
      <c r="J80" s="11">
        <v>4.3</v>
      </c>
      <c r="K80" s="9">
        <v>766</v>
      </c>
      <c r="L80" s="9">
        <v>4.1210641695220964</v>
      </c>
      <c r="M80" s="9" t="s">
        <v>89</v>
      </c>
      <c r="N80" s="9" t="s">
        <v>29</v>
      </c>
      <c r="O80" s="9">
        <v>67.599999999999994</v>
      </c>
      <c r="P80" s="9" t="s">
        <v>36</v>
      </c>
      <c r="Q80" s="9" t="b">
        <v>0</v>
      </c>
      <c r="R80" s="9" t="b">
        <v>0</v>
      </c>
      <c r="S80" s="9" t="b">
        <v>0</v>
      </c>
      <c r="T80" s="9">
        <v>1</v>
      </c>
      <c r="U80" s="9">
        <v>1</v>
      </c>
      <c r="V80" s="9" t="b">
        <v>1</v>
      </c>
      <c r="W80" s="9" t="s">
        <v>283</v>
      </c>
    </row>
    <row r="81" spans="1:23" ht="29" customHeight="1" x14ac:dyDescent="0.2">
      <c r="A81" s="9" t="s">
        <v>284</v>
      </c>
      <c r="B81" s="10" t="s">
        <v>285</v>
      </c>
      <c r="C81" s="9" t="s">
        <v>44</v>
      </c>
      <c r="D81" s="9" t="s">
        <v>44</v>
      </c>
      <c r="E81" s="9" t="s">
        <v>45</v>
      </c>
      <c r="F81" s="9" t="s">
        <v>57</v>
      </c>
      <c r="G81" s="9">
        <v>37999</v>
      </c>
      <c r="H81" s="9">
        <v>65000</v>
      </c>
      <c r="I81" s="9">
        <v>42</v>
      </c>
      <c r="J81" s="11">
        <v>4.3</v>
      </c>
      <c r="K81" s="9">
        <v>3587</v>
      </c>
      <c r="L81" s="9">
        <v>4.1897461176516524</v>
      </c>
      <c r="M81" s="9" t="s">
        <v>28</v>
      </c>
      <c r="N81" s="9" t="s">
        <v>58</v>
      </c>
      <c r="O81" s="9">
        <v>50.5</v>
      </c>
      <c r="P81" s="9" t="s">
        <v>30</v>
      </c>
      <c r="Q81" s="9" t="b">
        <v>0</v>
      </c>
      <c r="R81" s="9" t="b">
        <v>0</v>
      </c>
      <c r="S81" s="9" t="b">
        <v>0</v>
      </c>
      <c r="T81" s="9">
        <v>2</v>
      </c>
      <c r="U81" s="9">
        <v>2</v>
      </c>
      <c r="V81" s="9" t="b">
        <v>1</v>
      </c>
      <c r="W81" s="9" t="s">
        <v>286</v>
      </c>
    </row>
    <row r="82" spans="1:23" ht="29" customHeight="1" x14ac:dyDescent="0.2">
      <c r="A82" s="9" t="s">
        <v>287</v>
      </c>
      <c r="B82" s="10" t="s">
        <v>288</v>
      </c>
      <c r="C82" s="9" t="s">
        <v>25</v>
      </c>
      <c r="D82" s="9" t="s">
        <v>25</v>
      </c>
      <c r="E82" s="9" t="s">
        <v>26</v>
      </c>
      <c r="F82" s="9" t="s">
        <v>27</v>
      </c>
      <c r="G82" s="9">
        <v>99</v>
      </c>
      <c r="H82" s="9">
        <v>800</v>
      </c>
      <c r="I82" s="9">
        <v>88</v>
      </c>
      <c r="J82" s="11">
        <v>3.9</v>
      </c>
      <c r="K82" s="9">
        <v>24871</v>
      </c>
      <c r="L82" s="9">
        <v>3.924261410294962</v>
      </c>
      <c r="M82" s="9" t="s">
        <v>28</v>
      </c>
      <c r="N82" s="9" t="s">
        <v>29</v>
      </c>
      <c r="O82" s="9">
        <v>50.9</v>
      </c>
      <c r="P82" s="9" t="s">
        <v>53</v>
      </c>
      <c r="Q82" s="9" t="b">
        <v>0</v>
      </c>
      <c r="R82" s="9" t="b">
        <v>0</v>
      </c>
      <c r="S82" s="9" t="b">
        <v>0</v>
      </c>
      <c r="T82" s="9">
        <v>0.33</v>
      </c>
      <c r="U82" s="9">
        <v>3</v>
      </c>
      <c r="V82" s="9" t="b">
        <v>0</v>
      </c>
      <c r="W82" s="9" t="s">
        <v>289</v>
      </c>
    </row>
    <row r="83" spans="1:23" ht="29" customHeight="1" x14ac:dyDescent="0.2">
      <c r="A83" s="9" t="s">
        <v>290</v>
      </c>
      <c r="B83" s="10" t="s">
        <v>291</v>
      </c>
      <c r="C83" s="9" t="s">
        <v>44</v>
      </c>
      <c r="D83" s="9" t="s">
        <v>44</v>
      </c>
      <c r="E83" s="9" t="s">
        <v>45</v>
      </c>
      <c r="F83" s="9" t="s">
        <v>143</v>
      </c>
      <c r="G83" s="9">
        <v>7390</v>
      </c>
      <c r="H83" s="9">
        <v>20000</v>
      </c>
      <c r="I83" s="9">
        <v>63</v>
      </c>
      <c r="J83" s="11">
        <v>4.0999999999999996</v>
      </c>
      <c r="K83" s="9">
        <v>2581</v>
      </c>
      <c r="L83" s="9">
        <v>4.0908865912636259</v>
      </c>
      <c r="M83" s="9" t="s">
        <v>28</v>
      </c>
      <c r="N83" s="9" t="s">
        <v>144</v>
      </c>
      <c r="O83" s="9">
        <v>47.6</v>
      </c>
      <c r="P83" s="9" t="s">
        <v>30</v>
      </c>
      <c r="Q83" s="9" t="b">
        <v>0</v>
      </c>
      <c r="R83" s="9" t="b">
        <v>0</v>
      </c>
      <c r="S83" s="9" t="b">
        <v>0</v>
      </c>
      <c r="U83" s="9">
        <v>1</v>
      </c>
      <c r="V83" s="9" t="b">
        <v>1</v>
      </c>
      <c r="W83" s="9" t="s">
        <v>292</v>
      </c>
    </row>
    <row r="84" spans="1:23" ht="29" customHeight="1" x14ac:dyDescent="0.2">
      <c r="A84" s="9" t="s">
        <v>293</v>
      </c>
      <c r="B84" s="10" t="s">
        <v>294</v>
      </c>
      <c r="C84" s="9" t="s">
        <v>25</v>
      </c>
      <c r="D84" s="9" t="s">
        <v>25</v>
      </c>
      <c r="E84" s="9" t="s">
        <v>26</v>
      </c>
      <c r="F84" s="9" t="s">
        <v>27</v>
      </c>
      <c r="G84" s="9">
        <v>273.10000000000002</v>
      </c>
      <c r="H84" s="9">
        <v>999</v>
      </c>
      <c r="I84" s="9">
        <v>73</v>
      </c>
      <c r="J84" s="11">
        <v>4.3</v>
      </c>
      <c r="K84" s="9">
        <v>20850</v>
      </c>
      <c r="L84" s="9">
        <v>4.2670772612160812</v>
      </c>
      <c r="M84" s="9" t="s">
        <v>28</v>
      </c>
      <c r="N84" s="9" t="s">
        <v>29</v>
      </c>
      <c r="O84" s="9">
        <v>81.900000000000006</v>
      </c>
      <c r="P84" s="9" t="s">
        <v>36</v>
      </c>
      <c r="Q84" s="9" t="b">
        <v>0</v>
      </c>
      <c r="R84" s="9" t="b">
        <v>0</v>
      </c>
      <c r="S84" s="9" t="b">
        <v>0</v>
      </c>
      <c r="T84" s="9">
        <v>0.91</v>
      </c>
      <c r="U84" s="9">
        <v>3</v>
      </c>
      <c r="V84" s="9" t="b">
        <v>1</v>
      </c>
      <c r="W84" s="9" t="s">
        <v>295</v>
      </c>
    </row>
    <row r="85" spans="1:23" ht="29" customHeight="1" x14ac:dyDescent="0.2">
      <c r="A85" s="9" t="s">
        <v>296</v>
      </c>
      <c r="B85" s="10" t="s">
        <v>297</v>
      </c>
      <c r="C85" s="9" t="s">
        <v>44</v>
      </c>
      <c r="D85" s="9" t="s">
        <v>44</v>
      </c>
      <c r="E85" s="9" t="s">
        <v>45</v>
      </c>
      <c r="F85" s="9" t="s">
        <v>57</v>
      </c>
      <c r="G85" s="9">
        <v>15990</v>
      </c>
      <c r="H85" s="9">
        <v>23990</v>
      </c>
      <c r="I85" s="9">
        <v>33</v>
      </c>
      <c r="J85" s="11">
        <v>4.3</v>
      </c>
      <c r="K85" s="9">
        <v>1035</v>
      </c>
      <c r="L85" s="9">
        <v>4.1310972572549902</v>
      </c>
      <c r="M85" s="9" t="s">
        <v>28</v>
      </c>
      <c r="N85" s="9" t="s">
        <v>58</v>
      </c>
      <c r="O85" s="9">
        <v>40.6</v>
      </c>
      <c r="P85" s="9" t="s">
        <v>30</v>
      </c>
      <c r="Q85" s="9" t="b">
        <v>0</v>
      </c>
      <c r="R85" s="9" t="b">
        <v>0</v>
      </c>
      <c r="S85" s="9" t="b">
        <v>0</v>
      </c>
      <c r="T85" s="9">
        <v>0.84</v>
      </c>
      <c r="U85" s="9">
        <v>1</v>
      </c>
      <c r="V85" s="9" t="b">
        <v>1</v>
      </c>
      <c r="W85" s="9" t="s">
        <v>298</v>
      </c>
    </row>
    <row r="86" spans="1:23" ht="29" customHeight="1" x14ac:dyDescent="0.2">
      <c r="A86" s="9" t="s">
        <v>299</v>
      </c>
      <c r="B86" s="10" t="s">
        <v>300</v>
      </c>
      <c r="C86" s="9" t="s">
        <v>25</v>
      </c>
      <c r="D86" s="9" t="s">
        <v>25</v>
      </c>
      <c r="E86" s="9" t="s">
        <v>26</v>
      </c>
      <c r="F86" s="9" t="s">
        <v>27</v>
      </c>
      <c r="G86" s="9">
        <v>399</v>
      </c>
      <c r="H86" s="9">
        <v>999</v>
      </c>
      <c r="I86" s="9">
        <v>60</v>
      </c>
      <c r="J86" s="11">
        <v>4.0999999999999996</v>
      </c>
      <c r="K86" s="9">
        <v>1780</v>
      </c>
      <c r="L86" s="9">
        <v>4.0895695248860289</v>
      </c>
      <c r="M86" s="9" t="s">
        <v>28</v>
      </c>
      <c r="N86" s="9" t="s">
        <v>29</v>
      </c>
      <c r="O86" s="9">
        <v>51.5</v>
      </c>
      <c r="P86" s="9" t="s">
        <v>53</v>
      </c>
      <c r="Q86" s="9" t="b">
        <v>0</v>
      </c>
      <c r="R86" s="9" t="b">
        <v>0</v>
      </c>
      <c r="S86" s="9" t="b">
        <v>0</v>
      </c>
      <c r="T86" s="9">
        <v>1.33</v>
      </c>
      <c r="U86" s="9">
        <v>2</v>
      </c>
      <c r="V86" s="9" t="b">
        <v>1</v>
      </c>
      <c r="W86" s="9" t="s">
        <v>301</v>
      </c>
    </row>
    <row r="87" spans="1:23" ht="29" customHeight="1" x14ac:dyDescent="0.2">
      <c r="A87" s="9" t="s">
        <v>302</v>
      </c>
      <c r="B87" s="10" t="s">
        <v>303</v>
      </c>
      <c r="C87" s="9" t="s">
        <v>44</v>
      </c>
      <c r="D87" s="9" t="s">
        <v>44</v>
      </c>
      <c r="E87" s="9" t="s">
        <v>45</v>
      </c>
      <c r="F87" s="9" t="s">
        <v>133</v>
      </c>
      <c r="G87" s="9">
        <v>399</v>
      </c>
      <c r="H87" s="9">
        <v>1999</v>
      </c>
      <c r="I87" s="9">
        <v>80</v>
      </c>
      <c r="J87" s="11">
        <v>4.5</v>
      </c>
      <c r="K87" s="9">
        <v>505</v>
      </c>
      <c r="L87" s="9">
        <v>4.1337877191987848</v>
      </c>
      <c r="M87" s="9" t="s">
        <v>89</v>
      </c>
      <c r="N87" s="9" t="s">
        <v>29</v>
      </c>
      <c r="O87" s="9">
        <v>77.7</v>
      </c>
      <c r="P87" s="9" t="s">
        <v>36</v>
      </c>
      <c r="Q87" s="9" t="b">
        <v>0</v>
      </c>
      <c r="R87" s="9" t="b">
        <v>0</v>
      </c>
      <c r="S87" s="9" t="b">
        <v>0</v>
      </c>
      <c r="T87" s="9">
        <v>1.1599999999999999</v>
      </c>
      <c r="U87" s="9">
        <v>1</v>
      </c>
      <c r="V87" s="9" t="b">
        <v>1</v>
      </c>
      <c r="W87" s="9" t="s">
        <v>304</v>
      </c>
    </row>
    <row r="88" spans="1:23" ht="29" customHeight="1" x14ac:dyDescent="0.2">
      <c r="A88" s="9" t="s">
        <v>305</v>
      </c>
      <c r="B88" s="10" t="s">
        <v>306</v>
      </c>
      <c r="C88" s="9" t="s">
        <v>25</v>
      </c>
      <c r="D88" s="9" t="s">
        <v>25</v>
      </c>
      <c r="E88" s="9" t="s">
        <v>26</v>
      </c>
      <c r="F88" s="9" t="s">
        <v>27</v>
      </c>
      <c r="G88" s="9">
        <v>210</v>
      </c>
      <c r="H88" s="9">
        <v>399</v>
      </c>
      <c r="I88" s="9">
        <v>47</v>
      </c>
      <c r="J88" s="11">
        <v>4.0999999999999996</v>
      </c>
      <c r="K88" s="9">
        <v>1717</v>
      </c>
      <c r="L88" s="9">
        <v>4.0894496015477344</v>
      </c>
      <c r="M88" s="9" t="s">
        <v>28</v>
      </c>
      <c r="N88" s="9" t="s">
        <v>29</v>
      </c>
      <c r="O88" s="9">
        <v>49.7</v>
      </c>
      <c r="P88" s="9" t="s">
        <v>30</v>
      </c>
      <c r="Q88" s="9" t="b">
        <v>0</v>
      </c>
      <c r="R88" s="9" t="b">
        <v>0</v>
      </c>
      <c r="S88" s="9" t="b">
        <v>0</v>
      </c>
      <c r="T88" s="9">
        <v>0.7</v>
      </c>
      <c r="U88" s="9">
        <v>1</v>
      </c>
      <c r="V88" s="9" t="b">
        <v>1</v>
      </c>
      <c r="W88" s="9" t="s">
        <v>307</v>
      </c>
    </row>
    <row r="89" spans="1:23" ht="29" customHeight="1" x14ac:dyDescent="0.2">
      <c r="A89" s="9" t="s">
        <v>308</v>
      </c>
      <c r="B89" s="10" t="s">
        <v>309</v>
      </c>
      <c r="C89" s="9" t="s">
        <v>44</v>
      </c>
      <c r="D89" s="9" t="s">
        <v>44</v>
      </c>
      <c r="E89" s="9" t="s">
        <v>45</v>
      </c>
      <c r="F89" s="9" t="s">
        <v>133</v>
      </c>
      <c r="G89" s="9">
        <v>1299</v>
      </c>
      <c r="H89" s="9">
        <v>1999</v>
      </c>
      <c r="I89" s="9">
        <v>35</v>
      </c>
      <c r="J89" s="11">
        <v>3.6</v>
      </c>
      <c r="K89" s="9">
        <v>590</v>
      </c>
      <c r="L89" s="9">
        <v>4.0189406299094346</v>
      </c>
      <c r="M89" s="9" t="s">
        <v>89</v>
      </c>
      <c r="N89" s="9" t="s">
        <v>179</v>
      </c>
      <c r="O89" s="9">
        <v>27.8</v>
      </c>
      <c r="P89" s="9" t="s">
        <v>40</v>
      </c>
      <c r="Q89" s="9" t="b">
        <v>0</v>
      </c>
      <c r="R89" s="9" t="b">
        <v>1</v>
      </c>
      <c r="S89" s="9" t="b">
        <v>1</v>
      </c>
      <c r="T89" s="9">
        <v>3.78</v>
      </c>
      <c r="U89" s="9">
        <v>1</v>
      </c>
      <c r="V89" s="9" t="b">
        <v>1</v>
      </c>
      <c r="W89" s="9" t="s">
        <v>310</v>
      </c>
    </row>
    <row r="90" spans="1:23" ht="29" customHeight="1" x14ac:dyDescent="0.2">
      <c r="A90" s="9" t="s">
        <v>311</v>
      </c>
      <c r="B90" s="10" t="s">
        <v>312</v>
      </c>
      <c r="C90" s="9" t="s">
        <v>25</v>
      </c>
      <c r="D90" s="9" t="s">
        <v>25</v>
      </c>
      <c r="E90" s="9" t="s">
        <v>26</v>
      </c>
      <c r="F90" s="9" t="s">
        <v>27</v>
      </c>
      <c r="G90" s="9">
        <v>347</v>
      </c>
      <c r="H90" s="9">
        <v>999</v>
      </c>
      <c r="I90" s="9">
        <v>65</v>
      </c>
      <c r="J90" s="11">
        <v>3.5</v>
      </c>
      <c r="K90" s="9">
        <v>1121</v>
      </c>
      <c r="L90" s="9">
        <v>3.9504329050232041</v>
      </c>
      <c r="M90" s="9" t="s">
        <v>28</v>
      </c>
      <c r="N90" s="9" t="s">
        <v>29</v>
      </c>
      <c r="O90" s="9">
        <v>39.1</v>
      </c>
      <c r="P90" s="9" t="s">
        <v>30</v>
      </c>
      <c r="Q90" s="9" t="b">
        <v>0</v>
      </c>
      <c r="R90" s="9" t="b">
        <v>0</v>
      </c>
      <c r="S90" s="9" t="b">
        <v>1</v>
      </c>
      <c r="T90" s="9">
        <v>1.1599999999999999</v>
      </c>
      <c r="U90" s="9">
        <v>1</v>
      </c>
      <c r="V90" s="9" t="b">
        <v>1</v>
      </c>
      <c r="W90" s="9" t="s">
        <v>313</v>
      </c>
    </row>
    <row r="91" spans="1:23" ht="29" customHeight="1" x14ac:dyDescent="0.2">
      <c r="A91" s="9" t="s">
        <v>314</v>
      </c>
      <c r="B91" s="10" t="s">
        <v>315</v>
      </c>
      <c r="C91" s="9" t="s">
        <v>25</v>
      </c>
      <c r="D91" s="9" t="s">
        <v>25</v>
      </c>
      <c r="E91" s="9" t="s">
        <v>26</v>
      </c>
      <c r="F91" s="9" t="s">
        <v>27</v>
      </c>
      <c r="G91" s="9">
        <v>149</v>
      </c>
      <c r="H91" s="9">
        <v>999</v>
      </c>
      <c r="I91" s="9">
        <v>85</v>
      </c>
      <c r="J91" s="11">
        <v>4</v>
      </c>
      <c r="K91" s="9">
        <v>1313</v>
      </c>
      <c r="L91" s="9">
        <v>4.0627404377264931</v>
      </c>
      <c r="M91" s="9" t="s">
        <v>28</v>
      </c>
      <c r="N91" s="9" t="s">
        <v>29</v>
      </c>
      <c r="O91" s="9">
        <v>60</v>
      </c>
      <c r="P91" s="9" t="s">
        <v>53</v>
      </c>
      <c r="Q91" s="9" t="b">
        <v>0</v>
      </c>
      <c r="R91" s="9" t="b">
        <v>0</v>
      </c>
      <c r="S91" s="9" t="b">
        <v>0</v>
      </c>
      <c r="T91" s="9">
        <v>0.5</v>
      </c>
      <c r="U91" s="9">
        <v>2</v>
      </c>
      <c r="V91" s="9" t="b">
        <v>1</v>
      </c>
      <c r="W91" s="9" t="s">
        <v>316</v>
      </c>
    </row>
    <row r="92" spans="1:23" ht="29" customHeight="1" x14ac:dyDescent="0.2">
      <c r="A92" s="9" t="s">
        <v>317</v>
      </c>
      <c r="B92" s="10" t="s">
        <v>318</v>
      </c>
      <c r="C92" s="9" t="s">
        <v>25</v>
      </c>
      <c r="D92" s="9" t="s">
        <v>25</v>
      </c>
      <c r="E92" s="9" t="s">
        <v>26</v>
      </c>
      <c r="F92" s="9" t="s">
        <v>27</v>
      </c>
      <c r="G92" s="9">
        <v>228</v>
      </c>
      <c r="H92" s="9">
        <v>899</v>
      </c>
      <c r="I92" s="9">
        <v>75</v>
      </c>
      <c r="J92" s="11">
        <v>3.8</v>
      </c>
      <c r="K92" s="9">
        <v>132</v>
      </c>
      <c r="L92" s="9">
        <v>4.0749875700810927</v>
      </c>
      <c r="M92" s="9" t="s">
        <v>89</v>
      </c>
      <c r="N92" s="9" t="s">
        <v>29</v>
      </c>
      <c r="O92" s="9">
        <v>56.7</v>
      </c>
      <c r="P92" s="9" t="s">
        <v>53</v>
      </c>
      <c r="Q92" s="9" t="b">
        <v>0</v>
      </c>
      <c r="R92" s="9" t="b">
        <v>0</v>
      </c>
      <c r="S92" s="9" t="b">
        <v>1</v>
      </c>
      <c r="T92" s="9">
        <v>0.76</v>
      </c>
      <c r="U92" s="9">
        <v>1</v>
      </c>
      <c r="V92" s="9" t="b">
        <v>1</v>
      </c>
      <c r="W92" s="9" t="s">
        <v>319</v>
      </c>
    </row>
    <row r="93" spans="1:23" ht="29" customHeight="1" x14ac:dyDescent="0.2">
      <c r="A93" s="9" t="s">
        <v>320</v>
      </c>
      <c r="B93" s="10" t="s">
        <v>321</v>
      </c>
      <c r="C93" s="9" t="s">
        <v>25</v>
      </c>
      <c r="D93" s="9" t="s">
        <v>25</v>
      </c>
      <c r="E93" s="9" t="s">
        <v>26</v>
      </c>
      <c r="F93" s="9" t="s">
        <v>27</v>
      </c>
      <c r="G93" s="9">
        <v>1599</v>
      </c>
      <c r="H93" s="9">
        <v>1999</v>
      </c>
      <c r="I93" s="9">
        <v>20</v>
      </c>
      <c r="J93" s="11">
        <v>4.4000000000000004</v>
      </c>
      <c r="K93" s="9">
        <v>1951</v>
      </c>
      <c r="L93" s="9">
        <v>4.1923232854958989</v>
      </c>
      <c r="M93" s="9" t="s">
        <v>28</v>
      </c>
      <c r="N93" s="9" t="s">
        <v>179</v>
      </c>
      <c r="O93" s="9">
        <v>45.5</v>
      </c>
      <c r="P93" s="9" t="s">
        <v>30</v>
      </c>
      <c r="Q93" s="9" t="b">
        <v>0</v>
      </c>
      <c r="R93" s="9" t="b">
        <v>0</v>
      </c>
      <c r="S93" s="9" t="b">
        <v>0</v>
      </c>
      <c r="T93" s="9">
        <v>5.35</v>
      </c>
      <c r="U93" s="9">
        <v>2</v>
      </c>
      <c r="V93" s="9" t="b">
        <v>1</v>
      </c>
      <c r="W93" s="9" t="s">
        <v>322</v>
      </c>
    </row>
    <row r="94" spans="1:23" ht="29" customHeight="1" x14ac:dyDescent="0.2">
      <c r="A94" s="9" t="s">
        <v>323</v>
      </c>
      <c r="B94" s="10" t="s">
        <v>324</v>
      </c>
      <c r="C94" s="9" t="s">
        <v>44</v>
      </c>
      <c r="D94" s="9" t="s">
        <v>44</v>
      </c>
      <c r="E94" s="9" t="s">
        <v>45</v>
      </c>
      <c r="F94" s="9" t="s">
        <v>133</v>
      </c>
      <c r="G94" s="9">
        <v>1499</v>
      </c>
      <c r="H94" s="9">
        <v>3999</v>
      </c>
      <c r="I94" s="9">
        <v>63</v>
      </c>
      <c r="J94" s="11">
        <v>3.7</v>
      </c>
      <c r="K94" s="9">
        <v>37</v>
      </c>
      <c r="L94" s="9">
        <v>4.0808893516728029</v>
      </c>
      <c r="M94" s="9" t="s">
        <v>204</v>
      </c>
      <c r="N94" s="9" t="s">
        <v>179</v>
      </c>
      <c r="O94" s="9">
        <v>48.8</v>
      </c>
      <c r="P94" s="9" t="s">
        <v>30</v>
      </c>
      <c r="Q94" s="9" t="b">
        <v>0</v>
      </c>
      <c r="R94" s="9" t="b">
        <v>0</v>
      </c>
      <c r="S94" s="9" t="b">
        <v>1</v>
      </c>
      <c r="T94" s="9">
        <v>4.3600000000000003</v>
      </c>
      <c r="U94" s="9">
        <v>1</v>
      </c>
      <c r="V94" s="9" t="b">
        <v>1</v>
      </c>
      <c r="W94" s="9" t="s">
        <v>325</v>
      </c>
    </row>
    <row r="95" spans="1:23" ht="29" customHeight="1" x14ac:dyDescent="0.2">
      <c r="A95" s="9" t="s">
        <v>326</v>
      </c>
      <c r="B95" s="10" t="s">
        <v>327</v>
      </c>
      <c r="C95" s="9" t="s">
        <v>44</v>
      </c>
      <c r="D95" s="9" t="s">
        <v>44</v>
      </c>
      <c r="E95" s="9" t="s">
        <v>45</v>
      </c>
      <c r="F95" s="9" t="s">
        <v>57</v>
      </c>
      <c r="G95" s="9">
        <v>8499</v>
      </c>
      <c r="H95" s="9">
        <v>15999</v>
      </c>
      <c r="I95" s="9">
        <v>47</v>
      </c>
      <c r="J95" s="11">
        <v>4.3</v>
      </c>
      <c r="K95" s="9">
        <v>592</v>
      </c>
      <c r="L95" s="9">
        <v>4.1139141328925968</v>
      </c>
      <c r="M95" s="9" t="s">
        <v>89</v>
      </c>
      <c r="N95" s="9" t="s">
        <v>144</v>
      </c>
      <c r="O95" s="9">
        <v>46</v>
      </c>
      <c r="P95" s="9" t="s">
        <v>30</v>
      </c>
      <c r="Q95" s="9" t="b">
        <v>0</v>
      </c>
      <c r="R95" s="9" t="b">
        <v>0</v>
      </c>
      <c r="S95" s="9" t="b">
        <v>0</v>
      </c>
      <c r="T95" s="9">
        <v>0.45</v>
      </c>
      <c r="U95" s="9">
        <v>1</v>
      </c>
      <c r="V95" s="9" t="b">
        <v>1</v>
      </c>
      <c r="W95" s="9" t="s">
        <v>328</v>
      </c>
    </row>
    <row r="96" spans="1:23" ht="29" customHeight="1" x14ac:dyDescent="0.2">
      <c r="A96" s="9" t="s">
        <v>329</v>
      </c>
      <c r="B96" s="10" t="s">
        <v>330</v>
      </c>
      <c r="C96" s="9" t="s">
        <v>44</v>
      </c>
      <c r="D96" s="9" t="s">
        <v>44</v>
      </c>
      <c r="E96" s="9" t="s">
        <v>45</v>
      </c>
      <c r="F96" s="9" t="s">
        <v>57</v>
      </c>
      <c r="G96" s="9">
        <v>20990</v>
      </c>
      <c r="H96" s="9">
        <v>44990</v>
      </c>
      <c r="I96" s="9">
        <v>53</v>
      </c>
      <c r="J96" s="11">
        <v>4.0999999999999996</v>
      </c>
      <c r="K96" s="9">
        <v>1259</v>
      </c>
      <c r="L96" s="9">
        <v>4.088487322847917</v>
      </c>
      <c r="M96" s="9" t="s">
        <v>28</v>
      </c>
      <c r="N96" s="9" t="s">
        <v>58</v>
      </c>
      <c r="O96" s="9">
        <v>38.9</v>
      </c>
      <c r="P96" s="9" t="s">
        <v>30</v>
      </c>
      <c r="Q96" s="9" t="b">
        <v>0</v>
      </c>
      <c r="R96" s="9" t="b">
        <v>0</v>
      </c>
      <c r="S96" s="9" t="b">
        <v>0</v>
      </c>
      <c r="T96" s="9">
        <v>1.1100000000000001</v>
      </c>
      <c r="U96" s="9">
        <v>1</v>
      </c>
      <c r="V96" s="9" t="b">
        <v>1</v>
      </c>
      <c r="W96" s="9" t="s">
        <v>331</v>
      </c>
    </row>
    <row r="97" spans="1:23" ht="29" customHeight="1" x14ac:dyDescent="0.2">
      <c r="A97" s="9" t="s">
        <v>332</v>
      </c>
      <c r="B97" s="10" t="s">
        <v>333</v>
      </c>
      <c r="C97" s="9" t="s">
        <v>44</v>
      </c>
      <c r="D97" s="9" t="s">
        <v>44</v>
      </c>
      <c r="E97" s="9" t="s">
        <v>45</v>
      </c>
      <c r="F97" s="9" t="s">
        <v>57</v>
      </c>
      <c r="G97" s="9">
        <v>32999</v>
      </c>
      <c r="H97" s="9">
        <v>44999</v>
      </c>
      <c r="I97" s="9">
        <v>27</v>
      </c>
      <c r="J97" s="11">
        <v>4.2</v>
      </c>
      <c r="K97" s="9">
        <v>45238</v>
      </c>
      <c r="L97" s="9">
        <v>4.1911417045067054</v>
      </c>
      <c r="M97" s="9" t="s">
        <v>28</v>
      </c>
      <c r="N97" s="9" t="s">
        <v>58</v>
      </c>
      <c r="O97" s="9">
        <v>45</v>
      </c>
      <c r="P97" s="9" t="s">
        <v>30</v>
      </c>
      <c r="Q97" s="9" t="b">
        <v>0</v>
      </c>
      <c r="R97" s="9" t="b">
        <v>0</v>
      </c>
      <c r="S97" s="9" t="b">
        <v>0</v>
      </c>
      <c r="T97" s="9">
        <v>1.74</v>
      </c>
      <c r="U97" s="9">
        <v>3</v>
      </c>
      <c r="V97" s="9" t="b">
        <v>0</v>
      </c>
      <c r="W97" s="9" t="s">
        <v>334</v>
      </c>
    </row>
    <row r="98" spans="1:23" ht="29" customHeight="1" x14ac:dyDescent="0.2">
      <c r="A98" s="9" t="s">
        <v>335</v>
      </c>
      <c r="B98" s="10" t="s">
        <v>336</v>
      </c>
      <c r="C98" s="9" t="s">
        <v>44</v>
      </c>
      <c r="D98" s="9" t="s">
        <v>44</v>
      </c>
      <c r="E98" s="9" t="s">
        <v>45</v>
      </c>
      <c r="F98" s="9" t="s">
        <v>46</v>
      </c>
      <c r="G98" s="9">
        <v>799</v>
      </c>
      <c r="H98" s="9">
        <v>1700</v>
      </c>
      <c r="I98" s="9">
        <v>53</v>
      </c>
      <c r="J98" s="11">
        <v>4.0999999999999996</v>
      </c>
      <c r="K98" s="9">
        <v>28638</v>
      </c>
      <c r="L98" s="9">
        <v>4.0982157402410708</v>
      </c>
      <c r="M98" s="9" t="s">
        <v>28</v>
      </c>
      <c r="N98" s="9" t="s">
        <v>93</v>
      </c>
      <c r="O98" s="9">
        <v>58.2</v>
      </c>
      <c r="P98" s="9" t="s">
        <v>53</v>
      </c>
      <c r="Q98" s="9" t="b">
        <v>0</v>
      </c>
      <c r="R98" s="9" t="b">
        <v>1</v>
      </c>
      <c r="S98" s="9" t="b">
        <v>0</v>
      </c>
      <c r="T98" s="9">
        <v>2.09</v>
      </c>
      <c r="U98" s="9">
        <v>1</v>
      </c>
      <c r="V98" s="9" t="b">
        <v>1</v>
      </c>
      <c r="W98" s="9" t="s">
        <v>337</v>
      </c>
    </row>
    <row r="99" spans="1:23" ht="29" customHeight="1" x14ac:dyDescent="0.2">
      <c r="A99" s="9" t="s">
        <v>338</v>
      </c>
      <c r="B99" s="10" t="s">
        <v>339</v>
      </c>
      <c r="C99" s="9" t="s">
        <v>44</v>
      </c>
      <c r="D99" s="9" t="s">
        <v>44</v>
      </c>
      <c r="E99" s="9" t="s">
        <v>45</v>
      </c>
      <c r="F99" s="9" t="s">
        <v>46</v>
      </c>
      <c r="G99" s="9">
        <v>229</v>
      </c>
      <c r="H99" s="9">
        <v>595</v>
      </c>
      <c r="I99" s="9">
        <v>62</v>
      </c>
      <c r="J99" s="11">
        <v>4.3</v>
      </c>
      <c r="K99" s="9">
        <v>12835</v>
      </c>
      <c r="L99" s="9">
        <v>4.2511787372604797</v>
      </c>
      <c r="M99" s="9" t="s">
        <v>28</v>
      </c>
      <c r="N99" s="9" t="s">
        <v>29</v>
      </c>
      <c r="O99" s="9">
        <v>83.5</v>
      </c>
      <c r="P99" s="9" t="s">
        <v>36</v>
      </c>
      <c r="Q99" s="9" t="b">
        <v>1</v>
      </c>
      <c r="R99" s="9" t="b">
        <v>0</v>
      </c>
      <c r="S99" s="9" t="b">
        <v>0</v>
      </c>
      <c r="T99" s="9">
        <v>0.6</v>
      </c>
      <c r="U99" s="9">
        <v>1</v>
      </c>
      <c r="V99" s="9" t="b">
        <v>1</v>
      </c>
      <c r="W99" s="9" t="s">
        <v>340</v>
      </c>
    </row>
    <row r="100" spans="1:23" ht="29" customHeight="1" x14ac:dyDescent="0.2">
      <c r="A100" s="9" t="s">
        <v>341</v>
      </c>
      <c r="B100" s="10" t="s">
        <v>342</v>
      </c>
      <c r="C100" s="9" t="s">
        <v>44</v>
      </c>
      <c r="D100" s="9" t="s">
        <v>44</v>
      </c>
      <c r="E100" s="9" t="s">
        <v>45</v>
      </c>
      <c r="F100" s="9" t="s">
        <v>57</v>
      </c>
      <c r="G100" s="9">
        <v>9999</v>
      </c>
      <c r="H100" s="9">
        <v>27990</v>
      </c>
      <c r="I100" s="9">
        <v>64</v>
      </c>
      <c r="J100" s="11">
        <v>4.2</v>
      </c>
      <c r="K100" s="9">
        <v>1269</v>
      </c>
      <c r="L100" s="9">
        <v>4.113731311076382</v>
      </c>
      <c r="M100" s="9" t="s">
        <v>28</v>
      </c>
      <c r="N100" s="9" t="s">
        <v>144</v>
      </c>
      <c r="O100" s="9">
        <v>54.6</v>
      </c>
      <c r="P100" s="9" t="s">
        <v>53</v>
      </c>
      <c r="Q100" s="9" t="b">
        <v>0</v>
      </c>
      <c r="R100" s="9" t="b">
        <v>0</v>
      </c>
      <c r="S100" s="9" t="b">
        <v>0</v>
      </c>
      <c r="T100" s="9">
        <v>0.53</v>
      </c>
      <c r="U100" s="9">
        <v>1</v>
      </c>
      <c r="V100" s="9" t="b">
        <v>1</v>
      </c>
      <c r="W100" s="9" t="s">
        <v>343</v>
      </c>
    </row>
    <row r="101" spans="1:23" ht="29" customHeight="1" x14ac:dyDescent="0.2">
      <c r="A101" s="9" t="s">
        <v>344</v>
      </c>
      <c r="B101" s="10" t="s">
        <v>345</v>
      </c>
      <c r="C101" s="9" t="s">
        <v>44</v>
      </c>
      <c r="D101" s="9" t="s">
        <v>44</v>
      </c>
      <c r="E101" s="9" t="s">
        <v>45</v>
      </c>
      <c r="F101" s="9" t="s">
        <v>133</v>
      </c>
      <c r="G101" s="9">
        <v>349</v>
      </c>
      <c r="H101" s="9">
        <v>599</v>
      </c>
      <c r="I101" s="9">
        <v>42</v>
      </c>
      <c r="J101" s="11">
        <v>4.2</v>
      </c>
      <c r="K101" s="9">
        <v>284</v>
      </c>
      <c r="L101" s="9">
        <v>4.09273176613884</v>
      </c>
      <c r="M101" s="9" t="s">
        <v>89</v>
      </c>
      <c r="N101" s="9" t="s">
        <v>29</v>
      </c>
      <c r="O101" s="9">
        <v>53</v>
      </c>
      <c r="P101" s="9" t="s">
        <v>53</v>
      </c>
      <c r="Q101" s="9" t="b">
        <v>0</v>
      </c>
      <c r="R101" s="9" t="b">
        <v>0</v>
      </c>
      <c r="S101" s="9" t="b">
        <v>0</v>
      </c>
      <c r="T101" s="9">
        <v>1.01</v>
      </c>
      <c r="U101" s="9">
        <v>1</v>
      </c>
      <c r="V101" s="9" t="b">
        <v>1</v>
      </c>
      <c r="W101" s="9" t="s">
        <v>346</v>
      </c>
    </row>
    <row r="102" spans="1:23" ht="29" customHeight="1" x14ac:dyDescent="0.2">
      <c r="A102" s="9" t="s">
        <v>347</v>
      </c>
      <c r="B102" s="10" t="s">
        <v>348</v>
      </c>
      <c r="C102" s="9" t="s">
        <v>44</v>
      </c>
      <c r="D102" s="9" t="s">
        <v>44</v>
      </c>
      <c r="E102" s="9" t="s">
        <v>45</v>
      </c>
      <c r="F102" s="9" t="s">
        <v>349</v>
      </c>
      <c r="G102" s="9">
        <v>489</v>
      </c>
      <c r="H102" s="9">
        <v>1200</v>
      </c>
      <c r="I102" s="9">
        <v>59</v>
      </c>
      <c r="J102" s="11">
        <v>4.4000000000000004</v>
      </c>
      <c r="K102" s="9">
        <v>69538</v>
      </c>
      <c r="L102" s="9">
        <v>4.3838123763368708</v>
      </c>
      <c r="M102" s="9" t="s">
        <v>28</v>
      </c>
      <c r="N102" s="9" t="s">
        <v>29</v>
      </c>
      <c r="O102" s="9">
        <v>85.6</v>
      </c>
      <c r="P102" s="9" t="s">
        <v>36</v>
      </c>
      <c r="Q102" s="9" t="b">
        <v>1</v>
      </c>
      <c r="R102" s="9" t="b">
        <v>0</v>
      </c>
      <c r="S102" s="9" t="b">
        <v>0</v>
      </c>
      <c r="U102" s="9">
        <v>1</v>
      </c>
      <c r="V102" s="9" t="b">
        <v>1</v>
      </c>
      <c r="W102" s="9" t="s">
        <v>350</v>
      </c>
    </row>
    <row r="103" spans="1:23" ht="29" customHeight="1" x14ac:dyDescent="0.2">
      <c r="A103" s="9" t="s">
        <v>351</v>
      </c>
      <c r="B103" s="10" t="s">
        <v>352</v>
      </c>
      <c r="C103" s="9" t="s">
        <v>44</v>
      </c>
      <c r="D103" s="9" t="s">
        <v>44</v>
      </c>
      <c r="E103" s="9" t="s">
        <v>45</v>
      </c>
      <c r="F103" s="9" t="s">
        <v>57</v>
      </c>
      <c r="G103" s="9">
        <v>23999</v>
      </c>
      <c r="H103" s="9">
        <v>34990</v>
      </c>
      <c r="I103" s="9">
        <v>31</v>
      </c>
      <c r="J103" s="11">
        <v>4.3</v>
      </c>
      <c r="K103" s="9">
        <v>4703</v>
      </c>
      <c r="L103" s="9">
        <v>4.2042807975525136</v>
      </c>
      <c r="M103" s="9" t="s">
        <v>28</v>
      </c>
      <c r="N103" s="9" t="s">
        <v>58</v>
      </c>
      <c r="O103" s="9">
        <v>48.3</v>
      </c>
      <c r="P103" s="9" t="s">
        <v>30</v>
      </c>
      <c r="Q103" s="9" t="b">
        <v>0</v>
      </c>
      <c r="R103" s="9" t="b">
        <v>0</v>
      </c>
      <c r="S103" s="9" t="b">
        <v>0</v>
      </c>
      <c r="T103" s="9">
        <v>1.26</v>
      </c>
      <c r="U103" s="9">
        <v>5</v>
      </c>
      <c r="V103" s="9" t="b">
        <v>0</v>
      </c>
      <c r="W103" s="9" t="s">
        <v>353</v>
      </c>
    </row>
    <row r="104" spans="1:23" ht="29" customHeight="1" x14ac:dyDescent="0.2">
      <c r="A104" s="9" t="s">
        <v>354</v>
      </c>
      <c r="B104" s="10" t="s">
        <v>355</v>
      </c>
      <c r="C104" s="9" t="s">
        <v>25</v>
      </c>
      <c r="D104" s="9" t="s">
        <v>25</v>
      </c>
      <c r="E104" s="9" t="s">
        <v>26</v>
      </c>
      <c r="F104" s="9" t="s">
        <v>27</v>
      </c>
      <c r="G104" s="9">
        <v>399</v>
      </c>
      <c r="H104" s="9">
        <v>999</v>
      </c>
      <c r="I104" s="9">
        <v>60</v>
      </c>
      <c r="J104" s="11">
        <v>4.3</v>
      </c>
      <c r="K104" s="9">
        <v>2806</v>
      </c>
      <c r="L104" s="9">
        <v>4.1766368412393717</v>
      </c>
      <c r="M104" s="9" t="s">
        <v>28</v>
      </c>
      <c r="N104" s="9" t="s">
        <v>29</v>
      </c>
      <c r="O104" s="9">
        <v>65.7</v>
      </c>
      <c r="P104" s="9" t="s">
        <v>36</v>
      </c>
      <c r="Q104" s="9" t="b">
        <v>0</v>
      </c>
      <c r="R104" s="9" t="b">
        <v>0</v>
      </c>
      <c r="S104" s="9" t="b">
        <v>0</v>
      </c>
      <c r="T104" s="9">
        <v>1.33</v>
      </c>
      <c r="U104" s="9">
        <v>4</v>
      </c>
      <c r="V104" s="9" t="b">
        <v>0</v>
      </c>
      <c r="W104" s="9" t="s">
        <v>356</v>
      </c>
    </row>
    <row r="105" spans="1:23" ht="29" customHeight="1" x14ac:dyDescent="0.2">
      <c r="A105" s="9" t="s">
        <v>357</v>
      </c>
      <c r="B105" s="10" t="s">
        <v>358</v>
      </c>
      <c r="C105" s="9" t="s">
        <v>44</v>
      </c>
      <c r="D105" s="9" t="s">
        <v>44</v>
      </c>
      <c r="E105" s="9" t="s">
        <v>359</v>
      </c>
      <c r="F105" s="9" t="s">
        <v>360</v>
      </c>
      <c r="G105" s="9">
        <v>349</v>
      </c>
      <c r="H105" s="9">
        <v>1299</v>
      </c>
      <c r="I105" s="9">
        <v>73</v>
      </c>
      <c r="J105" s="11">
        <v>4</v>
      </c>
      <c r="K105" s="9">
        <v>3295</v>
      </c>
      <c r="L105" s="9">
        <v>4.0451206647794287</v>
      </c>
      <c r="M105" s="9" t="s">
        <v>28</v>
      </c>
      <c r="N105" s="9" t="s">
        <v>29</v>
      </c>
      <c r="O105" s="9">
        <v>55.7</v>
      </c>
      <c r="P105" s="9" t="s">
        <v>53</v>
      </c>
      <c r="Q105" s="9" t="b">
        <v>0</v>
      </c>
      <c r="R105" s="9" t="b">
        <v>0</v>
      </c>
      <c r="S105" s="9" t="b">
        <v>0</v>
      </c>
      <c r="U105" s="9">
        <v>1</v>
      </c>
      <c r="V105" s="9" t="b">
        <v>1</v>
      </c>
      <c r="W105" s="9" t="s">
        <v>361</v>
      </c>
    </row>
    <row r="106" spans="1:23" ht="29" customHeight="1" x14ac:dyDescent="0.2">
      <c r="A106" s="9" t="s">
        <v>362</v>
      </c>
      <c r="B106" s="10" t="s">
        <v>363</v>
      </c>
      <c r="C106" s="9" t="s">
        <v>25</v>
      </c>
      <c r="D106" s="9" t="s">
        <v>25</v>
      </c>
      <c r="E106" s="9" t="s">
        <v>26</v>
      </c>
      <c r="F106" s="9" t="s">
        <v>27</v>
      </c>
      <c r="G106" s="9">
        <v>179</v>
      </c>
      <c r="H106" s="9">
        <v>299</v>
      </c>
      <c r="I106" s="9">
        <v>40</v>
      </c>
      <c r="J106" s="11">
        <v>3.9</v>
      </c>
      <c r="K106" s="9">
        <v>81</v>
      </c>
      <c r="L106" s="9">
        <v>4.0807438771122193</v>
      </c>
      <c r="M106" s="9" t="s">
        <v>204</v>
      </c>
      <c r="N106" s="9" t="s">
        <v>29</v>
      </c>
      <c r="O106" s="9">
        <v>43.5</v>
      </c>
      <c r="P106" s="9" t="s">
        <v>30</v>
      </c>
      <c r="Q106" s="9" t="b">
        <v>0</v>
      </c>
      <c r="R106" s="9" t="b">
        <v>0</v>
      </c>
      <c r="S106" s="9" t="b">
        <v>0</v>
      </c>
      <c r="T106" s="9">
        <v>0.6</v>
      </c>
      <c r="U106" s="9">
        <v>1</v>
      </c>
      <c r="V106" s="9" t="b">
        <v>1</v>
      </c>
      <c r="W106" s="9" t="s">
        <v>364</v>
      </c>
    </row>
    <row r="107" spans="1:23" ht="29" customHeight="1" x14ac:dyDescent="0.2">
      <c r="A107" s="9" t="s">
        <v>365</v>
      </c>
      <c r="B107" s="10" t="s">
        <v>366</v>
      </c>
      <c r="C107" s="9" t="s">
        <v>25</v>
      </c>
      <c r="D107" s="9" t="s">
        <v>25</v>
      </c>
      <c r="E107" s="9" t="s">
        <v>26</v>
      </c>
      <c r="F107" s="9" t="s">
        <v>27</v>
      </c>
      <c r="G107" s="9">
        <v>689</v>
      </c>
      <c r="H107" s="9">
        <v>1500</v>
      </c>
      <c r="I107" s="9">
        <v>54</v>
      </c>
      <c r="J107" s="11">
        <v>4.2</v>
      </c>
      <c r="K107" s="9">
        <v>42301</v>
      </c>
      <c r="L107" s="9">
        <v>4.1905769012706564</v>
      </c>
      <c r="M107" s="9" t="s">
        <v>28</v>
      </c>
      <c r="N107" s="9" t="s">
        <v>93</v>
      </c>
      <c r="O107" s="9">
        <v>61.8</v>
      </c>
      <c r="P107" s="9" t="s">
        <v>36</v>
      </c>
      <c r="Q107" s="9" t="b">
        <v>0</v>
      </c>
      <c r="R107" s="9" t="b">
        <v>0</v>
      </c>
      <c r="S107" s="9" t="b">
        <v>0</v>
      </c>
      <c r="T107" s="9">
        <v>2.2999999999999998</v>
      </c>
      <c r="U107" s="9">
        <v>1</v>
      </c>
      <c r="V107" s="9" t="b">
        <v>1</v>
      </c>
      <c r="W107" s="9" t="s">
        <v>367</v>
      </c>
    </row>
    <row r="108" spans="1:23" ht="29" customHeight="1" x14ac:dyDescent="0.2">
      <c r="A108" s="9" t="s">
        <v>368</v>
      </c>
      <c r="B108" s="10" t="s">
        <v>369</v>
      </c>
      <c r="C108" s="9" t="s">
        <v>44</v>
      </c>
      <c r="D108" s="9" t="s">
        <v>44</v>
      </c>
      <c r="E108" s="9" t="s">
        <v>45</v>
      </c>
      <c r="F108" s="9" t="s">
        <v>57</v>
      </c>
      <c r="G108" s="9">
        <v>30990</v>
      </c>
      <c r="H108" s="9">
        <v>49990</v>
      </c>
      <c r="I108" s="9">
        <v>38</v>
      </c>
      <c r="J108" s="11">
        <v>4.3</v>
      </c>
      <c r="K108" s="9">
        <v>1376</v>
      </c>
      <c r="L108" s="9">
        <v>4.1423059436957894</v>
      </c>
      <c r="M108" s="9" t="s">
        <v>28</v>
      </c>
      <c r="N108" s="9" t="s">
        <v>58</v>
      </c>
      <c r="O108" s="9">
        <v>42.8</v>
      </c>
      <c r="P108" s="9" t="s">
        <v>30</v>
      </c>
      <c r="Q108" s="9" t="b">
        <v>0</v>
      </c>
      <c r="R108" s="9" t="b">
        <v>0</v>
      </c>
      <c r="S108" s="9" t="b">
        <v>0</v>
      </c>
      <c r="T108" s="9">
        <v>1.63</v>
      </c>
      <c r="U108" s="9">
        <v>2</v>
      </c>
      <c r="V108" s="9" t="b">
        <v>1</v>
      </c>
      <c r="W108" s="9" t="s">
        <v>370</v>
      </c>
    </row>
    <row r="109" spans="1:23" ht="29" customHeight="1" x14ac:dyDescent="0.2">
      <c r="A109" s="9" t="s">
        <v>371</v>
      </c>
      <c r="B109" s="10" t="s">
        <v>372</v>
      </c>
      <c r="C109" s="9" t="s">
        <v>25</v>
      </c>
      <c r="D109" s="9" t="s">
        <v>25</v>
      </c>
      <c r="E109" s="9" t="s">
        <v>26</v>
      </c>
      <c r="F109" s="9" t="s">
        <v>27</v>
      </c>
      <c r="G109" s="9">
        <v>249</v>
      </c>
      <c r="H109" s="9">
        <v>931</v>
      </c>
      <c r="I109" s="9">
        <v>73</v>
      </c>
      <c r="J109" s="11">
        <v>3.9</v>
      </c>
      <c r="K109" s="9">
        <v>1075</v>
      </c>
      <c r="L109" s="9">
        <v>4.0436049801924163</v>
      </c>
      <c r="M109" s="9" t="s">
        <v>28</v>
      </c>
      <c r="N109" s="9" t="s">
        <v>29</v>
      </c>
      <c r="O109" s="9">
        <v>51.3</v>
      </c>
      <c r="P109" s="9" t="s">
        <v>53</v>
      </c>
      <c r="Q109" s="9" t="b">
        <v>0</v>
      </c>
      <c r="R109" s="9" t="b">
        <v>0</v>
      </c>
      <c r="S109" s="9" t="b">
        <v>0</v>
      </c>
      <c r="T109" s="9">
        <v>0.83</v>
      </c>
      <c r="U109" s="9">
        <v>4</v>
      </c>
      <c r="V109" s="9" t="b">
        <v>0</v>
      </c>
      <c r="W109" s="9" t="s">
        <v>373</v>
      </c>
    </row>
    <row r="110" spans="1:23" ht="29" customHeight="1" x14ac:dyDescent="0.2">
      <c r="A110" s="9" t="s">
        <v>374</v>
      </c>
      <c r="B110" s="10" t="s">
        <v>375</v>
      </c>
      <c r="C110" s="9" t="s">
        <v>44</v>
      </c>
      <c r="D110" s="9" t="s">
        <v>44</v>
      </c>
      <c r="E110" s="9" t="s">
        <v>45</v>
      </c>
      <c r="F110" s="9" t="s">
        <v>46</v>
      </c>
      <c r="G110" s="9">
        <v>999</v>
      </c>
      <c r="H110" s="9">
        <v>2399</v>
      </c>
      <c r="I110" s="9">
        <v>58</v>
      </c>
      <c r="J110" s="11">
        <v>4.5999999999999996</v>
      </c>
      <c r="K110" s="9">
        <v>3664</v>
      </c>
      <c r="L110" s="9">
        <v>4.3388997632371664</v>
      </c>
      <c r="M110" s="9" t="s">
        <v>28</v>
      </c>
      <c r="N110" s="9" t="s">
        <v>93</v>
      </c>
      <c r="O110" s="9">
        <v>79</v>
      </c>
      <c r="P110" s="9" t="s">
        <v>36</v>
      </c>
      <c r="Q110" s="9" t="b">
        <v>0</v>
      </c>
      <c r="R110" s="9" t="b">
        <v>0</v>
      </c>
      <c r="S110" s="9" t="b">
        <v>0</v>
      </c>
      <c r="T110" s="9">
        <v>2.61</v>
      </c>
      <c r="U110" s="9">
        <v>1</v>
      </c>
      <c r="V110" s="9" t="b">
        <v>1</v>
      </c>
      <c r="W110" s="9" t="s">
        <v>376</v>
      </c>
    </row>
    <row r="111" spans="1:23" ht="29" customHeight="1" x14ac:dyDescent="0.2">
      <c r="A111" s="9" t="s">
        <v>377</v>
      </c>
      <c r="B111" s="10" t="s">
        <v>378</v>
      </c>
      <c r="C111" s="9" t="s">
        <v>44</v>
      </c>
      <c r="D111" s="9" t="s">
        <v>44</v>
      </c>
      <c r="E111" s="9" t="s">
        <v>45</v>
      </c>
      <c r="F111" s="9" t="s">
        <v>133</v>
      </c>
      <c r="G111" s="9">
        <v>399</v>
      </c>
      <c r="H111" s="9">
        <v>399</v>
      </c>
      <c r="I111" s="9">
        <v>0</v>
      </c>
      <c r="J111" s="11">
        <v>3.9</v>
      </c>
      <c r="K111" s="9">
        <v>1951</v>
      </c>
      <c r="L111" s="9">
        <v>4.0215873092991714</v>
      </c>
      <c r="M111" s="9" t="s">
        <v>28</v>
      </c>
      <c r="N111" s="9" t="s">
        <v>29</v>
      </c>
      <c r="O111" s="9">
        <v>27.2</v>
      </c>
      <c r="P111" s="9" t="s">
        <v>40</v>
      </c>
      <c r="Q111" s="9" t="b">
        <v>0</v>
      </c>
      <c r="R111" s="9" t="b">
        <v>0</v>
      </c>
      <c r="S111" s="9" t="b">
        <v>0</v>
      </c>
      <c r="T111" s="9">
        <v>1.1599999999999999</v>
      </c>
      <c r="U111" s="9">
        <v>1</v>
      </c>
      <c r="V111" s="9" t="b">
        <v>1</v>
      </c>
      <c r="W111" s="9" t="s">
        <v>379</v>
      </c>
    </row>
    <row r="112" spans="1:23" ht="29" customHeight="1" x14ac:dyDescent="0.2">
      <c r="A112" s="9" t="s">
        <v>380</v>
      </c>
      <c r="B112" s="10" t="s">
        <v>381</v>
      </c>
      <c r="C112" s="9" t="s">
        <v>25</v>
      </c>
      <c r="D112" s="9" t="s">
        <v>25</v>
      </c>
      <c r="E112" s="9" t="s">
        <v>26</v>
      </c>
      <c r="F112" s="9" t="s">
        <v>27</v>
      </c>
      <c r="G112" s="9">
        <v>349</v>
      </c>
      <c r="H112" s="9">
        <v>699</v>
      </c>
      <c r="I112" s="9">
        <v>50</v>
      </c>
      <c r="J112" s="11">
        <v>4.3</v>
      </c>
      <c r="K112" s="9">
        <v>20850</v>
      </c>
      <c r="L112" s="9">
        <v>4.2670772612160812</v>
      </c>
      <c r="M112" s="9" t="s">
        <v>28</v>
      </c>
      <c r="N112" s="9" t="s">
        <v>29</v>
      </c>
      <c r="O112" s="9">
        <v>69.400000000000006</v>
      </c>
      <c r="P112" s="9" t="s">
        <v>36</v>
      </c>
      <c r="Q112" s="9" t="b">
        <v>0</v>
      </c>
      <c r="R112" s="9" t="b">
        <v>0</v>
      </c>
      <c r="S112" s="9" t="b">
        <v>0</v>
      </c>
      <c r="T112" s="9">
        <v>1.17</v>
      </c>
      <c r="U112" s="9">
        <v>3</v>
      </c>
      <c r="V112" s="9" t="b">
        <v>0</v>
      </c>
      <c r="W112" s="9" t="s">
        <v>382</v>
      </c>
    </row>
    <row r="113" spans="1:23" ht="29" customHeight="1" x14ac:dyDescent="0.2">
      <c r="A113" s="9" t="s">
        <v>383</v>
      </c>
      <c r="B113" s="10" t="s">
        <v>384</v>
      </c>
      <c r="C113" s="9" t="s">
        <v>25</v>
      </c>
      <c r="D113" s="9" t="s">
        <v>25</v>
      </c>
      <c r="E113" s="9" t="s">
        <v>26</v>
      </c>
      <c r="F113" s="9" t="s">
        <v>27</v>
      </c>
      <c r="G113" s="9">
        <v>399</v>
      </c>
      <c r="H113" s="9">
        <v>1099</v>
      </c>
      <c r="I113" s="9">
        <v>64</v>
      </c>
      <c r="J113" s="11">
        <v>4.0999999999999996</v>
      </c>
      <c r="K113" s="9">
        <v>2685</v>
      </c>
      <c r="L113" s="9">
        <v>4.0910335931261441</v>
      </c>
      <c r="M113" s="9" t="s">
        <v>28</v>
      </c>
      <c r="N113" s="9" t="s">
        <v>29</v>
      </c>
      <c r="O113" s="9">
        <v>54.5</v>
      </c>
      <c r="P113" s="9" t="s">
        <v>53</v>
      </c>
      <c r="Q113" s="9" t="b">
        <v>0</v>
      </c>
      <c r="R113" s="9" t="b">
        <v>0</v>
      </c>
      <c r="S113" s="9" t="b">
        <v>0</v>
      </c>
      <c r="T113" s="9">
        <v>1.33</v>
      </c>
      <c r="U113" s="9">
        <v>2</v>
      </c>
      <c r="V113" s="9" t="b">
        <v>1</v>
      </c>
      <c r="W113" s="9" t="s">
        <v>385</v>
      </c>
    </row>
    <row r="114" spans="1:23" ht="29" customHeight="1" x14ac:dyDescent="0.2">
      <c r="A114" s="9" t="s">
        <v>386</v>
      </c>
      <c r="B114" s="10" t="s">
        <v>387</v>
      </c>
      <c r="C114" s="9" t="s">
        <v>25</v>
      </c>
      <c r="D114" s="9" t="s">
        <v>25</v>
      </c>
      <c r="E114" s="9" t="s">
        <v>34</v>
      </c>
      <c r="F114" s="9" t="s">
        <v>35</v>
      </c>
      <c r="G114" s="9">
        <v>1699</v>
      </c>
      <c r="H114" s="9">
        <v>2999</v>
      </c>
      <c r="I114" s="9">
        <v>43</v>
      </c>
      <c r="J114" s="11">
        <v>4.4000000000000004</v>
      </c>
      <c r="K114" s="9">
        <v>24780</v>
      </c>
      <c r="L114" s="9">
        <v>4.3584282768391276</v>
      </c>
      <c r="M114" s="9" t="s">
        <v>28</v>
      </c>
      <c r="N114" s="9" t="s">
        <v>179</v>
      </c>
      <c r="O114" s="9">
        <v>67</v>
      </c>
      <c r="P114" s="9" t="s">
        <v>36</v>
      </c>
      <c r="Q114" s="9" t="b">
        <v>0</v>
      </c>
      <c r="R114" s="9" t="b">
        <v>0</v>
      </c>
      <c r="S114" s="9" t="b">
        <v>0</v>
      </c>
      <c r="T114" s="9">
        <v>3.35</v>
      </c>
      <c r="U114" s="9">
        <v>2</v>
      </c>
      <c r="V114" s="9" t="b">
        <v>1</v>
      </c>
      <c r="W114" s="9" t="s">
        <v>388</v>
      </c>
    </row>
    <row r="115" spans="1:23" ht="29" customHeight="1" x14ac:dyDescent="0.2">
      <c r="A115" s="9" t="s">
        <v>389</v>
      </c>
      <c r="B115" s="10" t="s">
        <v>390</v>
      </c>
      <c r="C115" s="9" t="s">
        <v>44</v>
      </c>
      <c r="D115" s="9" t="s">
        <v>44</v>
      </c>
      <c r="E115" s="9" t="s">
        <v>45</v>
      </c>
      <c r="F115" s="9" t="s">
        <v>133</v>
      </c>
      <c r="G115" s="9">
        <v>655</v>
      </c>
      <c r="H115" s="9">
        <v>1099</v>
      </c>
      <c r="I115" s="9">
        <v>40</v>
      </c>
      <c r="J115" s="11">
        <v>3.2</v>
      </c>
      <c r="K115" s="9">
        <v>285</v>
      </c>
      <c r="L115" s="9">
        <v>4.0223444327809306</v>
      </c>
      <c r="M115" s="9" t="s">
        <v>89</v>
      </c>
      <c r="N115" s="9" t="s">
        <v>93</v>
      </c>
      <c r="O115" s="9">
        <v>35.4</v>
      </c>
      <c r="P115" s="9" t="s">
        <v>40</v>
      </c>
      <c r="Q115" s="9" t="b">
        <v>0</v>
      </c>
      <c r="R115" s="9" t="b">
        <v>0</v>
      </c>
      <c r="S115" s="9" t="b">
        <v>1</v>
      </c>
      <c r="T115" s="9">
        <v>1.9</v>
      </c>
      <c r="U115" s="9">
        <v>1</v>
      </c>
      <c r="V115" s="9" t="b">
        <v>1</v>
      </c>
      <c r="W115" s="9" t="s">
        <v>391</v>
      </c>
    </row>
    <row r="116" spans="1:23" ht="29" customHeight="1" x14ac:dyDescent="0.2">
      <c r="A116" s="9" t="s">
        <v>392</v>
      </c>
      <c r="B116" s="10" t="s">
        <v>393</v>
      </c>
      <c r="C116" s="9" t="s">
        <v>25</v>
      </c>
      <c r="D116" s="9" t="s">
        <v>25</v>
      </c>
      <c r="E116" s="9" t="s">
        <v>34</v>
      </c>
      <c r="F116" s="9" t="s">
        <v>35</v>
      </c>
      <c r="G116" s="9">
        <v>749</v>
      </c>
      <c r="H116" s="9">
        <v>1339</v>
      </c>
      <c r="I116" s="9">
        <v>44</v>
      </c>
      <c r="J116" s="11">
        <v>4.2</v>
      </c>
      <c r="K116" s="9">
        <v>179692</v>
      </c>
      <c r="L116" s="9">
        <v>4.1976339587836806</v>
      </c>
      <c r="M116" s="9" t="s">
        <v>28</v>
      </c>
      <c r="N116" s="9" t="s">
        <v>93</v>
      </c>
      <c r="O116" s="9">
        <v>66.400000000000006</v>
      </c>
      <c r="P116" s="9" t="s">
        <v>36</v>
      </c>
      <c r="Q116" s="9" t="b">
        <v>0</v>
      </c>
      <c r="R116" s="9" t="b">
        <v>0</v>
      </c>
      <c r="S116" s="9" t="b">
        <v>0</v>
      </c>
      <c r="T116" s="9">
        <v>1.48</v>
      </c>
      <c r="U116" s="9">
        <v>3</v>
      </c>
      <c r="V116" s="9" t="b">
        <v>1</v>
      </c>
      <c r="W116" s="9" t="s">
        <v>394</v>
      </c>
    </row>
    <row r="117" spans="1:23" ht="29" customHeight="1" x14ac:dyDescent="0.2">
      <c r="A117" s="9" t="s">
        <v>395</v>
      </c>
      <c r="B117" s="10" t="s">
        <v>396</v>
      </c>
      <c r="C117" s="9" t="s">
        <v>44</v>
      </c>
      <c r="D117" s="9" t="s">
        <v>44</v>
      </c>
      <c r="E117" s="9" t="s">
        <v>45</v>
      </c>
      <c r="F117" s="9" t="s">
        <v>57</v>
      </c>
      <c r="G117" s="9">
        <v>9999</v>
      </c>
      <c r="H117" s="9">
        <v>12999</v>
      </c>
      <c r="I117" s="9">
        <v>23</v>
      </c>
      <c r="J117" s="11">
        <v>4.2</v>
      </c>
      <c r="K117" s="9">
        <v>6088</v>
      </c>
      <c r="L117" s="9">
        <v>4.1559351395036606</v>
      </c>
      <c r="M117" s="9" t="s">
        <v>28</v>
      </c>
      <c r="N117" s="9" t="s">
        <v>144</v>
      </c>
      <c r="O117" s="9">
        <v>39.9</v>
      </c>
      <c r="P117" s="9" t="s">
        <v>30</v>
      </c>
      <c r="Q117" s="9" t="b">
        <v>0</v>
      </c>
      <c r="R117" s="9" t="b">
        <v>0</v>
      </c>
      <c r="S117" s="9" t="b">
        <v>0</v>
      </c>
      <c r="T117" s="9">
        <v>0.53</v>
      </c>
      <c r="U117" s="9">
        <v>1</v>
      </c>
      <c r="V117" s="9" t="b">
        <v>1</v>
      </c>
      <c r="W117" s="9" t="s">
        <v>397</v>
      </c>
    </row>
    <row r="118" spans="1:23" ht="29" customHeight="1" x14ac:dyDescent="0.2">
      <c r="A118" s="9" t="s">
        <v>398</v>
      </c>
      <c r="B118" s="10" t="s">
        <v>399</v>
      </c>
      <c r="C118" s="9" t="s">
        <v>44</v>
      </c>
      <c r="D118" s="9" t="s">
        <v>44</v>
      </c>
      <c r="E118" s="9" t="s">
        <v>45</v>
      </c>
      <c r="F118" s="9" t="s">
        <v>133</v>
      </c>
      <c r="G118" s="9">
        <v>195</v>
      </c>
      <c r="H118" s="9">
        <v>499</v>
      </c>
      <c r="I118" s="9">
        <v>61</v>
      </c>
      <c r="J118" s="11">
        <v>3.7</v>
      </c>
      <c r="K118" s="9">
        <v>1383</v>
      </c>
      <c r="L118" s="9">
        <v>3.9812533459684798</v>
      </c>
      <c r="M118" s="9" t="s">
        <v>28</v>
      </c>
      <c r="N118" s="9" t="s">
        <v>29</v>
      </c>
      <c r="O118" s="9">
        <v>47.2</v>
      </c>
      <c r="P118" s="9" t="s">
        <v>30</v>
      </c>
      <c r="Q118" s="9" t="b">
        <v>0</v>
      </c>
      <c r="R118" s="9" t="b">
        <v>0</v>
      </c>
      <c r="S118" s="9" t="b">
        <v>1</v>
      </c>
      <c r="T118" s="9">
        <v>0.56999999999999995</v>
      </c>
      <c r="U118" s="9">
        <v>1</v>
      </c>
      <c r="V118" s="9" t="b">
        <v>1</v>
      </c>
      <c r="W118" s="9" t="s">
        <v>400</v>
      </c>
    </row>
    <row r="119" spans="1:23" ht="29" customHeight="1" x14ac:dyDescent="0.2">
      <c r="A119" s="9" t="s">
        <v>401</v>
      </c>
      <c r="B119" s="10" t="s">
        <v>402</v>
      </c>
      <c r="C119" s="9" t="s">
        <v>25</v>
      </c>
      <c r="D119" s="9" t="s">
        <v>25</v>
      </c>
      <c r="E119" s="9" t="s">
        <v>26</v>
      </c>
      <c r="F119" s="9" t="s">
        <v>27</v>
      </c>
      <c r="G119" s="9">
        <v>999</v>
      </c>
      <c r="H119" s="9">
        <v>2100</v>
      </c>
      <c r="I119" s="9">
        <v>52</v>
      </c>
      <c r="J119" s="11">
        <v>4.5</v>
      </c>
      <c r="K119" s="9">
        <v>5492</v>
      </c>
      <c r="L119" s="9">
        <v>4.3311296225275084</v>
      </c>
      <c r="M119" s="9" t="s">
        <v>28</v>
      </c>
      <c r="N119" s="9" t="s">
        <v>93</v>
      </c>
      <c r="O119" s="9">
        <v>67.7</v>
      </c>
      <c r="P119" s="9" t="s">
        <v>36</v>
      </c>
      <c r="Q119" s="9" t="b">
        <v>0</v>
      </c>
      <c r="R119" s="9" t="b">
        <v>0</v>
      </c>
      <c r="S119" s="9" t="b">
        <v>0</v>
      </c>
      <c r="T119" s="9">
        <v>3.34</v>
      </c>
      <c r="U119" s="9">
        <v>1</v>
      </c>
      <c r="V119" s="9" t="b">
        <v>1</v>
      </c>
      <c r="W119" s="9" t="s">
        <v>403</v>
      </c>
    </row>
    <row r="120" spans="1:23" ht="29" customHeight="1" x14ac:dyDescent="0.2">
      <c r="A120" s="9" t="s">
        <v>404</v>
      </c>
      <c r="B120" s="10" t="s">
        <v>405</v>
      </c>
      <c r="C120" s="9" t="s">
        <v>25</v>
      </c>
      <c r="D120" s="9" t="s">
        <v>25</v>
      </c>
      <c r="E120" s="9" t="s">
        <v>26</v>
      </c>
      <c r="F120" s="9" t="s">
        <v>27</v>
      </c>
      <c r="G120" s="9">
        <v>499</v>
      </c>
      <c r="H120" s="9">
        <v>899</v>
      </c>
      <c r="I120" s="9">
        <v>44</v>
      </c>
      <c r="J120" s="11">
        <v>4.2</v>
      </c>
      <c r="K120" s="9">
        <v>919</v>
      </c>
      <c r="L120" s="9">
        <v>4.1072816600834807</v>
      </c>
      <c r="M120" s="9" t="s">
        <v>89</v>
      </c>
      <c r="N120" s="9" t="s">
        <v>29</v>
      </c>
      <c r="O120" s="9">
        <v>49.4</v>
      </c>
      <c r="P120" s="9" t="s">
        <v>30</v>
      </c>
      <c r="Q120" s="9" t="b">
        <v>0</v>
      </c>
      <c r="R120" s="9" t="b">
        <v>0</v>
      </c>
      <c r="S120" s="9" t="b">
        <v>0</v>
      </c>
      <c r="T120" s="9">
        <v>1.67</v>
      </c>
      <c r="U120" s="9">
        <v>1</v>
      </c>
      <c r="V120" s="9" t="b">
        <v>1</v>
      </c>
      <c r="W120" s="9" t="s">
        <v>406</v>
      </c>
    </row>
    <row r="121" spans="1:23" ht="29" customHeight="1" x14ac:dyDescent="0.2">
      <c r="A121" s="9" t="s">
        <v>407</v>
      </c>
      <c r="B121" s="10" t="s">
        <v>408</v>
      </c>
      <c r="C121" s="9" t="s">
        <v>44</v>
      </c>
      <c r="D121" s="9" t="s">
        <v>44</v>
      </c>
      <c r="E121" s="9" t="s">
        <v>45</v>
      </c>
      <c r="F121" s="9" t="s">
        <v>409</v>
      </c>
      <c r="G121" s="9">
        <v>416</v>
      </c>
      <c r="H121" s="9">
        <v>599</v>
      </c>
      <c r="I121" s="9">
        <v>31</v>
      </c>
      <c r="J121" s="11">
        <v>4.2</v>
      </c>
      <c r="K121" s="9">
        <v>30023</v>
      </c>
      <c r="L121" s="9">
        <v>4.1871524497693038</v>
      </c>
      <c r="M121" s="9" t="s">
        <v>28</v>
      </c>
      <c r="N121" s="9" t="s">
        <v>29</v>
      </c>
      <c r="O121" s="9">
        <v>62.5</v>
      </c>
      <c r="P121" s="9" t="s">
        <v>36</v>
      </c>
      <c r="Q121" s="9" t="b">
        <v>0</v>
      </c>
      <c r="R121" s="9" t="b">
        <v>0</v>
      </c>
      <c r="S121" s="9" t="b">
        <v>0</v>
      </c>
      <c r="U121" s="9">
        <v>2</v>
      </c>
      <c r="V121" s="9" t="b">
        <v>1</v>
      </c>
      <c r="W121" s="9" t="s">
        <v>410</v>
      </c>
    </row>
    <row r="122" spans="1:23" ht="29" customHeight="1" x14ac:dyDescent="0.2">
      <c r="A122" s="9" t="s">
        <v>411</v>
      </c>
      <c r="B122" s="10" t="s">
        <v>412</v>
      </c>
      <c r="C122" s="9" t="s">
        <v>25</v>
      </c>
      <c r="D122" s="9" t="s">
        <v>25</v>
      </c>
      <c r="E122" s="9" t="s">
        <v>26</v>
      </c>
      <c r="F122" s="9" t="s">
        <v>27</v>
      </c>
      <c r="G122" s="9">
        <v>368</v>
      </c>
      <c r="H122" s="9">
        <v>699</v>
      </c>
      <c r="I122" s="9">
        <v>47</v>
      </c>
      <c r="J122" s="11">
        <v>4.2</v>
      </c>
      <c r="K122" s="9">
        <v>387</v>
      </c>
      <c r="L122" s="9">
        <v>4.0953944069600716</v>
      </c>
      <c r="M122" s="9" t="s">
        <v>89</v>
      </c>
      <c r="N122" s="9" t="s">
        <v>29</v>
      </c>
      <c r="O122" s="9">
        <v>48.3</v>
      </c>
      <c r="P122" s="9" t="s">
        <v>30</v>
      </c>
      <c r="Q122" s="9" t="b">
        <v>0</v>
      </c>
      <c r="R122" s="9" t="b">
        <v>0</v>
      </c>
      <c r="S122" s="9" t="b">
        <v>0</v>
      </c>
      <c r="T122" s="9">
        <v>1.23</v>
      </c>
      <c r="U122" s="9">
        <v>1</v>
      </c>
      <c r="V122" s="9" t="b">
        <v>1</v>
      </c>
      <c r="W122" s="9" t="s">
        <v>413</v>
      </c>
    </row>
    <row r="123" spans="1:23" ht="29" customHeight="1" x14ac:dyDescent="0.2">
      <c r="A123" s="9" t="s">
        <v>414</v>
      </c>
      <c r="B123" s="10" t="s">
        <v>415</v>
      </c>
      <c r="C123" s="9" t="s">
        <v>44</v>
      </c>
      <c r="D123" s="9" t="s">
        <v>44</v>
      </c>
      <c r="E123" s="9" t="s">
        <v>45</v>
      </c>
      <c r="F123" s="9" t="s">
        <v>57</v>
      </c>
      <c r="G123" s="9">
        <v>29990</v>
      </c>
      <c r="H123" s="9">
        <v>65000</v>
      </c>
      <c r="I123" s="9">
        <v>54</v>
      </c>
      <c r="J123" s="11">
        <v>4.0999999999999996</v>
      </c>
      <c r="K123" s="9">
        <v>211</v>
      </c>
      <c r="L123" s="9">
        <v>4.0854508850335511</v>
      </c>
      <c r="M123" s="9" t="s">
        <v>89</v>
      </c>
      <c r="N123" s="9" t="s">
        <v>58</v>
      </c>
      <c r="O123" s="9">
        <v>37.200000000000003</v>
      </c>
      <c r="P123" s="9" t="s">
        <v>40</v>
      </c>
      <c r="Q123" s="9" t="b">
        <v>0</v>
      </c>
      <c r="R123" s="9" t="b">
        <v>0</v>
      </c>
      <c r="S123" s="9" t="b">
        <v>0</v>
      </c>
      <c r="T123" s="9">
        <v>1.58</v>
      </c>
      <c r="U123" s="9">
        <v>1</v>
      </c>
      <c r="V123" s="9" t="b">
        <v>1</v>
      </c>
      <c r="W123" s="9" t="s">
        <v>416</v>
      </c>
    </row>
    <row r="124" spans="1:23" ht="29" customHeight="1" x14ac:dyDescent="0.2">
      <c r="A124" s="9" t="s">
        <v>417</v>
      </c>
      <c r="B124" s="10" t="s">
        <v>418</v>
      </c>
      <c r="C124" s="9" t="s">
        <v>25</v>
      </c>
      <c r="D124" s="9" t="s">
        <v>25</v>
      </c>
      <c r="E124" s="9" t="s">
        <v>26</v>
      </c>
      <c r="F124" s="9" t="s">
        <v>27</v>
      </c>
      <c r="G124" s="9">
        <v>339</v>
      </c>
      <c r="H124" s="9">
        <v>1099</v>
      </c>
      <c r="I124" s="9">
        <v>69</v>
      </c>
      <c r="J124" s="11">
        <v>4.3</v>
      </c>
      <c r="K124" s="9">
        <v>974</v>
      </c>
      <c r="L124" s="9">
        <v>4.1289220081665396</v>
      </c>
      <c r="M124" s="9" t="s">
        <v>89</v>
      </c>
      <c r="N124" s="9" t="s">
        <v>29</v>
      </c>
      <c r="O124" s="9">
        <v>66.8</v>
      </c>
      <c r="P124" s="9" t="s">
        <v>36</v>
      </c>
      <c r="Q124" s="9" t="b">
        <v>0</v>
      </c>
      <c r="R124" s="9" t="b">
        <v>0</v>
      </c>
      <c r="S124" s="9" t="b">
        <v>0</v>
      </c>
      <c r="T124" s="9">
        <v>1.1299999999999999</v>
      </c>
      <c r="U124" s="9">
        <v>2</v>
      </c>
      <c r="V124" s="9" t="b">
        <v>0</v>
      </c>
      <c r="W124" s="9" t="s">
        <v>419</v>
      </c>
    </row>
    <row r="125" spans="1:23" ht="29" customHeight="1" x14ac:dyDescent="0.2">
      <c r="A125" s="9" t="s">
        <v>420</v>
      </c>
      <c r="B125" s="10" t="s">
        <v>421</v>
      </c>
      <c r="C125" s="9" t="s">
        <v>44</v>
      </c>
      <c r="D125" s="9" t="s">
        <v>44</v>
      </c>
      <c r="E125" s="9" t="s">
        <v>45</v>
      </c>
      <c r="F125" s="9" t="s">
        <v>57</v>
      </c>
      <c r="G125" s="9">
        <v>15490</v>
      </c>
      <c r="H125" s="9">
        <v>20900</v>
      </c>
      <c r="I125" s="9">
        <v>26</v>
      </c>
      <c r="J125" s="11">
        <v>4.3</v>
      </c>
      <c r="K125" s="9">
        <v>16299</v>
      </c>
      <c r="L125" s="9">
        <v>4.2596086579608112</v>
      </c>
      <c r="M125" s="9" t="s">
        <v>28</v>
      </c>
      <c r="N125" s="9" t="s">
        <v>58</v>
      </c>
      <c r="O125" s="9">
        <v>49.7</v>
      </c>
      <c r="P125" s="9" t="s">
        <v>30</v>
      </c>
      <c r="Q125" s="9" t="b">
        <v>0</v>
      </c>
      <c r="R125" s="9" t="b">
        <v>0</v>
      </c>
      <c r="S125" s="9" t="b">
        <v>0</v>
      </c>
      <c r="T125" s="9">
        <v>0.82</v>
      </c>
      <c r="U125" s="9">
        <v>2</v>
      </c>
      <c r="V125" s="9" t="b">
        <v>0</v>
      </c>
      <c r="W125" s="9" t="s">
        <v>422</v>
      </c>
    </row>
    <row r="126" spans="1:23" ht="29" customHeight="1" x14ac:dyDescent="0.2">
      <c r="A126" s="9" t="s">
        <v>423</v>
      </c>
      <c r="B126" s="10" t="s">
        <v>424</v>
      </c>
      <c r="C126" s="9" t="s">
        <v>25</v>
      </c>
      <c r="D126" s="9" t="s">
        <v>25</v>
      </c>
      <c r="E126" s="9" t="s">
        <v>26</v>
      </c>
      <c r="F126" s="9" t="s">
        <v>27</v>
      </c>
      <c r="G126" s="9">
        <v>499</v>
      </c>
      <c r="H126" s="9">
        <v>1299</v>
      </c>
      <c r="I126" s="9">
        <v>62</v>
      </c>
      <c r="J126" s="11">
        <v>4.3</v>
      </c>
      <c r="K126" s="9">
        <v>30411</v>
      </c>
      <c r="L126" s="9">
        <v>4.2762883255060444</v>
      </c>
      <c r="M126" s="9" t="s">
        <v>28</v>
      </c>
      <c r="N126" s="9" t="s">
        <v>29</v>
      </c>
      <c r="O126" s="9">
        <v>73.7</v>
      </c>
      <c r="P126" s="9" t="s">
        <v>36</v>
      </c>
      <c r="Q126" s="9" t="b">
        <v>0</v>
      </c>
      <c r="R126" s="9" t="b">
        <v>0</v>
      </c>
      <c r="S126" s="9" t="b">
        <v>0</v>
      </c>
      <c r="T126" s="9">
        <v>1.67</v>
      </c>
      <c r="U126" s="9">
        <v>2</v>
      </c>
      <c r="V126" s="9" t="b">
        <v>1</v>
      </c>
      <c r="W126" s="9" t="s">
        <v>425</v>
      </c>
    </row>
    <row r="127" spans="1:23" ht="29" customHeight="1" x14ac:dyDescent="0.2">
      <c r="A127" s="9" t="s">
        <v>426</v>
      </c>
      <c r="B127" s="10" t="s">
        <v>427</v>
      </c>
      <c r="C127" s="9" t="s">
        <v>25</v>
      </c>
      <c r="D127" s="9" t="s">
        <v>25</v>
      </c>
      <c r="E127" s="9" t="s">
        <v>34</v>
      </c>
      <c r="F127" s="9" t="s">
        <v>35</v>
      </c>
      <c r="G127" s="9">
        <v>249</v>
      </c>
      <c r="H127" s="9">
        <v>399</v>
      </c>
      <c r="I127" s="9">
        <v>38</v>
      </c>
      <c r="J127" s="11">
        <v>3.4</v>
      </c>
      <c r="K127" s="9">
        <v>4642</v>
      </c>
      <c r="L127" s="9">
        <v>3.706495221807462</v>
      </c>
      <c r="M127" s="9" t="s">
        <v>28</v>
      </c>
      <c r="N127" s="9" t="s">
        <v>29</v>
      </c>
      <c r="O127" s="9">
        <v>29.3</v>
      </c>
      <c r="P127" s="9" t="s">
        <v>40</v>
      </c>
      <c r="Q127" s="9" t="b">
        <v>0</v>
      </c>
      <c r="R127" s="9" t="b">
        <v>0</v>
      </c>
      <c r="S127" s="9" t="b">
        <v>1</v>
      </c>
      <c r="T127" s="9">
        <v>0.49</v>
      </c>
      <c r="U127" s="9">
        <v>1</v>
      </c>
      <c r="V127" s="9" t="b">
        <v>1</v>
      </c>
      <c r="W127" s="9" t="s">
        <v>428</v>
      </c>
    </row>
    <row r="128" spans="1:23" ht="29" customHeight="1" x14ac:dyDescent="0.2">
      <c r="A128" s="9" t="s">
        <v>429</v>
      </c>
      <c r="B128" s="10" t="s">
        <v>430</v>
      </c>
      <c r="C128" s="9" t="s">
        <v>44</v>
      </c>
      <c r="D128" s="9" t="s">
        <v>44</v>
      </c>
      <c r="E128" s="9" t="s">
        <v>45</v>
      </c>
      <c r="F128" s="9" t="s">
        <v>133</v>
      </c>
      <c r="G128" s="9">
        <v>399</v>
      </c>
      <c r="H128" s="9">
        <v>799</v>
      </c>
      <c r="I128" s="9">
        <v>50</v>
      </c>
      <c r="J128" s="11">
        <v>4.3</v>
      </c>
      <c r="K128" s="9">
        <v>12</v>
      </c>
      <c r="L128" s="9">
        <v>4.0853196692756164</v>
      </c>
      <c r="M128" s="9" t="s">
        <v>204</v>
      </c>
      <c r="N128" s="9" t="s">
        <v>29</v>
      </c>
      <c r="O128" s="9">
        <v>52</v>
      </c>
      <c r="P128" s="9" t="s">
        <v>53</v>
      </c>
      <c r="Q128" s="9" t="b">
        <v>0</v>
      </c>
      <c r="R128" s="9" t="b">
        <v>0</v>
      </c>
      <c r="S128" s="9" t="b">
        <v>0</v>
      </c>
      <c r="T128" s="9">
        <v>1.1599999999999999</v>
      </c>
      <c r="U128" s="9">
        <v>1</v>
      </c>
      <c r="V128" s="9" t="b">
        <v>1</v>
      </c>
      <c r="W128" s="9" t="s">
        <v>431</v>
      </c>
    </row>
    <row r="129" spans="1:23" ht="29" customHeight="1" x14ac:dyDescent="0.2">
      <c r="A129" s="9" t="s">
        <v>432</v>
      </c>
      <c r="B129" s="10" t="s">
        <v>433</v>
      </c>
      <c r="C129" s="9" t="s">
        <v>25</v>
      </c>
      <c r="D129" s="9" t="s">
        <v>25</v>
      </c>
      <c r="E129" s="9" t="s">
        <v>26</v>
      </c>
      <c r="F129" s="9" t="s">
        <v>27</v>
      </c>
      <c r="G129" s="9">
        <v>1499</v>
      </c>
      <c r="H129" s="9">
        <v>1999</v>
      </c>
      <c r="I129" s="9">
        <v>25</v>
      </c>
      <c r="J129" s="11">
        <v>4.4000000000000004</v>
      </c>
      <c r="K129" s="9">
        <v>1951</v>
      </c>
      <c r="L129" s="9">
        <v>4.1923232854958989</v>
      </c>
      <c r="M129" s="9" t="s">
        <v>28</v>
      </c>
      <c r="N129" s="9" t="s">
        <v>179</v>
      </c>
      <c r="O129" s="9">
        <v>47.2</v>
      </c>
      <c r="P129" s="9" t="s">
        <v>30</v>
      </c>
      <c r="Q129" s="9" t="b">
        <v>0</v>
      </c>
      <c r="R129" s="9" t="b">
        <v>0</v>
      </c>
      <c r="S129" s="9" t="b">
        <v>0</v>
      </c>
      <c r="T129" s="9">
        <v>5.01</v>
      </c>
      <c r="U129" s="9">
        <v>2</v>
      </c>
      <c r="V129" s="9" t="b">
        <v>0</v>
      </c>
      <c r="W129" s="9" t="s">
        <v>434</v>
      </c>
    </row>
    <row r="130" spans="1:23" ht="29" customHeight="1" x14ac:dyDescent="0.2">
      <c r="A130" s="9" t="s">
        <v>435</v>
      </c>
      <c r="B130" s="10" t="s">
        <v>436</v>
      </c>
      <c r="C130" s="9" t="s">
        <v>44</v>
      </c>
      <c r="D130" s="9" t="s">
        <v>44</v>
      </c>
      <c r="E130" s="9" t="s">
        <v>45</v>
      </c>
      <c r="F130" s="9" t="s">
        <v>437</v>
      </c>
      <c r="G130" s="9">
        <v>9490</v>
      </c>
      <c r="H130" s="9">
        <v>15990</v>
      </c>
      <c r="I130" s="9">
        <v>41</v>
      </c>
      <c r="J130" s="11">
        <v>3.9</v>
      </c>
      <c r="K130" s="9">
        <v>10480</v>
      </c>
      <c r="L130" s="9">
        <v>3.9487757831617212</v>
      </c>
      <c r="M130" s="9" t="s">
        <v>28</v>
      </c>
      <c r="N130" s="9" t="s">
        <v>144</v>
      </c>
      <c r="O130" s="9">
        <v>17.899999999999999</v>
      </c>
      <c r="P130" s="9" t="s">
        <v>40</v>
      </c>
      <c r="Q130" s="9" t="b">
        <v>0</v>
      </c>
      <c r="R130" s="9" t="b">
        <v>0</v>
      </c>
      <c r="S130" s="9" t="b">
        <v>0</v>
      </c>
      <c r="U130" s="9">
        <v>1</v>
      </c>
      <c r="V130" s="9" t="b">
        <v>1</v>
      </c>
      <c r="W130" s="9" t="s">
        <v>438</v>
      </c>
    </row>
    <row r="131" spans="1:23" ht="29" customHeight="1" x14ac:dyDescent="0.2">
      <c r="A131" s="9" t="s">
        <v>439</v>
      </c>
      <c r="B131" s="10" t="s">
        <v>440</v>
      </c>
      <c r="C131" s="9" t="s">
        <v>44</v>
      </c>
      <c r="D131" s="9" t="s">
        <v>44</v>
      </c>
      <c r="E131" s="9" t="s">
        <v>45</v>
      </c>
      <c r="F131" s="9" t="s">
        <v>46</v>
      </c>
      <c r="G131" s="9">
        <v>637</v>
      </c>
      <c r="H131" s="9">
        <v>1499</v>
      </c>
      <c r="I131" s="9">
        <v>58</v>
      </c>
      <c r="J131" s="11">
        <v>4.0999999999999996</v>
      </c>
      <c r="K131" s="9">
        <v>24</v>
      </c>
      <c r="L131" s="9">
        <v>4.0847323627837877</v>
      </c>
      <c r="M131" s="9" t="s">
        <v>204</v>
      </c>
      <c r="N131" s="9" t="s">
        <v>93</v>
      </c>
      <c r="O131" s="9">
        <v>53.9</v>
      </c>
      <c r="P131" s="9" t="s">
        <v>53</v>
      </c>
      <c r="Q131" s="9" t="b">
        <v>0</v>
      </c>
      <c r="R131" s="9" t="b">
        <v>0</v>
      </c>
      <c r="S131" s="9" t="b">
        <v>0</v>
      </c>
      <c r="T131" s="9">
        <v>1.66</v>
      </c>
      <c r="U131" s="9">
        <v>1</v>
      </c>
      <c r="V131" s="9" t="b">
        <v>1</v>
      </c>
      <c r="W131" s="9" t="s">
        <v>441</v>
      </c>
    </row>
    <row r="132" spans="1:23" ht="29" customHeight="1" x14ac:dyDescent="0.2">
      <c r="A132" s="9" t="s">
        <v>442</v>
      </c>
      <c r="B132" s="10" t="s">
        <v>443</v>
      </c>
      <c r="C132" s="9" t="s">
        <v>44</v>
      </c>
      <c r="D132" s="9" t="s">
        <v>44</v>
      </c>
      <c r="E132" s="9" t="s">
        <v>45</v>
      </c>
      <c r="F132" s="9" t="s">
        <v>133</v>
      </c>
      <c r="G132" s="9">
        <v>399</v>
      </c>
      <c r="H132" s="9">
        <v>899</v>
      </c>
      <c r="I132" s="9">
        <v>56</v>
      </c>
      <c r="J132" s="11">
        <v>3.9</v>
      </c>
      <c r="K132" s="9">
        <v>254</v>
      </c>
      <c r="L132" s="9">
        <v>4.0729588177967919</v>
      </c>
      <c r="M132" s="9" t="s">
        <v>89</v>
      </c>
      <c r="N132" s="9" t="s">
        <v>29</v>
      </c>
      <c r="O132" s="9">
        <v>52.5</v>
      </c>
      <c r="P132" s="9" t="s">
        <v>53</v>
      </c>
      <c r="Q132" s="9" t="b">
        <v>0</v>
      </c>
      <c r="R132" s="9" t="b">
        <v>0</v>
      </c>
      <c r="S132" s="9" t="b">
        <v>0</v>
      </c>
      <c r="T132" s="9">
        <v>1.1599999999999999</v>
      </c>
      <c r="U132" s="9">
        <v>1</v>
      </c>
      <c r="V132" s="9" t="b">
        <v>1</v>
      </c>
      <c r="W132" s="9" t="s">
        <v>444</v>
      </c>
    </row>
    <row r="133" spans="1:23" ht="29" customHeight="1" x14ac:dyDescent="0.2">
      <c r="A133" s="9" t="s">
        <v>445</v>
      </c>
      <c r="B133" s="10" t="s">
        <v>446</v>
      </c>
      <c r="C133" s="9" t="s">
        <v>44</v>
      </c>
      <c r="D133" s="9" t="s">
        <v>44</v>
      </c>
      <c r="E133" s="9" t="s">
        <v>45</v>
      </c>
      <c r="F133" s="9" t="s">
        <v>409</v>
      </c>
      <c r="G133" s="9">
        <v>1089</v>
      </c>
      <c r="H133" s="9">
        <v>1600</v>
      </c>
      <c r="I133" s="9">
        <v>32</v>
      </c>
      <c r="J133" s="11">
        <v>4</v>
      </c>
      <c r="K133" s="9">
        <v>3565</v>
      </c>
      <c r="L133" s="9">
        <v>4.04345808143034</v>
      </c>
      <c r="M133" s="9" t="s">
        <v>28</v>
      </c>
      <c r="N133" s="9" t="s">
        <v>179</v>
      </c>
      <c r="O133" s="9">
        <v>31.6</v>
      </c>
      <c r="P133" s="9" t="s">
        <v>40</v>
      </c>
      <c r="Q133" s="9" t="b">
        <v>0</v>
      </c>
      <c r="R133" s="9" t="b">
        <v>0</v>
      </c>
      <c r="S133" s="9" t="b">
        <v>0</v>
      </c>
      <c r="U133" s="9">
        <v>1</v>
      </c>
      <c r="V133" s="9" t="b">
        <v>1</v>
      </c>
      <c r="W133" s="9" t="s">
        <v>447</v>
      </c>
    </row>
    <row r="134" spans="1:23" ht="29" customHeight="1" x14ac:dyDescent="0.2">
      <c r="A134" s="9" t="s">
        <v>448</v>
      </c>
      <c r="B134" s="10" t="s">
        <v>449</v>
      </c>
      <c r="C134" s="9" t="s">
        <v>25</v>
      </c>
      <c r="D134" s="9" t="s">
        <v>25</v>
      </c>
      <c r="E134" s="9" t="s">
        <v>26</v>
      </c>
      <c r="F134" s="9" t="s">
        <v>27</v>
      </c>
      <c r="G134" s="9">
        <v>339</v>
      </c>
      <c r="H134" s="9">
        <v>999</v>
      </c>
      <c r="I134" s="9">
        <v>66</v>
      </c>
      <c r="J134" s="11">
        <v>4.3</v>
      </c>
      <c r="K134" s="9">
        <v>6255</v>
      </c>
      <c r="L134" s="9">
        <v>4.2191104658528404</v>
      </c>
      <c r="M134" s="9" t="s">
        <v>28</v>
      </c>
      <c r="N134" s="9" t="s">
        <v>29</v>
      </c>
      <c r="O134" s="9">
        <v>75.7</v>
      </c>
      <c r="P134" s="9" t="s">
        <v>36</v>
      </c>
      <c r="Q134" s="9" t="b">
        <v>0</v>
      </c>
      <c r="R134" s="9" t="b">
        <v>0</v>
      </c>
      <c r="S134" s="9" t="b">
        <v>0</v>
      </c>
      <c r="T134" s="9">
        <v>1.1299999999999999</v>
      </c>
      <c r="U134" s="9">
        <v>2</v>
      </c>
      <c r="V134" s="9" t="b">
        <v>1</v>
      </c>
      <c r="W134" s="9" t="s">
        <v>450</v>
      </c>
    </row>
    <row r="135" spans="1:23" ht="29" customHeight="1" x14ac:dyDescent="0.2">
      <c r="A135" s="9" t="s">
        <v>451</v>
      </c>
      <c r="B135" s="10" t="s">
        <v>452</v>
      </c>
      <c r="C135" s="9" t="s">
        <v>25</v>
      </c>
      <c r="D135" s="9" t="s">
        <v>25</v>
      </c>
      <c r="E135" s="9" t="s">
        <v>26</v>
      </c>
      <c r="F135" s="9" t="s">
        <v>27</v>
      </c>
      <c r="G135" s="9">
        <v>149</v>
      </c>
      <c r="H135" s="9">
        <v>499</v>
      </c>
      <c r="I135" s="9">
        <v>70</v>
      </c>
      <c r="J135" s="11">
        <v>4</v>
      </c>
      <c r="K135" s="9">
        <v>7732</v>
      </c>
      <c r="L135" s="9">
        <v>4.0277036053487159</v>
      </c>
      <c r="M135" s="9" t="s">
        <v>28</v>
      </c>
      <c r="N135" s="9" t="s">
        <v>29</v>
      </c>
      <c r="O135" s="9">
        <v>51.9</v>
      </c>
      <c r="P135" s="9" t="s">
        <v>53</v>
      </c>
      <c r="Q135" s="9" t="b">
        <v>0</v>
      </c>
      <c r="R135" s="9" t="b">
        <v>0</v>
      </c>
      <c r="S135" s="9" t="b">
        <v>0</v>
      </c>
      <c r="T135" s="9">
        <v>0.5</v>
      </c>
      <c r="U135" s="9">
        <v>2</v>
      </c>
      <c r="V135" s="9" t="b">
        <v>1</v>
      </c>
      <c r="W135" s="9" t="s">
        <v>453</v>
      </c>
    </row>
    <row r="136" spans="1:23" ht="29" customHeight="1" x14ac:dyDescent="0.2">
      <c r="A136" s="9" t="s">
        <v>454</v>
      </c>
      <c r="B136" s="10" t="s">
        <v>455</v>
      </c>
      <c r="C136" s="9" t="s">
        <v>25</v>
      </c>
      <c r="D136" s="9" t="s">
        <v>25</v>
      </c>
      <c r="E136" s="9" t="s">
        <v>26</v>
      </c>
      <c r="F136" s="9" t="s">
        <v>27</v>
      </c>
      <c r="G136" s="9">
        <v>149</v>
      </c>
      <c r="H136" s="9">
        <v>399</v>
      </c>
      <c r="I136" s="9">
        <v>63</v>
      </c>
      <c r="J136" s="11">
        <v>3.9</v>
      </c>
      <c r="K136" s="9">
        <v>57</v>
      </c>
      <c r="L136" s="9">
        <v>4.0818795893914954</v>
      </c>
      <c r="M136" s="9" t="s">
        <v>204</v>
      </c>
      <c r="N136" s="9" t="s">
        <v>29</v>
      </c>
      <c r="O136" s="9">
        <v>56.8</v>
      </c>
      <c r="P136" s="9" t="s">
        <v>53</v>
      </c>
      <c r="Q136" s="9" t="b">
        <v>0</v>
      </c>
      <c r="R136" s="9" t="b">
        <v>0</v>
      </c>
      <c r="S136" s="9" t="b">
        <v>0</v>
      </c>
      <c r="T136" s="9">
        <v>0.5</v>
      </c>
      <c r="U136" s="9">
        <v>1</v>
      </c>
      <c r="V136" s="9" t="b">
        <v>1</v>
      </c>
      <c r="W136" s="9" t="s">
        <v>456</v>
      </c>
    </row>
    <row r="137" spans="1:23" ht="29" customHeight="1" x14ac:dyDescent="0.2">
      <c r="A137" s="9" t="s">
        <v>457</v>
      </c>
      <c r="B137" s="10" t="s">
        <v>458</v>
      </c>
      <c r="C137" s="9" t="s">
        <v>25</v>
      </c>
      <c r="D137" s="9" t="s">
        <v>25</v>
      </c>
      <c r="E137" s="9" t="s">
        <v>26</v>
      </c>
      <c r="F137" s="9" t="s">
        <v>27</v>
      </c>
      <c r="G137" s="9">
        <v>599</v>
      </c>
      <c r="H137" s="9">
        <v>849</v>
      </c>
      <c r="I137" s="9">
        <v>29</v>
      </c>
      <c r="J137" s="11">
        <v>4.5</v>
      </c>
      <c r="K137" s="9">
        <v>577</v>
      </c>
      <c r="L137" s="9">
        <v>4.1398638303216533</v>
      </c>
      <c r="M137" s="9" t="s">
        <v>89</v>
      </c>
      <c r="N137" s="9" t="s">
        <v>93</v>
      </c>
      <c r="O137" s="9">
        <v>45.3</v>
      </c>
      <c r="P137" s="9" t="s">
        <v>30</v>
      </c>
      <c r="Q137" s="9" t="b">
        <v>0</v>
      </c>
      <c r="R137" s="9" t="b">
        <v>0</v>
      </c>
      <c r="S137" s="9" t="b">
        <v>0</v>
      </c>
      <c r="T137" s="9">
        <v>2</v>
      </c>
      <c r="U137" s="9">
        <v>1</v>
      </c>
      <c r="V137" s="9" t="b">
        <v>1</v>
      </c>
      <c r="W137" s="9" t="s">
        <v>459</v>
      </c>
    </row>
    <row r="138" spans="1:23" ht="29" customHeight="1" x14ac:dyDescent="0.2">
      <c r="A138" s="9" t="s">
        <v>460</v>
      </c>
      <c r="B138" s="10" t="s">
        <v>461</v>
      </c>
      <c r="C138" s="9" t="s">
        <v>44</v>
      </c>
      <c r="D138" s="9" t="s">
        <v>44</v>
      </c>
      <c r="E138" s="9" t="s">
        <v>45</v>
      </c>
      <c r="F138" s="9" t="s">
        <v>133</v>
      </c>
      <c r="G138" s="9">
        <v>299</v>
      </c>
      <c r="H138" s="9">
        <v>1199</v>
      </c>
      <c r="I138" s="9">
        <v>75</v>
      </c>
      <c r="J138" s="11">
        <v>3.9</v>
      </c>
      <c r="K138" s="9">
        <v>1193</v>
      </c>
      <c r="L138" s="9">
        <v>4.0401854690103551</v>
      </c>
      <c r="M138" s="9" t="s">
        <v>28</v>
      </c>
      <c r="N138" s="9" t="s">
        <v>29</v>
      </c>
      <c r="O138" s="9">
        <v>56.7</v>
      </c>
      <c r="P138" s="9" t="s">
        <v>53</v>
      </c>
      <c r="Q138" s="9" t="b">
        <v>0</v>
      </c>
      <c r="R138" s="9" t="b">
        <v>0</v>
      </c>
      <c r="S138" s="9" t="b">
        <v>0</v>
      </c>
      <c r="T138" s="9">
        <v>0.87</v>
      </c>
      <c r="U138" s="9">
        <v>1</v>
      </c>
      <c r="V138" s="9" t="b">
        <v>1</v>
      </c>
      <c r="W138" s="9" t="s">
        <v>462</v>
      </c>
    </row>
    <row r="139" spans="1:23" ht="29" customHeight="1" x14ac:dyDescent="0.2">
      <c r="A139" s="9" t="s">
        <v>463</v>
      </c>
      <c r="B139" s="10" t="s">
        <v>464</v>
      </c>
      <c r="C139" s="9" t="s">
        <v>25</v>
      </c>
      <c r="D139" s="9" t="s">
        <v>25</v>
      </c>
      <c r="E139" s="9" t="s">
        <v>26</v>
      </c>
      <c r="F139" s="9" t="s">
        <v>27</v>
      </c>
      <c r="G139" s="9">
        <v>399</v>
      </c>
      <c r="H139" s="9">
        <v>1299</v>
      </c>
      <c r="I139" s="9">
        <v>69</v>
      </c>
      <c r="J139" s="11">
        <v>4.2</v>
      </c>
      <c r="K139" s="9">
        <v>13120</v>
      </c>
      <c r="L139" s="9">
        <v>4.1742892990777918</v>
      </c>
      <c r="M139" s="9" t="s">
        <v>28</v>
      </c>
      <c r="N139" s="9" t="s">
        <v>29</v>
      </c>
      <c r="O139" s="9">
        <v>69.2</v>
      </c>
      <c r="P139" s="9" t="s">
        <v>36</v>
      </c>
      <c r="Q139" s="9" t="b">
        <v>0</v>
      </c>
      <c r="R139" s="9" t="b">
        <v>0</v>
      </c>
      <c r="S139" s="9" t="b">
        <v>0</v>
      </c>
      <c r="T139" s="9">
        <v>1.33</v>
      </c>
      <c r="U139" s="9">
        <v>2</v>
      </c>
      <c r="V139" s="9" t="b">
        <v>0</v>
      </c>
      <c r="W139" s="9" t="s">
        <v>465</v>
      </c>
    </row>
    <row r="140" spans="1:23" ht="29" customHeight="1" x14ac:dyDescent="0.2">
      <c r="A140" s="9" t="s">
        <v>466</v>
      </c>
      <c r="B140" s="10" t="s">
        <v>467</v>
      </c>
      <c r="C140" s="9" t="s">
        <v>44</v>
      </c>
      <c r="D140" s="9" t="s">
        <v>44</v>
      </c>
      <c r="E140" s="9" t="s">
        <v>45</v>
      </c>
      <c r="F140" s="9" t="s">
        <v>133</v>
      </c>
      <c r="G140" s="9">
        <v>339</v>
      </c>
      <c r="H140" s="9">
        <v>1999</v>
      </c>
      <c r="I140" s="9">
        <v>83</v>
      </c>
      <c r="J140" s="11">
        <v>4</v>
      </c>
      <c r="K140" s="9">
        <v>343</v>
      </c>
      <c r="L140" s="9">
        <v>4.0775640218440659</v>
      </c>
      <c r="M140" s="9" t="s">
        <v>89</v>
      </c>
      <c r="N140" s="9" t="s">
        <v>29</v>
      </c>
      <c r="O140" s="9">
        <v>63.8</v>
      </c>
      <c r="P140" s="9" t="s">
        <v>36</v>
      </c>
      <c r="Q140" s="9" t="b">
        <v>0</v>
      </c>
      <c r="R140" s="9" t="b">
        <v>0</v>
      </c>
      <c r="S140" s="9" t="b">
        <v>0</v>
      </c>
      <c r="T140" s="9">
        <v>0.99</v>
      </c>
      <c r="U140" s="9">
        <v>1</v>
      </c>
      <c r="V140" s="9" t="b">
        <v>1</v>
      </c>
      <c r="W140" s="9" t="s">
        <v>468</v>
      </c>
    </row>
    <row r="141" spans="1:23" ht="29" customHeight="1" x14ac:dyDescent="0.2">
      <c r="A141" s="9" t="s">
        <v>469</v>
      </c>
      <c r="B141" s="10" t="s">
        <v>470</v>
      </c>
      <c r="C141" s="9" t="s">
        <v>44</v>
      </c>
      <c r="D141" s="9" t="s">
        <v>44</v>
      </c>
      <c r="E141" s="9" t="s">
        <v>45</v>
      </c>
      <c r="F141" s="9" t="s">
        <v>57</v>
      </c>
      <c r="G141" s="9">
        <v>12499</v>
      </c>
      <c r="H141" s="9">
        <v>22990</v>
      </c>
      <c r="I141" s="9">
        <v>46</v>
      </c>
      <c r="J141" s="11">
        <v>4.3</v>
      </c>
      <c r="K141" s="9">
        <v>1611</v>
      </c>
      <c r="L141" s="9">
        <v>4.1492023991217666</v>
      </c>
      <c r="M141" s="9" t="s">
        <v>28</v>
      </c>
      <c r="N141" s="9" t="s">
        <v>58</v>
      </c>
      <c r="O141" s="9">
        <v>48.1</v>
      </c>
      <c r="P141" s="9" t="s">
        <v>30</v>
      </c>
      <c r="Q141" s="9" t="b">
        <v>0</v>
      </c>
      <c r="R141" s="9" t="b">
        <v>0</v>
      </c>
      <c r="S141" s="9" t="b">
        <v>0</v>
      </c>
      <c r="T141" s="9">
        <v>0.66</v>
      </c>
      <c r="U141" s="9">
        <v>2</v>
      </c>
      <c r="V141" s="9" t="b">
        <v>1</v>
      </c>
      <c r="W141" s="9" t="s">
        <v>471</v>
      </c>
    </row>
    <row r="142" spans="1:23" ht="29" customHeight="1" x14ac:dyDescent="0.2">
      <c r="A142" s="9" t="s">
        <v>472</v>
      </c>
      <c r="B142" s="10" t="s">
        <v>473</v>
      </c>
      <c r="C142" s="9" t="s">
        <v>25</v>
      </c>
      <c r="D142" s="9" t="s">
        <v>25</v>
      </c>
      <c r="E142" s="9" t="s">
        <v>26</v>
      </c>
      <c r="F142" s="9" t="s">
        <v>27</v>
      </c>
      <c r="G142" s="9">
        <v>249</v>
      </c>
      <c r="H142" s="9">
        <v>399</v>
      </c>
      <c r="I142" s="9">
        <v>38</v>
      </c>
      <c r="J142" s="11">
        <v>4</v>
      </c>
      <c r="K142" s="9">
        <v>6558</v>
      </c>
      <c r="L142" s="9">
        <v>4.0308550062187702</v>
      </c>
      <c r="M142" s="9" t="s">
        <v>28</v>
      </c>
      <c r="N142" s="9" t="s">
        <v>29</v>
      </c>
      <c r="O142" s="9">
        <v>33.6</v>
      </c>
      <c r="P142" s="9" t="s">
        <v>40</v>
      </c>
      <c r="Q142" s="9" t="b">
        <v>0</v>
      </c>
      <c r="R142" s="9" t="b">
        <v>0</v>
      </c>
      <c r="S142" s="9" t="b">
        <v>0</v>
      </c>
      <c r="T142" s="9">
        <v>0.83</v>
      </c>
      <c r="U142" s="9">
        <v>1</v>
      </c>
      <c r="V142" s="9" t="b">
        <v>1</v>
      </c>
      <c r="W142" s="9" t="s">
        <v>474</v>
      </c>
    </row>
    <row r="143" spans="1:23" ht="29" customHeight="1" x14ac:dyDescent="0.2">
      <c r="A143" s="9" t="s">
        <v>475</v>
      </c>
      <c r="B143" s="10" t="s">
        <v>476</v>
      </c>
      <c r="C143" s="9" t="s">
        <v>25</v>
      </c>
      <c r="D143" s="9" t="s">
        <v>25</v>
      </c>
      <c r="E143" s="9" t="s">
        <v>34</v>
      </c>
      <c r="F143" s="9" t="s">
        <v>35</v>
      </c>
      <c r="G143" s="9">
        <v>1399</v>
      </c>
      <c r="H143" s="9">
        <v>2499</v>
      </c>
      <c r="I143" s="9">
        <v>44</v>
      </c>
      <c r="J143" s="11">
        <v>4.4000000000000004</v>
      </c>
      <c r="K143" s="9">
        <v>23169</v>
      </c>
      <c r="L143" s="9">
        <v>4.3559415217006414</v>
      </c>
      <c r="M143" s="9" t="s">
        <v>28</v>
      </c>
      <c r="N143" s="9" t="s">
        <v>179</v>
      </c>
      <c r="O143" s="9">
        <v>68.599999999999994</v>
      </c>
      <c r="P143" s="9" t="s">
        <v>36</v>
      </c>
      <c r="Q143" s="9" t="b">
        <v>0</v>
      </c>
      <c r="R143" s="9" t="b">
        <v>0</v>
      </c>
      <c r="S143" s="9" t="b">
        <v>0</v>
      </c>
      <c r="T143" s="9">
        <v>2.76</v>
      </c>
      <c r="U143" s="9">
        <v>1</v>
      </c>
      <c r="V143" s="9" t="b">
        <v>1</v>
      </c>
      <c r="W143" s="9" t="s">
        <v>477</v>
      </c>
    </row>
    <row r="144" spans="1:23" ht="29" customHeight="1" x14ac:dyDescent="0.2">
      <c r="A144" s="9" t="s">
        <v>478</v>
      </c>
      <c r="B144" s="10" t="s">
        <v>479</v>
      </c>
      <c r="C144" s="9" t="s">
        <v>44</v>
      </c>
      <c r="D144" s="9" t="s">
        <v>44</v>
      </c>
      <c r="E144" s="9" t="s">
        <v>45</v>
      </c>
      <c r="F144" s="9" t="s">
        <v>57</v>
      </c>
      <c r="G144" s="9">
        <v>32999</v>
      </c>
      <c r="H144" s="9">
        <v>47990</v>
      </c>
      <c r="I144" s="9">
        <v>31</v>
      </c>
      <c r="J144" s="11">
        <v>4.3</v>
      </c>
      <c r="K144" s="9">
        <v>4703</v>
      </c>
      <c r="L144" s="9">
        <v>4.2042807975525136</v>
      </c>
      <c r="M144" s="9" t="s">
        <v>28</v>
      </c>
      <c r="N144" s="9" t="s">
        <v>58</v>
      </c>
      <c r="O144" s="9">
        <v>48</v>
      </c>
      <c r="P144" s="9" t="s">
        <v>30</v>
      </c>
      <c r="Q144" s="9" t="b">
        <v>0</v>
      </c>
      <c r="R144" s="9" t="b">
        <v>0</v>
      </c>
      <c r="S144" s="9" t="b">
        <v>0</v>
      </c>
      <c r="T144" s="9">
        <v>1.74</v>
      </c>
      <c r="U144" s="9">
        <v>5</v>
      </c>
      <c r="V144" s="9" t="b">
        <v>0</v>
      </c>
      <c r="W144" s="9" t="s">
        <v>480</v>
      </c>
    </row>
    <row r="145" spans="1:23" ht="29" customHeight="1" x14ac:dyDescent="0.2">
      <c r="A145" s="9" t="s">
        <v>481</v>
      </c>
      <c r="B145" s="10" t="s">
        <v>482</v>
      </c>
      <c r="C145" s="9" t="s">
        <v>25</v>
      </c>
      <c r="D145" s="9" t="s">
        <v>25</v>
      </c>
      <c r="E145" s="9" t="s">
        <v>26</v>
      </c>
      <c r="F145" s="9" t="s">
        <v>27</v>
      </c>
      <c r="G145" s="9">
        <v>149</v>
      </c>
      <c r="H145" s="9">
        <v>399</v>
      </c>
      <c r="I145" s="9">
        <v>63</v>
      </c>
      <c r="J145" s="11">
        <v>4</v>
      </c>
      <c r="K145" s="9">
        <v>1423</v>
      </c>
      <c r="L145" s="9">
        <v>4.0614095249601423</v>
      </c>
      <c r="M145" s="9" t="s">
        <v>28</v>
      </c>
      <c r="N145" s="9" t="s">
        <v>29</v>
      </c>
      <c r="O145" s="9">
        <v>53.2</v>
      </c>
      <c r="P145" s="9" t="s">
        <v>53</v>
      </c>
      <c r="Q145" s="9" t="b">
        <v>0</v>
      </c>
      <c r="R145" s="9" t="b">
        <v>0</v>
      </c>
      <c r="S145" s="9" t="b">
        <v>0</v>
      </c>
      <c r="T145" s="9">
        <v>0.5</v>
      </c>
      <c r="U145" s="9">
        <v>3</v>
      </c>
      <c r="V145" s="9" t="b">
        <v>0</v>
      </c>
      <c r="W145" s="9" t="s">
        <v>483</v>
      </c>
    </row>
    <row r="146" spans="1:23" ht="29" customHeight="1" x14ac:dyDescent="0.2">
      <c r="A146" s="9" t="s">
        <v>484</v>
      </c>
      <c r="B146" s="10" t="s">
        <v>485</v>
      </c>
      <c r="C146" s="9" t="s">
        <v>25</v>
      </c>
      <c r="D146" s="9" t="s">
        <v>25</v>
      </c>
      <c r="E146" s="9" t="s">
        <v>26</v>
      </c>
      <c r="F146" s="9" t="s">
        <v>27</v>
      </c>
      <c r="G146" s="9">
        <v>325</v>
      </c>
      <c r="H146" s="9">
        <v>999</v>
      </c>
      <c r="I146" s="9">
        <v>67</v>
      </c>
      <c r="J146" s="11">
        <v>4.3</v>
      </c>
      <c r="K146" s="9">
        <v>2651</v>
      </c>
      <c r="L146" s="9">
        <v>4.1736554286553078</v>
      </c>
      <c r="M146" s="9" t="s">
        <v>28</v>
      </c>
      <c r="N146" s="9" t="s">
        <v>29</v>
      </c>
      <c r="O146" s="9">
        <v>70.8</v>
      </c>
      <c r="P146" s="9" t="s">
        <v>36</v>
      </c>
      <c r="Q146" s="9" t="b">
        <v>0</v>
      </c>
      <c r="R146" s="9" t="b">
        <v>0</v>
      </c>
      <c r="S146" s="9" t="b">
        <v>0</v>
      </c>
      <c r="T146" s="9">
        <v>1.0900000000000001</v>
      </c>
      <c r="U146" s="9">
        <v>2</v>
      </c>
      <c r="V146" s="9" t="b">
        <v>1</v>
      </c>
      <c r="W146" s="9" t="s">
        <v>486</v>
      </c>
    </row>
    <row r="147" spans="1:23" ht="29" customHeight="1" x14ac:dyDescent="0.2">
      <c r="A147" s="9" t="s">
        <v>487</v>
      </c>
      <c r="B147" s="10" t="s">
        <v>488</v>
      </c>
      <c r="C147" s="9" t="s">
        <v>25</v>
      </c>
      <c r="D147" s="9" t="s">
        <v>25</v>
      </c>
      <c r="E147" s="9" t="s">
        <v>26</v>
      </c>
      <c r="F147" s="9" t="s">
        <v>27</v>
      </c>
      <c r="G147" s="9">
        <v>399</v>
      </c>
      <c r="H147" s="9">
        <v>1999</v>
      </c>
      <c r="I147" s="9">
        <v>80</v>
      </c>
      <c r="J147" s="11">
        <v>5</v>
      </c>
      <c r="K147" s="9">
        <v>5</v>
      </c>
      <c r="L147" s="9">
        <v>4.0858497920851544</v>
      </c>
      <c r="M147" s="9" t="s">
        <v>204</v>
      </c>
      <c r="N147" s="9" t="s">
        <v>29</v>
      </c>
      <c r="O147" s="9">
        <v>56.6</v>
      </c>
      <c r="P147" s="9" t="s">
        <v>53</v>
      </c>
      <c r="Q147" s="9" t="b">
        <v>0</v>
      </c>
      <c r="R147" s="9" t="b">
        <v>0</v>
      </c>
      <c r="S147" s="9" t="b">
        <v>0</v>
      </c>
      <c r="T147" s="9">
        <v>1.33</v>
      </c>
      <c r="U147" s="9">
        <v>1</v>
      </c>
      <c r="V147" s="9" t="b">
        <v>1</v>
      </c>
      <c r="W147" s="9" t="s">
        <v>489</v>
      </c>
    </row>
    <row r="148" spans="1:23" ht="29" customHeight="1" x14ac:dyDescent="0.2">
      <c r="A148" s="9" t="s">
        <v>490</v>
      </c>
      <c r="B148" s="10" t="s">
        <v>491</v>
      </c>
      <c r="C148" s="9" t="s">
        <v>25</v>
      </c>
      <c r="D148" s="9" t="s">
        <v>25</v>
      </c>
      <c r="E148" s="9" t="s">
        <v>34</v>
      </c>
      <c r="F148" s="9" t="s">
        <v>35</v>
      </c>
      <c r="G148" s="9">
        <v>199</v>
      </c>
      <c r="H148" s="9">
        <v>499</v>
      </c>
      <c r="I148" s="9">
        <v>60</v>
      </c>
      <c r="J148" s="11">
        <v>3.7</v>
      </c>
      <c r="K148" s="9">
        <v>612</v>
      </c>
      <c r="L148" s="9">
        <v>4.0308238865426489</v>
      </c>
      <c r="M148" s="9" t="s">
        <v>89</v>
      </c>
      <c r="N148" s="9" t="s">
        <v>29</v>
      </c>
      <c r="O148" s="9">
        <v>50.7</v>
      </c>
      <c r="P148" s="9" t="s">
        <v>53</v>
      </c>
      <c r="Q148" s="9" t="b">
        <v>0</v>
      </c>
      <c r="R148" s="9" t="b">
        <v>0</v>
      </c>
      <c r="S148" s="9" t="b">
        <v>1</v>
      </c>
      <c r="T148" s="9">
        <v>0.39</v>
      </c>
      <c r="U148" s="9">
        <v>1</v>
      </c>
      <c r="V148" s="9" t="b">
        <v>1</v>
      </c>
      <c r="W148" s="9" t="s">
        <v>492</v>
      </c>
    </row>
    <row r="149" spans="1:23" ht="29" customHeight="1" x14ac:dyDescent="0.2">
      <c r="A149" s="9" t="s">
        <v>493</v>
      </c>
      <c r="B149" s="10" t="s">
        <v>494</v>
      </c>
      <c r="C149" s="9" t="s">
        <v>25</v>
      </c>
      <c r="D149" s="9" t="s">
        <v>25</v>
      </c>
      <c r="E149" s="9" t="s">
        <v>26</v>
      </c>
      <c r="F149" s="9" t="s">
        <v>27</v>
      </c>
      <c r="G149" s="9">
        <v>88</v>
      </c>
      <c r="H149" s="9">
        <v>299</v>
      </c>
      <c r="I149" s="9">
        <v>71</v>
      </c>
      <c r="J149" s="11">
        <v>4</v>
      </c>
      <c r="K149" s="9">
        <v>9378</v>
      </c>
      <c r="L149" s="9">
        <v>4.0242334075324999</v>
      </c>
      <c r="M149" s="9" t="s">
        <v>28</v>
      </c>
      <c r="N149" s="9" t="s">
        <v>29</v>
      </c>
      <c r="O149" s="9">
        <v>53.6</v>
      </c>
      <c r="P149" s="9" t="s">
        <v>53</v>
      </c>
      <c r="Q149" s="9" t="b">
        <v>0</v>
      </c>
      <c r="R149" s="9" t="b">
        <v>0</v>
      </c>
      <c r="S149" s="9" t="b">
        <v>0</v>
      </c>
      <c r="T149" s="9">
        <v>0.28999999999999998</v>
      </c>
      <c r="U149" s="9">
        <v>8</v>
      </c>
      <c r="V149" s="9" t="b">
        <v>0</v>
      </c>
      <c r="W149" s="9" t="s">
        <v>495</v>
      </c>
    </row>
    <row r="150" spans="1:23" ht="29" customHeight="1" x14ac:dyDescent="0.2">
      <c r="A150" s="9" t="s">
        <v>496</v>
      </c>
      <c r="B150" s="10" t="s">
        <v>497</v>
      </c>
      <c r="C150" s="9" t="s">
        <v>25</v>
      </c>
      <c r="D150" s="9" t="s">
        <v>25</v>
      </c>
      <c r="E150" s="9" t="s">
        <v>26</v>
      </c>
      <c r="F150" s="9" t="s">
        <v>27</v>
      </c>
      <c r="G150" s="9">
        <v>399</v>
      </c>
      <c r="H150" s="9">
        <v>1099</v>
      </c>
      <c r="I150" s="9">
        <v>64</v>
      </c>
      <c r="J150" s="11">
        <v>4.0999999999999996</v>
      </c>
      <c r="K150" s="9">
        <v>2685</v>
      </c>
      <c r="L150" s="9">
        <v>4.0910335931261441</v>
      </c>
      <c r="M150" s="9" t="s">
        <v>28</v>
      </c>
      <c r="N150" s="9" t="s">
        <v>29</v>
      </c>
      <c r="O150" s="9">
        <v>54.5</v>
      </c>
      <c r="P150" s="9" t="s">
        <v>53</v>
      </c>
      <c r="Q150" s="9" t="b">
        <v>0</v>
      </c>
      <c r="R150" s="9" t="b">
        <v>0</v>
      </c>
      <c r="S150" s="9" t="b">
        <v>0</v>
      </c>
      <c r="T150" s="9">
        <v>1.33</v>
      </c>
      <c r="U150" s="9">
        <v>2</v>
      </c>
      <c r="V150" s="9" t="b">
        <v>0</v>
      </c>
      <c r="W150" s="9" t="s">
        <v>498</v>
      </c>
    </row>
    <row r="151" spans="1:23" ht="29" customHeight="1" x14ac:dyDescent="0.2">
      <c r="A151" s="9" t="s">
        <v>499</v>
      </c>
      <c r="B151" s="10" t="s">
        <v>500</v>
      </c>
      <c r="C151" s="9" t="s">
        <v>25</v>
      </c>
      <c r="D151" s="9" t="s">
        <v>25</v>
      </c>
      <c r="E151" s="9" t="s">
        <v>26</v>
      </c>
      <c r="F151" s="9" t="s">
        <v>27</v>
      </c>
      <c r="G151" s="9">
        <v>57.89</v>
      </c>
      <c r="H151" s="9">
        <v>199</v>
      </c>
      <c r="I151" s="9">
        <v>71</v>
      </c>
      <c r="J151" s="11">
        <v>4</v>
      </c>
      <c r="K151" s="9">
        <v>9378</v>
      </c>
      <c r="L151" s="9">
        <v>4.0242334075324999</v>
      </c>
      <c r="M151" s="9" t="s">
        <v>28</v>
      </c>
      <c r="N151" s="9" t="s">
        <v>29</v>
      </c>
      <c r="O151" s="9">
        <v>54.5</v>
      </c>
      <c r="P151" s="9" t="s">
        <v>53</v>
      </c>
      <c r="Q151" s="9" t="b">
        <v>0</v>
      </c>
      <c r="R151" s="9" t="b">
        <v>0</v>
      </c>
      <c r="S151" s="9" t="b">
        <v>0</v>
      </c>
      <c r="T151" s="9">
        <v>0.19</v>
      </c>
      <c r="U151" s="9">
        <v>8</v>
      </c>
      <c r="V151" s="9" t="b">
        <v>0</v>
      </c>
      <c r="W151" s="9" t="s">
        <v>501</v>
      </c>
    </row>
    <row r="152" spans="1:23" ht="29" customHeight="1" x14ac:dyDescent="0.2">
      <c r="A152" s="9" t="s">
        <v>502</v>
      </c>
      <c r="B152" s="10" t="s">
        <v>503</v>
      </c>
      <c r="C152" s="9" t="s">
        <v>44</v>
      </c>
      <c r="D152" s="9" t="s">
        <v>44</v>
      </c>
      <c r="E152" s="9" t="s">
        <v>45</v>
      </c>
      <c r="F152" s="9" t="s">
        <v>133</v>
      </c>
      <c r="G152" s="9">
        <v>799</v>
      </c>
      <c r="H152" s="9">
        <v>1999</v>
      </c>
      <c r="I152" s="9">
        <v>60</v>
      </c>
      <c r="J152" s="11">
        <v>3.3</v>
      </c>
      <c r="K152" s="9">
        <v>576</v>
      </c>
      <c r="L152" s="9">
        <v>3.980463084402631</v>
      </c>
      <c r="M152" s="9" t="s">
        <v>89</v>
      </c>
      <c r="N152" s="9" t="s">
        <v>93</v>
      </c>
      <c r="O152" s="9">
        <v>40.9</v>
      </c>
      <c r="P152" s="9" t="s">
        <v>30</v>
      </c>
      <c r="Q152" s="9" t="b">
        <v>0</v>
      </c>
      <c r="R152" s="9" t="b">
        <v>1</v>
      </c>
      <c r="S152" s="9" t="b">
        <v>1</v>
      </c>
      <c r="T152" s="9">
        <v>2.3199999999999998</v>
      </c>
      <c r="U152" s="9">
        <v>1</v>
      </c>
      <c r="V152" s="9" t="b">
        <v>1</v>
      </c>
      <c r="W152" s="9" t="s">
        <v>504</v>
      </c>
    </row>
    <row r="153" spans="1:23" ht="29" customHeight="1" x14ac:dyDescent="0.2">
      <c r="A153" s="9" t="s">
        <v>505</v>
      </c>
      <c r="B153" s="10" t="s">
        <v>506</v>
      </c>
      <c r="C153" s="9" t="s">
        <v>44</v>
      </c>
      <c r="D153" s="9" t="s">
        <v>44</v>
      </c>
      <c r="E153" s="9" t="s">
        <v>45</v>
      </c>
      <c r="F153" s="9" t="s">
        <v>133</v>
      </c>
      <c r="G153" s="9">
        <v>205</v>
      </c>
      <c r="H153" s="9">
        <v>499</v>
      </c>
      <c r="I153" s="9">
        <v>59</v>
      </c>
      <c r="J153" s="11">
        <v>3.8</v>
      </c>
      <c r="K153" s="9">
        <v>313</v>
      </c>
      <c r="L153" s="9">
        <v>4.0627748967441581</v>
      </c>
      <c r="M153" s="9" t="s">
        <v>89</v>
      </c>
      <c r="N153" s="9" t="s">
        <v>29</v>
      </c>
      <c r="O153" s="9">
        <v>54</v>
      </c>
      <c r="P153" s="9" t="s">
        <v>53</v>
      </c>
      <c r="Q153" s="9" t="b">
        <v>0</v>
      </c>
      <c r="R153" s="9" t="b">
        <v>0</v>
      </c>
      <c r="S153" s="9" t="b">
        <v>1</v>
      </c>
      <c r="T153" s="9">
        <v>0.6</v>
      </c>
      <c r="U153" s="9">
        <v>1</v>
      </c>
      <c r="V153" s="9" t="b">
        <v>1</v>
      </c>
      <c r="W153" s="9" t="s">
        <v>507</v>
      </c>
    </row>
    <row r="154" spans="1:23" ht="29" customHeight="1" x14ac:dyDescent="0.2">
      <c r="A154" s="9" t="s">
        <v>508</v>
      </c>
      <c r="B154" s="10" t="s">
        <v>509</v>
      </c>
      <c r="C154" s="9" t="s">
        <v>25</v>
      </c>
      <c r="D154" s="9" t="s">
        <v>25</v>
      </c>
      <c r="E154" s="9" t="s">
        <v>26</v>
      </c>
      <c r="F154" s="9" t="s">
        <v>27</v>
      </c>
      <c r="G154" s="9">
        <v>299</v>
      </c>
      <c r="H154" s="9">
        <v>699</v>
      </c>
      <c r="I154" s="9">
        <v>57</v>
      </c>
      <c r="J154" s="11">
        <v>4.0999999999999996</v>
      </c>
      <c r="K154" s="9">
        <v>2957</v>
      </c>
      <c r="L154" s="9">
        <v>4.0913965461240887</v>
      </c>
      <c r="M154" s="9" t="s">
        <v>28</v>
      </c>
      <c r="N154" s="9" t="s">
        <v>29</v>
      </c>
      <c r="O154" s="9">
        <v>53.5</v>
      </c>
      <c r="P154" s="9" t="s">
        <v>53</v>
      </c>
      <c r="Q154" s="9" t="b">
        <v>0</v>
      </c>
      <c r="R154" s="9" t="b">
        <v>0</v>
      </c>
      <c r="S154" s="9" t="b">
        <v>0</v>
      </c>
      <c r="T154" s="9">
        <v>1</v>
      </c>
      <c r="U154" s="9">
        <v>1</v>
      </c>
      <c r="V154" s="9" t="b">
        <v>1</v>
      </c>
      <c r="W154" s="9" t="s">
        <v>510</v>
      </c>
    </row>
    <row r="155" spans="1:23" ht="29" customHeight="1" x14ac:dyDescent="0.2">
      <c r="A155" s="9" t="s">
        <v>511</v>
      </c>
      <c r="B155" s="10" t="s">
        <v>512</v>
      </c>
      <c r="C155" s="9" t="s">
        <v>25</v>
      </c>
      <c r="D155" s="9" t="s">
        <v>25</v>
      </c>
      <c r="E155" s="9" t="s">
        <v>26</v>
      </c>
      <c r="F155" s="9" t="s">
        <v>27</v>
      </c>
      <c r="G155" s="9">
        <v>849</v>
      </c>
      <c r="H155" s="9">
        <v>999</v>
      </c>
      <c r="I155" s="9">
        <v>15</v>
      </c>
      <c r="J155" s="11">
        <v>4.0999999999999996</v>
      </c>
      <c r="K155" s="9">
        <v>6736</v>
      </c>
      <c r="L155" s="9">
        <v>4.094493412552346</v>
      </c>
      <c r="M155" s="9" t="s">
        <v>28</v>
      </c>
      <c r="N155" s="9" t="s">
        <v>93</v>
      </c>
      <c r="O155" s="9">
        <v>31.5</v>
      </c>
      <c r="P155" s="9" t="s">
        <v>40</v>
      </c>
      <c r="Q155" s="9" t="b">
        <v>0</v>
      </c>
      <c r="R155" s="9" t="b">
        <v>1</v>
      </c>
      <c r="S155" s="9" t="b">
        <v>0</v>
      </c>
      <c r="T155" s="9">
        <v>2.84</v>
      </c>
      <c r="U155" s="9">
        <v>1</v>
      </c>
      <c r="V155" s="9" t="b">
        <v>1</v>
      </c>
      <c r="W155" s="9" t="s">
        <v>513</v>
      </c>
    </row>
    <row r="156" spans="1:23" ht="29" customHeight="1" x14ac:dyDescent="0.2">
      <c r="A156" s="9" t="s">
        <v>514</v>
      </c>
      <c r="B156" s="10" t="s">
        <v>515</v>
      </c>
      <c r="C156" s="9" t="s">
        <v>25</v>
      </c>
      <c r="D156" s="9" t="s">
        <v>25</v>
      </c>
      <c r="E156" s="9" t="s">
        <v>26</v>
      </c>
      <c r="F156" s="9" t="s">
        <v>27</v>
      </c>
      <c r="G156" s="9">
        <v>949</v>
      </c>
      <c r="H156" s="9">
        <v>1999</v>
      </c>
      <c r="I156" s="9">
        <v>53</v>
      </c>
      <c r="J156" s="11">
        <v>4.4000000000000004</v>
      </c>
      <c r="K156" s="9">
        <v>13552</v>
      </c>
      <c r="L156" s="9">
        <v>4.3314701026123084</v>
      </c>
      <c r="M156" s="9" t="s">
        <v>28</v>
      </c>
      <c r="N156" s="9" t="s">
        <v>93</v>
      </c>
      <c r="O156" s="9">
        <v>68.400000000000006</v>
      </c>
      <c r="P156" s="9" t="s">
        <v>36</v>
      </c>
      <c r="Q156" s="9" t="b">
        <v>0</v>
      </c>
      <c r="R156" s="9" t="b">
        <v>0</v>
      </c>
      <c r="S156" s="9" t="b">
        <v>0</v>
      </c>
      <c r="T156" s="9">
        <v>3.17</v>
      </c>
      <c r="U156" s="9">
        <v>3</v>
      </c>
      <c r="V156" s="9" t="b">
        <v>1</v>
      </c>
      <c r="W156" s="9" t="s">
        <v>516</v>
      </c>
    </row>
    <row r="157" spans="1:23" ht="29" customHeight="1" x14ac:dyDescent="0.2">
      <c r="A157" s="9" t="s">
        <v>517</v>
      </c>
      <c r="B157" s="10" t="s">
        <v>518</v>
      </c>
      <c r="C157" s="9" t="s">
        <v>25</v>
      </c>
      <c r="D157" s="9" t="s">
        <v>25</v>
      </c>
      <c r="E157" s="9" t="s">
        <v>26</v>
      </c>
      <c r="F157" s="9" t="s">
        <v>27</v>
      </c>
      <c r="G157" s="9">
        <v>499</v>
      </c>
      <c r="H157" s="9">
        <v>1200</v>
      </c>
      <c r="I157" s="9">
        <v>58</v>
      </c>
      <c r="J157" s="11">
        <v>4.3</v>
      </c>
      <c r="K157" s="9">
        <v>5451</v>
      </c>
      <c r="L157" s="9">
        <v>4.2120517818072187</v>
      </c>
      <c r="M157" s="9" t="s">
        <v>28</v>
      </c>
      <c r="N157" s="9" t="s">
        <v>29</v>
      </c>
      <c r="O157" s="9">
        <v>67.3</v>
      </c>
      <c r="P157" s="9" t="s">
        <v>36</v>
      </c>
      <c r="Q157" s="9" t="b">
        <v>0</v>
      </c>
      <c r="R157" s="9" t="b">
        <v>0</v>
      </c>
      <c r="S157" s="9" t="b">
        <v>0</v>
      </c>
      <c r="T157" s="9">
        <v>1.67</v>
      </c>
      <c r="U157" s="9">
        <v>2</v>
      </c>
      <c r="V157" s="9" t="b">
        <v>1</v>
      </c>
      <c r="W157" s="9" t="s">
        <v>519</v>
      </c>
    </row>
    <row r="158" spans="1:23" ht="29" customHeight="1" x14ac:dyDescent="0.2">
      <c r="A158" s="9" t="s">
        <v>520</v>
      </c>
      <c r="B158" s="10" t="s">
        <v>521</v>
      </c>
      <c r="C158" s="9" t="s">
        <v>25</v>
      </c>
      <c r="D158" s="9" t="s">
        <v>25</v>
      </c>
      <c r="E158" s="9" t="s">
        <v>26</v>
      </c>
      <c r="F158" s="9" t="s">
        <v>27</v>
      </c>
      <c r="G158" s="9">
        <v>299</v>
      </c>
      <c r="H158" s="9">
        <v>485</v>
      </c>
      <c r="I158" s="9">
        <v>38</v>
      </c>
      <c r="J158" s="11">
        <v>4.3</v>
      </c>
      <c r="K158" s="9">
        <v>10911</v>
      </c>
      <c r="L158" s="9">
        <v>4.2447772577558736</v>
      </c>
      <c r="M158" s="9" t="s">
        <v>28</v>
      </c>
      <c r="N158" s="9" t="s">
        <v>29</v>
      </c>
      <c r="O158" s="9">
        <v>63.7</v>
      </c>
      <c r="P158" s="9" t="s">
        <v>36</v>
      </c>
      <c r="Q158" s="9" t="b">
        <v>0</v>
      </c>
      <c r="R158" s="9" t="b">
        <v>0</v>
      </c>
      <c r="S158" s="9" t="b">
        <v>0</v>
      </c>
      <c r="T158" s="9">
        <v>1</v>
      </c>
      <c r="U158" s="9">
        <v>1</v>
      </c>
      <c r="V158" s="9" t="b">
        <v>1</v>
      </c>
      <c r="W158" s="9" t="s">
        <v>522</v>
      </c>
    </row>
    <row r="159" spans="1:23" ht="29" customHeight="1" x14ac:dyDescent="0.2">
      <c r="A159" s="9" t="s">
        <v>523</v>
      </c>
      <c r="B159" s="10" t="s">
        <v>524</v>
      </c>
      <c r="C159" s="9" t="s">
        <v>25</v>
      </c>
      <c r="D159" s="9" t="s">
        <v>25</v>
      </c>
      <c r="E159" s="9" t="s">
        <v>26</v>
      </c>
      <c r="F159" s="9" t="s">
        <v>27</v>
      </c>
      <c r="G159" s="9">
        <v>949</v>
      </c>
      <c r="H159" s="9">
        <v>1999</v>
      </c>
      <c r="I159" s="9">
        <v>53</v>
      </c>
      <c r="J159" s="11">
        <v>4.4000000000000004</v>
      </c>
      <c r="K159" s="9">
        <v>13552</v>
      </c>
      <c r="L159" s="9">
        <v>4.3314701026123084</v>
      </c>
      <c r="M159" s="9" t="s">
        <v>28</v>
      </c>
      <c r="N159" s="9" t="s">
        <v>93</v>
      </c>
      <c r="O159" s="9">
        <v>68.400000000000006</v>
      </c>
      <c r="P159" s="9" t="s">
        <v>36</v>
      </c>
      <c r="Q159" s="9" t="b">
        <v>0</v>
      </c>
      <c r="R159" s="9" t="b">
        <v>0</v>
      </c>
      <c r="S159" s="9" t="b">
        <v>0</v>
      </c>
      <c r="T159" s="9">
        <v>3.17</v>
      </c>
      <c r="U159" s="9">
        <v>3</v>
      </c>
      <c r="V159" s="9" t="b">
        <v>0</v>
      </c>
      <c r="W159" s="9" t="s">
        <v>525</v>
      </c>
    </row>
    <row r="160" spans="1:23" ht="29" customHeight="1" x14ac:dyDescent="0.2">
      <c r="A160" s="9" t="s">
        <v>526</v>
      </c>
      <c r="B160" s="10" t="s">
        <v>527</v>
      </c>
      <c r="C160" s="9" t="s">
        <v>25</v>
      </c>
      <c r="D160" s="9" t="s">
        <v>25</v>
      </c>
      <c r="E160" s="9" t="s">
        <v>26</v>
      </c>
      <c r="F160" s="9" t="s">
        <v>27</v>
      </c>
      <c r="G160" s="9">
        <v>379</v>
      </c>
      <c r="H160" s="9">
        <v>1099</v>
      </c>
      <c r="I160" s="9">
        <v>66</v>
      </c>
      <c r="J160" s="11">
        <v>4.3</v>
      </c>
      <c r="K160" s="9">
        <v>2806</v>
      </c>
      <c r="L160" s="9">
        <v>4.1766368412393717</v>
      </c>
      <c r="M160" s="9" t="s">
        <v>28</v>
      </c>
      <c r="N160" s="9" t="s">
        <v>29</v>
      </c>
      <c r="O160" s="9">
        <v>69.3</v>
      </c>
      <c r="P160" s="9" t="s">
        <v>36</v>
      </c>
      <c r="Q160" s="9" t="b">
        <v>0</v>
      </c>
      <c r="R160" s="9" t="b">
        <v>0</v>
      </c>
      <c r="S160" s="9" t="b">
        <v>0</v>
      </c>
      <c r="T160" s="9">
        <v>1.27</v>
      </c>
      <c r="U160" s="9">
        <v>4</v>
      </c>
      <c r="V160" s="9" t="b">
        <v>0</v>
      </c>
      <c r="W160" s="9" t="s">
        <v>528</v>
      </c>
    </row>
    <row r="161" spans="1:23" ht="29" customHeight="1" x14ac:dyDescent="0.2">
      <c r="A161" s="9" t="s">
        <v>529</v>
      </c>
      <c r="B161" s="10" t="s">
        <v>530</v>
      </c>
      <c r="C161" s="9" t="s">
        <v>44</v>
      </c>
      <c r="D161" s="9" t="s">
        <v>44</v>
      </c>
      <c r="E161" s="9" t="s">
        <v>45</v>
      </c>
      <c r="F161" s="9" t="s">
        <v>57</v>
      </c>
      <c r="G161" s="9">
        <v>8990</v>
      </c>
      <c r="H161" s="9">
        <v>18990</v>
      </c>
      <c r="I161" s="9">
        <v>53</v>
      </c>
      <c r="J161" s="11">
        <v>3.9</v>
      </c>
      <c r="K161" s="9">
        <v>350</v>
      </c>
      <c r="L161" s="9">
        <v>4.0689213596792264</v>
      </c>
      <c r="M161" s="9" t="s">
        <v>89</v>
      </c>
      <c r="N161" s="9" t="s">
        <v>144</v>
      </c>
      <c r="O161" s="9">
        <v>34.4</v>
      </c>
      <c r="P161" s="9" t="s">
        <v>40</v>
      </c>
      <c r="Q161" s="9" t="b">
        <v>0</v>
      </c>
      <c r="R161" s="9" t="b">
        <v>0</v>
      </c>
      <c r="S161" s="9" t="b">
        <v>0</v>
      </c>
      <c r="T161" s="9">
        <v>0.47</v>
      </c>
      <c r="U161" s="9">
        <v>1</v>
      </c>
      <c r="V161" s="9" t="b">
        <v>1</v>
      </c>
      <c r="W161" s="9" t="s">
        <v>531</v>
      </c>
    </row>
    <row r="162" spans="1:23" ht="29" customHeight="1" x14ac:dyDescent="0.2">
      <c r="A162" s="9" t="s">
        <v>532</v>
      </c>
      <c r="B162" s="10" t="s">
        <v>533</v>
      </c>
      <c r="C162" s="9" t="s">
        <v>44</v>
      </c>
      <c r="D162" s="9" t="s">
        <v>44</v>
      </c>
      <c r="E162" s="9" t="s">
        <v>45</v>
      </c>
      <c r="F162" s="9" t="s">
        <v>409</v>
      </c>
      <c r="G162" s="9">
        <v>486</v>
      </c>
      <c r="H162" s="9">
        <v>1999</v>
      </c>
      <c r="I162" s="9">
        <v>76</v>
      </c>
      <c r="J162" s="11">
        <v>4.2</v>
      </c>
      <c r="K162" s="9">
        <v>30023</v>
      </c>
      <c r="L162" s="9">
        <v>4.1871524497693038</v>
      </c>
      <c r="M162" s="9" t="s">
        <v>28</v>
      </c>
      <c r="N162" s="9" t="s">
        <v>29</v>
      </c>
      <c r="O162" s="9">
        <v>81.8</v>
      </c>
      <c r="P162" s="9" t="s">
        <v>36</v>
      </c>
      <c r="Q162" s="9" t="b">
        <v>0</v>
      </c>
      <c r="R162" s="9" t="b">
        <v>0</v>
      </c>
      <c r="S162" s="9" t="b">
        <v>0</v>
      </c>
      <c r="U162" s="9">
        <v>2</v>
      </c>
      <c r="V162" s="9" t="b">
        <v>0</v>
      </c>
      <c r="W162" s="9" t="s">
        <v>534</v>
      </c>
    </row>
    <row r="163" spans="1:23" ht="29" customHeight="1" x14ac:dyDescent="0.2">
      <c r="A163" s="9" t="s">
        <v>535</v>
      </c>
      <c r="B163" s="10" t="s">
        <v>536</v>
      </c>
      <c r="C163" s="9" t="s">
        <v>44</v>
      </c>
      <c r="D163" s="9" t="s">
        <v>44</v>
      </c>
      <c r="E163" s="9" t="s">
        <v>45</v>
      </c>
      <c r="F163" s="9" t="s">
        <v>143</v>
      </c>
      <c r="G163" s="9">
        <v>5699</v>
      </c>
      <c r="H163" s="9">
        <v>11000</v>
      </c>
      <c r="I163" s="9">
        <v>48</v>
      </c>
      <c r="J163" s="11">
        <v>4.2</v>
      </c>
      <c r="K163" s="9">
        <v>4003</v>
      </c>
      <c r="L163" s="9">
        <v>4.1441039329960478</v>
      </c>
      <c r="M163" s="9" t="s">
        <v>28</v>
      </c>
      <c r="N163" s="9" t="s">
        <v>144</v>
      </c>
      <c r="O163" s="9">
        <v>50.3</v>
      </c>
      <c r="P163" s="9" t="s">
        <v>30</v>
      </c>
      <c r="Q163" s="9" t="b">
        <v>0</v>
      </c>
      <c r="R163" s="9" t="b">
        <v>0</v>
      </c>
      <c r="S163" s="9" t="b">
        <v>0</v>
      </c>
      <c r="U163" s="9">
        <v>2</v>
      </c>
      <c r="V163" s="9" t="b">
        <v>0</v>
      </c>
      <c r="W163" s="9" t="s">
        <v>537</v>
      </c>
    </row>
    <row r="164" spans="1:23" ht="29" customHeight="1" x14ac:dyDescent="0.2">
      <c r="A164" s="9" t="s">
        <v>538</v>
      </c>
      <c r="B164" s="10" t="s">
        <v>539</v>
      </c>
      <c r="C164" s="9" t="s">
        <v>25</v>
      </c>
      <c r="D164" s="9" t="s">
        <v>25</v>
      </c>
      <c r="E164" s="9" t="s">
        <v>26</v>
      </c>
      <c r="F164" s="9" t="s">
        <v>27</v>
      </c>
      <c r="G164" s="9">
        <v>709</v>
      </c>
      <c r="H164" s="9">
        <v>1999</v>
      </c>
      <c r="I164" s="9">
        <v>65</v>
      </c>
      <c r="J164" s="11">
        <v>4.0999999999999996</v>
      </c>
      <c r="K164" s="9">
        <v>178817</v>
      </c>
      <c r="L164" s="9">
        <v>4.0996833658306704</v>
      </c>
      <c r="M164" s="9" t="s">
        <v>28</v>
      </c>
      <c r="N164" s="9" t="s">
        <v>93</v>
      </c>
      <c r="O164" s="9">
        <v>57.4</v>
      </c>
      <c r="P164" s="9" t="s">
        <v>53</v>
      </c>
      <c r="Q164" s="9" t="b">
        <v>0</v>
      </c>
      <c r="R164" s="9" t="b">
        <v>1</v>
      </c>
      <c r="S164" s="9" t="b">
        <v>0</v>
      </c>
      <c r="T164" s="9">
        <v>2.37</v>
      </c>
      <c r="U164" s="9">
        <v>1</v>
      </c>
      <c r="V164" s="9" t="b">
        <v>1</v>
      </c>
      <c r="W164" s="9" t="s">
        <v>540</v>
      </c>
    </row>
    <row r="165" spans="1:23" ht="29" customHeight="1" x14ac:dyDescent="0.2">
      <c r="A165" s="9" t="s">
        <v>541</v>
      </c>
      <c r="B165" s="10" t="s">
        <v>542</v>
      </c>
      <c r="C165" s="9" t="s">
        <v>44</v>
      </c>
      <c r="D165" s="9" t="s">
        <v>44</v>
      </c>
      <c r="E165" s="9" t="s">
        <v>45</v>
      </c>
      <c r="F165" s="9" t="s">
        <v>57</v>
      </c>
      <c r="G165" s="9">
        <v>47990</v>
      </c>
      <c r="H165" s="9">
        <v>70900</v>
      </c>
      <c r="I165" s="9">
        <v>32</v>
      </c>
      <c r="J165" s="11">
        <v>4.3</v>
      </c>
      <c r="K165" s="9">
        <v>7109</v>
      </c>
      <c r="L165" s="9">
        <v>4.2254646637244919</v>
      </c>
      <c r="M165" s="9" t="s">
        <v>28</v>
      </c>
      <c r="N165" s="9" t="s">
        <v>58</v>
      </c>
      <c r="O165" s="9">
        <v>49.2</v>
      </c>
      <c r="P165" s="9" t="s">
        <v>30</v>
      </c>
      <c r="Q165" s="9" t="b">
        <v>0</v>
      </c>
      <c r="R165" s="9" t="b">
        <v>0</v>
      </c>
      <c r="S165" s="9" t="b">
        <v>0</v>
      </c>
      <c r="T165" s="9">
        <v>2.5299999999999998</v>
      </c>
      <c r="U165" s="9">
        <v>4</v>
      </c>
      <c r="V165" s="9" t="b">
        <v>0</v>
      </c>
      <c r="W165" s="9" t="s">
        <v>543</v>
      </c>
    </row>
    <row r="166" spans="1:23" ht="29" customHeight="1" x14ac:dyDescent="0.2">
      <c r="A166" s="9" t="s">
        <v>544</v>
      </c>
      <c r="B166" s="10" t="s">
        <v>545</v>
      </c>
      <c r="C166" s="9" t="s">
        <v>44</v>
      </c>
      <c r="D166" s="9" t="s">
        <v>44</v>
      </c>
      <c r="E166" s="9" t="s">
        <v>45</v>
      </c>
      <c r="F166" s="9" t="s">
        <v>133</v>
      </c>
      <c r="G166" s="9">
        <v>299</v>
      </c>
      <c r="H166" s="9">
        <v>1199</v>
      </c>
      <c r="I166" s="9">
        <v>75</v>
      </c>
      <c r="J166" s="11">
        <v>3.7</v>
      </c>
      <c r="K166" s="9">
        <v>490</v>
      </c>
      <c r="L166" s="9">
        <v>4.0403148951630374</v>
      </c>
      <c r="M166" s="9" t="s">
        <v>89</v>
      </c>
      <c r="N166" s="9" t="s">
        <v>29</v>
      </c>
      <c r="O166" s="9">
        <v>56.7</v>
      </c>
      <c r="P166" s="9" t="s">
        <v>53</v>
      </c>
      <c r="Q166" s="9" t="b">
        <v>0</v>
      </c>
      <c r="R166" s="9" t="b">
        <v>0</v>
      </c>
      <c r="S166" s="9" t="b">
        <v>1</v>
      </c>
      <c r="T166" s="9">
        <v>0.87</v>
      </c>
      <c r="U166" s="9">
        <v>1</v>
      </c>
      <c r="V166" s="9" t="b">
        <v>1</v>
      </c>
      <c r="W166" s="9" t="s">
        <v>546</v>
      </c>
    </row>
    <row r="167" spans="1:23" ht="29" customHeight="1" x14ac:dyDescent="0.2">
      <c r="A167" s="9" t="s">
        <v>547</v>
      </c>
      <c r="B167" s="10" t="s">
        <v>548</v>
      </c>
      <c r="C167" s="9" t="s">
        <v>25</v>
      </c>
      <c r="D167" s="9" t="s">
        <v>25</v>
      </c>
      <c r="E167" s="9" t="s">
        <v>26</v>
      </c>
      <c r="F167" s="9" t="s">
        <v>27</v>
      </c>
      <c r="G167" s="9">
        <v>320</v>
      </c>
      <c r="H167" s="9">
        <v>599</v>
      </c>
      <c r="I167" s="9">
        <v>47</v>
      </c>
      <c r="J167" s="11">
        <v>4.0999999999999996</v>
      </c>
      <c r="K167" s="9">
        <v>491</v>
      </c>
      <c r="L167" s="9">
        <v>4.0864086262327062</v>
      </c>
      <c r="M167" s="9" t="s">
        <v>89</v>
      </c>
      <c r="N167" s="9" t="s">
        <v>29</v>
      </c>
      <c r="O167" s="9">
        <v>45</v>
      </c>
      <c r="P167" s="9" t="s">
        <v>30</v>
      </c>
      <c r="Q167" s="9" t="b">
        <v>0</v>
      </c>
      <c r="R167" s="9" t="b">
        <v>0</v>
      </c>
      <c r="S167" s="9" t="b">
        <v>0</v>
      </c>
      <c r="T167" s="9">
        <v>1.07</v>
      </c>
      <c r="U167" s="9">
        <v>1</v>
      </c>
      <c r="V167" s="9" t="b">
        <v>1</v>
      </c>
      <c r="W167" s="9" t="s">
        <v>549</v>
      </c>
    </row>
    <row r="168" spans="1:23" ht="29" customHeight="1" x14ac:dyDescent="0.2">
      <c r="A168" s="9" t="s">
        <v>550</v>
      </c>
      <c r="B168" s="10" t="s">
        <v>551</v>
      </c>
      <c r="C168" s="9" t="s">
        <v>25</v>
      </c>
      <c r="D168" s="9" t="s">
        <v>25</v>
      </c>
      <c r="E168" s="9" t="s">
        <v>26</v>
      </c>
      <c r="F168" s="9" t="s">
        <v>27</v>
      </c>
      <c r="G168" s="9">
        <v>139</v>
      </c>
      <c r="H168" s="9">
        <v>549</v>
      </c>
      <c r="I168" s="9">
        <v>75</v>
      </c>
      <c r="J168" s="11">
        <v>3.9</v>
      </c>
      <c r="K168" s="9">
        <v>61</v>
      </c>
      <c r="L168" s="9">
        <v>4.0816893138958594</v>
      </c>
      <c r="M168" s="9" t="s">
        <v>204</v>
      </c>
      <c r="N168" s="9" t="s">
        <v>29</v>
      </c>
      <c r="O168" s="9">
        <v>61.2</v>
      </c>
      <c r="P168" s="9" t="s">
        <v>36</v>
      </c>
      <c r="Q168" s="9" t="b">
        <v>0</v>
      </c>
      <c r="R168" s="9" t="b">
        <v>0</v>
      </c>
      <c r="S168" s="9" t="b">
        <v>0</v>
      </c>
      <c r="T168" s="9">
        <v>0.46</v>
      </c>
      <c r="U168" s="9">
        <v>2</v>
      </c>
      <c r="V168" s="9" t="b">
        <v>1</v>
      </c>
      <c r="W168" s="9" t="s">
        <v>552</v>
      </c>
    </row>
    <row r="169" spans="1:23" ht="29" customHeight="1" x14ac:dyDescent="0.2">
      <c r="A169" s="9" t="s">
        <v>553</v>
      </c>
      <c r="B169" s="10" t="s">
        <v>554</v>
      </c>
      <c r="C169" s="9" t="s">
        <v>25</v>
      </c>
      <c r="D169" s="9" t="s">
        <v>25</v>
      </c>
      <c r="E169" s="9" t="s">
        <v>26</v>
      </c>
      <c r="F169" s="9" t="s">
        <v>27</v>
      </c>
      <c r="G169" s="9">
        <v>129</v>
      </c>
      <c r="H169" s="9">
        <v>249</v>
      </c>
      <c r="I169" s="9">
        <v>48</v>
      </c>
      <c r="J169" s="11">
        <v>4</v>
      </c>
      <c r="K169" s="9">
        <v>9378</v>
      </c>
      <c r="L169" s="9">
        <v>4.0242334075324999</v>
      </c>
      <c r="M169" s="9" t="s">
        <v>28</v>
      </c>
      <c r="N169" s="9" t="s">
        <v>29</v>
      </c>
      <c r="O169" s="9">
        <v>41.3</v>
      </c>
      <c r="P169" s="9" t="s">
        <v>30</v>
      </c>
      <c r="Q169" s="9" t="b">
        <v>0</v>
      </c>
      <c r="R169" s="9" t="b">
        <v>0</v>
      </c>
      <c r="S169" s="9" t="b">
        <v>0</v>
      </c>
      <c r="T169" s="9">
        <v>0.43</v>
      </c>
      <c r="U169" s="9">
        <v>8</v>
      </c>
      <c r="V169" s="9" t="b">
        <v>0</v>
      </c>
      <c r="W169" s="9" t="s">
        <v>555</v>
      </c>
    </row>
    <row r="170" spans="1:23" ht="29" customHeight="1" x14ac:dyDescent="0.2">
      <c r="A170" s="9" t="s">
        <v>556</v>
      </c>
      <c r="B170" s="10" t="s">
        <v>557</v>
      </c>
      <c r="C170" s="9" t="s">
        <v>44</v>
      </c>
      <c r="D170" s="9" t="s">
        <v>44</v>
      </c>
      <c r="E170" s="9" t="s">
        <v>45</v>
      </c>
      <c r="F170" s="9" t="s">
        <v>57</v>
      </c>
      <c r="G170" s="9">
        <v>24999</v>
      </c>
      <c r="H170" s="9">
        <v>35999</v>
      </c>
      <c r="I170" s="9">
        <v>31</v>
      </c>
      <c r="J170" s="11">
        <v>4.2</v>
      </c>
      <c r="K170" s="9">
        <v>32840</v>
      </c>
      <c r="L170" s="9">
        <v>4.1881412223668004</v>
      </c>
      <c r="M170" s="9" t="s">
        <v>28</v>
      </c>
      <c r="N170" s="9" t="s">
        <v>58</v>
      </c>
      <c r="O170" s="9">
        <v>46</v>
      </c>
      <c r="P170" s="9" t="s">
        <v>30</v>
      </c>
      <c r="Q170" s="9" t="b">
        <v>0</v>
      </c>
      <c r="R170" s="9" t="b">
        <v>0</v>
      </c>
      <c r="S170" s="9" t="b">
        <v>0</v>
      </c>
      <c r="T170" s="9">
        <v>1.32</v>
      </c>
      <c r="U170" s="9">
        <v>5</v>
      </c>
      <c r="V170" s="9" t="b">
        <v>0</v>
      </c>
      <c r="W170" s="9" t="s">
        <v>558</v>
      </c>
    </row>
    <row r="171" spans="1:23" ht="29" customHeight="1" x14ac:dyDescent="0.2">
      <c r="A171" s="9" t="s">
        <v>559</v>
      </c>
      <c r="B171" s="10" t="s">
        <v>560</v>
      </c>
      <c r="C171" s="9" t="s">
        <v>25</v>
      </c>
      <c r="D171" s="9" t="s">
        <v>25</v>
      </c>
      <c r="E171" s="9" t="s">
        <v>26</v>
      </c>
      <c r="F171" s="9" t="s">
        <v>27</v>
      </c>
      <c r="G171" s="9">
        <v>999</v>
      </c>
      <c r="H171" s="9">
        <v>1699</v>
      </c>
      <c r="I171" s="9">
        <v>41</v>
      </c>
      <c r="J171" s="11">
        <v>4.4000000000000004</v>
      </c>
      <c r="K171" s="9">
        <v>7318</v>
      </c>
      <c r="L171" s="9">
        <v>4.2929144976924158</v>
      </c>
      <c r="M171" s="9" t="s">
        <v>28</v>
      </c>
      <c r="N171" s="9" t="s">
        <v>93</v>
      </c>
      <c r="O171" s="9">
        <v>60.6</v>
      </c>
      <c r="P171" s="9" t="s">
        <v>36</v>
      </c>
      <c r="Q171" s="9" t="b">
        <v>0</v>
      </c>
      <c r="R171" s="9" t="b">
        <v>0</v>
      </c>
      <c r="S171" s="9" t="b">
        <v>0</v>
      </c>
      <c r="T171" s="9">
        <v>3.34</v>
      </c>
      <c r="U171" s="9">
        <v>2</v>
      </c>
      <c r="V171" s="9" t="b">
        <v>1</v>
      </c>
      <c r="W171" s="9" t="s">
        <v>561</v>
      </c>
    </row>
    <row r="172" spans="1:23" ht="29" customHeight="1" x14ac:dyDescent="0.2">
      <c r="A172" s="9" t="s">
        <v>562</v>
      </c>
      <c r="B172" s="10" t="s">
        <v>563</v>
      </c>
      <c r="C172" s="9" t="s">
        <v>25</v>
      </c>
      <c r="D172" s="9" t="s">
        <v>25</v>
      </c>
      <c r="E172" s="9" t="s">
        <v>26</v>
      </c>
      <c r="F172" s="9" t="s">
        <v>27</v>
      </c>
      <c r="G172" s="9">
        <v>225</v>
      </c>
      <c r="H172" s="9">
        <v>499</v>
      </c>
      <c r="I172" s="9">
        <v>55</v>
      </c>
      <c r="J172" s="11">
        <v>4.0999999999999996</v>
      </c>
      <c r="K172" s="9">
        <v>789</v>
      </c>
      <c r="L172" s="9">
        <v>4.0872984931738578</v>
      </c>
      <c r="M172" s="9" t="s">
        <v>89</v>
      </c>
      <c r="N172" s="9" t="s">
        <v>29</v>
      </c>
      <c r="O172" s="9">
        <v>52.3</v>
      </c>
      <c r="P172" s="9" t="s">
        <v>53</v>
      </c>
      <c r="Q172" s="9" t="b">
        <v>0</v>
      </c>
      <c r="R172" s="9" t="b">
        <v>0</v>
      </c>
      <c r="S172" s="9" t="b">
        <v>0</v>
      </c>
      <c r="T172" s="9">
        <v>0.75</v>
      </c>
      <c r="U172" s="9">
        <v>1</v>
      </c>
      <c r="V172" s="9" t="b">
        <v>1</v>
      </c>
      <c r="W172" s="9" t="s">
        <v>564</v>
      </c>
    </row>
    <row r="173" spans="1:23" ht="29" customHeight="1" x14ac:dyDescent="0.2">
      <c r="A173" s="9" t="s">
        <v>565</v>
      </c>
      <c r="B173" s="10" t="s">
        <v>566</v>
      </c>
      <c r="C173" s="9" t="s">
        <v>44</v>
      </c>
      <c r="D173" s="9" t="s">
        <v>44</v>
      </c>
      <c r="E173" s="9" t="s">
        <v>45</v>
      </c>
      <c r="F173" s="9" t="s">
        <v>133</v>
      </c>
      <c r="G173" s="9">
        <v>547</v>
      </c>
      <c r="H173" s="9">
        <v>2999</v>
      </c>
      <c r="I173" s="9">
        <v>82</v>
      </c>
      <c r="J173" s="11">
        <v>4.3</v>
      </c>
      <c r="K173" s="9">
        <v>407</v>
      </c>
      <c r="L173" s="9">
        <v>4.1056575348796773</v>
      </c>
      <c r="M173" s="9" t="s">
        <v>89</v>
      </c>
      <c r="N173" s="9" t="s">
        <v>93</v>
      </c>
      <c r="O173" s="9">
        <v>74.599999999999994</v>
      </c>
      <c r="P173" s="9" t="s">
        <v>36</v>
      </c>
      <c r="Q173" s="9" t="b">
        <v>0</v>
      </c>
      <c r="R173" s="9" t="b">
        <v>0</v>
      </c>
      <c r="S173" s="9" t="b">
        <v>0</v>
      </c>
      <c r="T173" s="9">
        <v>1.59</v>
      </c>
      <c r="U173" s="9">
        <v>1</v>
      </c>
      <c r="V173" s="9" t="b">
        <v>1</v>
      </c>
      <c r="W173" s="9" t="s">
        <v>567</v>
      </c>
    </row>
    <row r="174" spans="1:23" ht="29" customHeight="1" x14ac:dyDescent="0.2">
      <c r="A174" s="9" t="s">
        <v>568</v>
      </c>
      <c r="B174" s="10" t="s">
        <v>569</v>
      </c>
      <c r="C174" s="9" t="s">
        <v>25</v>
      </c>
      <c r="D174" s="9" t="s">
        <v>25</v>
      </c>
      <c r="E174" s="9" t="s">
        <v>26</v>
      </c>
      <c r="F174" s="9" t="s">
        <v>27</v>
      </c>
      <c r="G174" s="9">
        <v>259</v>
      </c>
      <c r="H174" s="9">
        <v>699</v>
      </c>
      <c r="I174" s="9">
        <v>63</v>
      </c>
      <c r="J174" s="11">
        <v>3.8</v>
      </c>
      <c r="K174" s="9">
        <v>2399</v>
      </c>
      <c r="L174" s="9">
        <v>3.9738114244389862</v>
      </c>
      <c r="M174" s="9" t="s">
        <v>28</v>
      </c>
      <c r="N174" s="9" t="s">
        <v>29</v>
      </c>
      <c r="O174" s="9">
        <v>41.3</v>
      </c>
      <c r="P174" s="9" t="s">
        <v>30</v>
      </c>
      <c r="Q174" s="9" t="b">
        <v>0</v>
      </c>
      <c r="R174" s="9" t="b">
        <v>0</v>
      </c>
      <c r="S174" s="9" t="b">
        <v>1</v>
      </c>
      <c r="T174" s="9">
        <v>0.87</v>
      </c>
      <c r="U174" s="9">
        <v>1</v>
      </c>
      <c r="V174" s="9" t="b">
        <v>1</v>
      </c>
      <c r="W174" s="9" t="s">
        <v>570</v>
      </c>
    </row>
    <row r="175" spans="1:23" ht="29" customHeight="1" x14ac:dyDescent="0.2">
      <c r="A175" s="9" t="s">
        <v>571</v>
      </c>
      <c r="B175" s="10" t="s">
        <v>572</v>
      </c>
      <c r="C175" s="9" t="s">
        <v>44</v>
      </c>
      <c r="D175" s="9" t="s">
        <v>44</v>
      </c>
      <c r="E175" s="9" t="s">
        <v>45</v>
      </c>
      <c r="F175" s="9" t="s">
        <v>133</v>
      </c>
      <c r="G175" s="9">
        <v>239</v>
      </c>
      <c r="H175" s="9">
        <v>699</v>
      </c>
      <c r="I175" s="9">
        <v>66</v>
      </c>
      <c r="J175" s="11">
        <v>4.4000000000000004</v>
      </c>
      <c r="K175" s="9">
        <v>2640</v>
      </c>
      <c r="L175" s="9">
        <v>4.2146722517267969</v>
      </c>
      <c r="M175" s="9" t="s">
        <v>28</v>
      </c>
      <c r="N175" s="9" t="s">
        <v>29</v>
      </c>
      <c r="O175" s="9">
        <v>83.7</v>
      </c>
      <c r="P175" s="9" t="s">
        <v>36</v>
      </c>
      <c r="Q175" s="9" t="b">
        <v>1</v>
      </c>
      <c r="R175" s="9" t="b">
        <v>0</v>
      </c>
      <c r="S175" s="9" t="b">
        <v>0</v>
      </c>
      <c r="T175" s="9">
        <v>0.69</v>
      </c>
      <c r="U175" s="9">
        <v>1</v>
      </c>
      <c r="V175" s="9" t="b">
        <v>1</v>
      </c>
      <c r="W175" s="9" t="s">
        <v>573</v>
      </c>
    </row>
    <row r="176" spans="1:23" ht="29" customHeight="1" x14ac:dyDescent="0.2">
      <c r="A176" s="9" t="s">
        <v>574</v>
      </c>
      <c r="B176" s="10" t="s">
        <v>575</v>
      </c>
      <c r="C176" s="9" t="s">
        <v>44</v>
      </c>
      <c r="D176" s="9" t="s">
        <v>44</v>
      </c>
      <c r="E176" s="9" t="s">
        <v>45</v>
      </c>
      <c r="F176" s="9" t="s">
        <v>133</v>
      </c>
      <c r="G176" s="9">
        <v>349</v>
      </c>
      <c r="H176" s="9">
        <v>999</v>
      </c>
      <c r="I176" s="9">
        <v>65</v>
      </c>
      <c r="J176" s="11">
        <v>4</v>
      </c>
      <c r="K176" s="9">
        <v>839</v>
      </c>
      <c r="L176" s="9">
        <v>4.0692033231947882</v>
      </c>
      <c r="M176" s="9" t="s">
        <v>89</v>
      </c>
      <c r="N176" s="9" t="s">
        <v>29</v>
      </c>
      <c r="O176" s="9">
        <v>56.9</v>
      </c>
      <c r="P176" s="9" t="s">
        <v>53</v>
      </c>
      <c r="Q176" s="9" t="b">
        <v>0</v>
      </c>
      <c r="R176" s="9" t="b">
        <v>0</v>
      </c>
      <c r="S176" s="9" t="b">
        <v>0</v>
      </c>
      <c r="T176" s="9">
        <v>1.01</v>
      </c>
      <c r="U176" s="9">
        <v>1</v>
      </c>
      <c r="V176" s="9" t="b">
        <v>1</v>
      </c>
      <c r="W176" s="9" t="s">
        <v>576</v>
      </c>
    </row>
    <row r="177" spans="1:23" ht="29" customHeight="1" x14ac:dyDescent="0.2">
      <c r="A177" s="9" t="s">
        <v>577</v>
      </c>
      <c r="B177" s="10" t="s">
        <v>578</v>
      </c>
      <c r="C177" s="9" t="s">
        <v>44</v>
      </c>
      <c r="D177" s="9" t="s">
        <v>44</v>
      </c>
      <c r="E177" s="9" t="s">
        <v>45</v>
      </c>
      <c r="F177" s="9" t="s">
        <v>46</v>
      </c>
      <c r="G177" s="9">
        <v>467</v>
      </c>
      <c r="H177" s="9">
        <v>599</v>
      </c>
      <c r="I177" s="9">
        <v>22</v>
      </c>
      <c r="J177" s="11">
        <v>4.4000000000000004</v>
      </c>
      <c r="K177" s="9">
        <v>44054</v>
      </c>
      <c r="L177" s="9">
        <v>4.3751851158424557</v>
      </c>
      <c r="M177" s="9" t="s">
        <v>28</v>
      </c>
      <c r="N177" s="9" t="s">
        <v>29</v>
      </c>
      <c r="O177" s="9">
        <v>69.5</v>
      </c>
      <c r="P177" s="9" t="s">
        <v>36</v>
      </c>
      <c r="Q177" s="9" t="b">
        <v>0</v>
      </c>
      <c r="R177" s="9" t="b">
        <v>0</v>
      </c>
      <c r="S177" s="9" t="b">
        <v>0</v>
      </c>
      <c r="T177" s="9">
        <v>1.22</v>
      </c>
      <c r="U177" s="9">
        <v>1</v>
      </c>
      <c r="V177" s="9" t="b">
        <v>1</v>
      </c>
      <c r="W177" s="9" t="s">
        <v>579</v>
      </c>
    </row>
    <row r="178" spans="1:23" ht="29" customHeight="1" x14ac:dyDescent="0.2">
      <c r="A178" s="9" t="s">
        <v>580</v>
      </c>
      <c r="B178" s="10" t="s">
        <v>581</v>
      </c>
      <c r="C178" s="9" t="s">
        <v>25</v>
      </c>
      <c r="D178" s="9" t="s">
        <v>25</v>
      </c>
      <c r="E178" s="9" t="s">
        <v>26</v>
      </c>
      <c r="F178" s="9" t="s">
        <v>27</v>
      </c>
      <c r="G178" s="9">
        <v>449</v>
      </c>
      <c r="H178" s="9">
        <v>599</v>
      </c>
      <c r="I178" s="9">
        <v>25</v>
      </c>
      <c r="J178" s="11">
        <v>4</v>
      </c>
      <c r="K178" s="9">
        <v>3231</v>
      </c>
      <c r="L178" s="9">
        <v>4.0455335799929673</v>
      </c>
      <c r="M178" s="9" t="s">
        <v>28</v>
      </c>
      <c r="N178" s="9" t="s">
        <v>29</v>
      </c>
      <c r="O178" s="9">
        <v>25.5</v>
      </c>
      <c r="P178" s="9" t="s">
        <v>40</v>
      </c>
      <c r="Q178" s="9" t="b">
        <v>0</v>
      </c>
      <c r="R178" s="9" t="b">
        <v>0</v>
      </c>
      <c r="S178" s="9" t="b">
        <v>0</v>
      </c>
      <c r="T178" s="9">
        <v>1.5</v>
      </c>
      <c r="U178" s="9">
        <v>1</v>
      </c>
      <c r="V178" s="9" t="b">
        <v>1</v>
      </c>
      <c r="W178" s="9" t="s">
        <v>582</v>
      </c>
    </row>
    <row r="179" spans="1:23" ht="29" customHeight="1" x14ac:dyDescent="0.2">
      <c r="A179" s="9" t="s">
        <v>583</v>
      </c>
      <c r="B179" s="10" t="s">
        <v>584</v>
      </c>
      <c r="C179" s="9" t="s">
        <v>44</v>
      </c>
      <c r="D179" s="9" t="s">
        <v>44</v>
      </c>
      <c r="E179" s="9" t="s">
        <v>45</v>
      </c>
      <c r="F179" s="9" t="s">
        <v>57</v>
      </c>
      <c r="G179" s="9">
        <v>11990</v>
      </c>
      <c r="H179" s="9">
        <v>31990</v>
      </c>
      <c r="I179" s="9">
        <v>63</v>
      </c>
      <c r="J179" s="11">
        <v>4.2</v>
      </c>
      <c r="K179" s="9">
        <v>64</v>
      </c>
      <c r="L179" s="9">
        <v>4.0865645084753206</v>
      </c>
      <c r="M179" s="9" t="s">
        <v>204</v>
      </c>
      <c r="N179" s="9" t="s">
        <v>58</v>
      </c>
      <c r="O179" s="9">
        <v>44</v>
      </c>
      <c r="P179" s="9" t="s">
        <v>30</v>
      </c>
      <c r="Q179" s="9" t="b">
        <v>0</v>
      </c>
      <c r="R179" s="9" t="b">
        <v>0</v>
      </c>
      <c r="S179" s="9" t="b">
        <v>0</v>
      </c>
      <c r="T179" s="9">
        <v>0.63</v>
      </c>
      <c r="U179" s="9">
        <v>1</v>
      </c>
      <c r="V179" s="9" t="b">
        <v>1</v>
      </c>
      <c r="W179" s="9" t="s">
        <v>585</v>
      </c>
    </row>
    <row r="180" spans="1:23" ht="29" customHeight="1" x14ac:dyDescent="0.2">
      <c r="A180" s="9" t="s">
        <v>586</v>
      </c>
      <c r="B180" s="10" t="s">
        <v>587</v>
      </c>
      <c r="C180" s="9" t="s">
        <v>25</v>
      </c>
      <c r="D180" s="9" t="s">
        <v>25</v>
      </c>
      <c r="E180" s="9" t="s">
        <v>26</v>
      </c>
      <c r="F180" s="9" t="s">
        <v>27</v>
      </c>
      <c r="G180" s="9">
        <v>350</v>
      </c>
      <c r="H180" s="9">
        <v>599</v>
      </c>
      <c r="I180" s="9">
        <v>42</v>
      </c>
      <c r="J180" s="11">
        <v>3.9</v>
      </c>
      <c r="K180" s="9">
        <v>8314</v>
      </c>
      <c r="L180" s="9">
        <v>3.957524041873127</v>
      </c>
      <c r="M180" s="9" t="s">
        <v>28</v>
      </c>
      <c r="N180" s="9" t="s">
        <v>29</v>
      </c>
      <c r="O180" s="9">
        <v>27.2</v>
      </c>
      <c r="P180" s="9" t="s">
        <v>40</v>
      </c>
      <c r="Q180" s="9" t="b">
        <v>0</v>
      </c>
      <c r="R180" s="9" t="b">
        <v>0</v>
      </c>
      <c r="S180" s="9" t="b">
        <v>0</v>
      </c>
      <c r="T180" s="9">
        <v>1.17</v>
      </c>
      <c r="U180" s="9">
        <v>1</v>
      </c>
      <c r="V180" s="9" t="b">
        <v>1</v>
      </c>
      <c r="W180" s="9" t="s">
        <v>588</v>
      </c>
    </row>
    <row r="181" spans="1:23" ht="29" customHeight="1" x14ac:dyDescent="0.2">
      <c r="A181" s="9" t="s">
        <v>589</v>
      </c>
      <c r="B181" s="10" t="s">
        <v>590</v>
      </c>
      <c r="C181" s="9" t="s">
        <v>25</v>
      </c>
      <c r="D181" s="9" t="s">
        <v>25</v>
      </c>
      <c r="E181" s="9" t="s">
        <v>26</v>
      </c>
      <c r="F181" s="9" t="s">
        <v>27</v>
      </c>
      <c r="G181" s="9">
        <v>252</v>
      </c>
      <c r="H181" s="9">
        <v>999</v>
      </c>
      <c r="I181" s="9">
        <v>75</v>
      </c>
      <c r="J181" s="11">
        <v>3.7</v>
      </c>
      <c r="K181" s="9">
        <v>2249</v>
      </c>
      <c r="L181" s="9">
        <v>3.9407367698046771</v>
      </c>
      <c r="M181" s="9" t="s">
        <v>28</v>
      </c>
      <c r="N181" s="9" t="s">
        <v>29</v>
      </c>
      <c r="O181" s="9">
        <v>44</v>
      </c>
      <c r="P181" s="9" t="s">
        <v>30</v>
      </c>
      <c r="Q181" s="9" t="b">
        <v>0</v>
      </c>
      <c r="R181" s="9" t="b">
        <v>0</v>
      </c>
      <c r="S181" s="9" t="b">
        <v>1</v>
      </c>
      <c r="T181" s="9">
        <v>0.84</v>
      </c>
      <c r="U181" s="9">
        <v>1</v>
      </c>
      <c r="V181" s="9" t="b">
        <v>1</v>
      </c>
      <c r="W181" s="9" t="s">
        <v>591</v>
      </c>
    </row>
    <row r="182" spans="1:23" ht="29" customHeight="1" x14ac:dyDescent="0.2">
      <c r="A182" s="9" t="s">
        <v>592</v>
      </c>
      <c r="B182" s="10" t="s">
        <v>593</v>
      </c>
      <c r="C182" s="9" t="s">
        <v>44</v>
      </c>
      <c r="D182" s="9" t="s">
        <v>44</v>
      </c>
      <c r="E182" s="9" t="s">
        <v>45</v>
      </c>
      <c r="F182" s="9" t="s">
        <v>133</v>
      </c>
      <c r="G182" s="9">
        <v>204</v>
      </c>
      <c r="H182" s="9">
        <v>599</v>
      </c>
      <c r="I182" s="9">
        <v>66</v>
      </c>
      <c r="J182" s="11">
        <v>3.6</v>
      </c>
      <c r="K182" s="9">
        <v>339</v>
      </c>
      <c r="L182" s="9">
        <v>4.0445785911692838</v>
      </c>
      <c r="M182" s="9" t="s">
        <v>89</v>
      </c>
      <c r="N182" s="9" t="s">
        <v>29</v>
      </c>
      <c r="O182" s="9">
        <v>55.8</v>
      </c>
      <c r="P182" s="9" t="s">
        <v>53</v>
      </c>
      <c r="Q182" s="9" t="b">
        <v>0</v>
      </c>
      <c r="R182" s="9" t="b">
        <v>0</v>
      </c>
      <c r="S182" s="9" t="b">
        <v>1</v>
      </c>
      <c r="T182" s="9">
        <v>0.59</v>
      </c>
      <c r="U182" s="9">
        <v>1</v>
      </c>
      <c r="V182" s="9" t="b">
        <v>1</v>
      </c>
      <c r="W182" s="9" t="s">
        <v>594</v>
      </c>
    </row>
    <row r="183" spans="1:23" ht="29" customHeight="1" x14ac:dyDescent="0.2">
      <c r="A183" s="9" t="s">
        <v>595</v>
      </c>
      <c r="B183" s="10" t="s">
        <v>596</v>
      </c>
      <c r="C183" s="9" t="s">
        <v>44</v>
      </c>
      <c r="D183" s="9" t="s">
        <v>44</v>
      </c>
      <c r="E183" s="9" t="s">
        <v>45</v>
      </c>
      <c r="F183" s="9" t="s">
        <v>437</v>
      </c>
      <c r="G183" s="9">
        <v>6490</v>
      </c>
      <c r="H183" s="9">
        <v>9990</v>
      </c>
      <c r="I183" s="9">
        <v>35</v>
      </c>
      <c r="J183" s="11">
        <v>4</v>
      </c>
      <c r="K183" s="9">
        <v>27</v>
      </c>
      <c r="L183" s="9">
        <v>4.0840319545271981</v>
      </c>
      <c r="M183" s="9" t="s">
        <v>204</v>
      </c>
      <c r="N183" s="9" t="s">
        <v>144</v>
      </c>
      <c r="O183" s="9">
        <v>29.8</v>
      </c>
      <c r="P183" s="9" t="s">
        <v>40</v>
      </c>
      <c r="Q183" s="9" t="b">
        <v>0</v>
      </c>
      <c r="R183" s="9" t="b">
        <v>0</v>
      </c>
      <c r="S183" s="9" t="b">
        <v>0</v>
      </c>
      <c r="U183" s="9">
        <v>1</v>
      </c>
      <c r="V183" s="9" t="b">
        <v>1</v>
      </c>
      <c r="W183" s="9" t="s">
        <v>597</v>
      </c>
    </row>
    <row r="184" spans="1:23" ht="29" customHeight="1" x14ac:dyDescent="0.2">
      <c r="A184" s="9" t="s">
        <v>598</v>
      </c>
      <c r="B184" s="10" t="s">
        <v>599</v>
      </c>
      <c r="C184" s="9" t="s">
        <v>44</v>
      </c>
      <c r="D184" s="9" t="s">
        <v>44</v>
      </c>
      <c r="E184" s="9" t="s">
        <v>45</v>
      </c>
      <c r="F184" s="9" t="s">
        <v>133</v>
      </c>
      <c r="G184" s="9">
        <v>235</v>
      </c>
      <c r="H184" s="9">
        <v>599</v>
      </c>
      <c r="I184" s="9">
        <v>61</v>
      </c>
      <c r="J184" s="11">
        <v>3.5</v>
      </c>
      <c r="K184" s="9">
        <v>197</v>
      </c>
      <c r="L184" s="9">
        <v>4.0555471882007366</v>
      </c>
      <c r="M184" s="9" t="s">
        <v>89</v>
      </c>
      <c r="N184" s="9" t="s">
        <v>29</v>
      </c>
      <c r="O184" s="9">
        <v>54.1</v>
      </c>
      <c r="P184" s="9" t="s">
        <v>53</v>
      </c>
      <c r="Q184" s="9" t="b">
        <v>0</v>
      </c>
      <c r="R184" s="9" t="b">
        <v>0</v>
      </c>
      <c r="S184" s="9" t="b">
        <v>1</v>
      </c>
      <c r="T184" s="9">
        <v>0.68</v>
      </c>
      <c r="U184" s="9">
        <v>1</v>
      </c>
      <c r="V184" s="9" t="b">
        <v>1</v>
      </c>
      <c r="W184" s="9" t="s">
        <v>600</v>
      </c>
    </row>
    <row r="185" spans="1:23" ht="29" customHeight="1" x14ac:dyDescent="0.2">
      <c r="A185" s="9" t="s">
        <v>601</v>
      </c>
      <c r="B185" s="10" t="s">
        <v>602</v>
      </c>
      <c r="C185" s="9" t="s">
        <v>25</v>
      </c>
      <c r="D185" s="9" t="s">
        <v>25</v>
      </c>
      <c r="E185" s="9" t="s">
        <v>26</v>
      </c>
      <c r="F185" s="9" t="s">
        <v>27</v>
      </c>
      <c r="G185" s="9">
        <v>299</v>
      </c>
      <c r="H185" s="9">
        <v>800</v>
      </c>
      <c r="I185" s="9">
        <v>63</v>
      </c>
      <c r="J185" s="11">
        <v>4.5</v>
      </c>
      <c r="K185" s="9">
        <v>74977</v>
      </c>
      <c r="L185" s="9">
        <v>4.4801521357346799</v>
      </c>
      <c r="M185" s="9" t="s">
        <v>28</v>
      </c>
      <c r="N185" s="9" t="s">
        <v>29</v>
      </c>
      <c r="O185" s="9">
        <v>84</v>
      </c>
      <c r="P185" s="9" t="s">
        <v>36</v>
      </c>
      <c r="Q185" s="9" t="b">
        <v>0</v>
      </c>
      <c r="R185" s="9" t="b">
        <v>0</v>
      </c>
      <c r="S185" s="9" t="b">
        <v>0</v>
      </c>
      <c r="T185" s="9">
        <v>1</v>
      </c>
      <c r="U185" s="9">
        <v>2</v>
      </c>
      <c r="V185" s="9" t="b">
        <v>1</v>
      </c>
      <c r="W185" s="9" t="s">
        <v>603</v>
      </c>
    </row>
    <row r="186" spans="1:23" ht="29" customHeight="1" x14ac:dyDescent="0.2">
      <c r="A186" s="9" t="s">
        <v>604</v>
      </c>
      <c r="B186" s="10" t="s">
        <v>605</v>
      </c>
      <c r="C186" s="9" t="s">
        <v>25</v>
      </c>
      <c r="D186" s="9" t="s">
        <v>25</v>
      </c>
      <c r="E186" s="9" t="s">
        <v>26</v>
      </c>
      <c r="F186" s="9" t="s">
        <v>27</v>
      </c>
      <c r="G186" s="9">
        <v>799</v>
      </c>
      <c r="H186" s="9">
        <v>1999</v>
      </c>
      <c r="I186" s="9">
        <v>60</v>
      </c>
      <c r="J186" s="11">
        <v>4.2</v>
      </c>
      <c r="K186" s="9">
        <v>8583</v>
      </c>
      <c r="L186" s="9">
        <v>4.1648405566142168</v>
      </c>
      <c r="M186" s="9" t="s">
        <v>28</v>
      </c>
      <c r="N186" s="9" t="s">
        <v>93</v>
      </c>
      <c r="O186" s="9">
        <v>60.4</v>
      </c>
      <c r="P186" s="9" t="s">
        <v>53</v>
      </c>
      <c r="Q186" s="9" t="b">
        <v>0</v>
      </c>
      <c r="R186" s="9" t="b">
        <v>0</v>
      </c>
      <c r="S186" s="9" t="b">
        <v>0</v>
      </c>
      <c r="T186" s="9">
        <v>2.67</v>
      </c>
      <c r="U186" s="9">
        <v>1</v>
      </c>
      <c r="V186" s="9" t="b">
        <v>1</v>
      </c>
      <c r="W186" s="9" t="s">
        <v>606</v>
      </c>
    </row>
    <row r="187" spans="1:23" ht="29" customHeight="1" x14ac:dyDescent="0.2">
      <c r="A187" s="9" t="s">
        <v>607</v>
      </c>
      <c r="B187" s="10" t="s">
        <v>608</v>
      </c>
      <c r="C187" s="9" t="s">
        <v>44</v>
      </c>
      <c r="D187" s="9" t="s">
        <v>44</v>
      </c>
      <c r="E187" s="9" t="s">
        <v>45</v>
      </c>
      <c r="F187" s="9" t="s">
        <v>133</v>
      </c>
      <c r="G187" s="9">
        <v>299</v>
      </c>
      <c r="H187" s="9">
        <v>999</v>
      </c>
      <c r="I187" s="9">
        <v>70</v>
      </c>
      <c r="J187" s="11">
        <v>3.8</v>
      </c>
      <c r="K187" s="9">
        <v>928</v>
      </c>
      <c r="L187" s="9">
        <v>4.0283208808614894</v>
      </c>
      <c r="M187" s="9" t="s">
        <v>89</v>
      </c>
      <c r="N187" s="9" t="s">
        <v>29</v>
      </c>
      <c r="O187" s="9">
        <v>54.2</v>
      </c>
      <c r="P187" s="9" t="s">
        <v>53</v>
      </c>
      <c r="Q187" s="9" t="b">
        <v>0</v>
      </c>
      <c r="R187" s="9" t="b">
        <v>0</v>
      </c>
      <c r="S187" s="9" t="b">
        <v>1</v>
      </c>
      <c r="T187" s="9">
        <v>0.87</v>
      </c>
      <c r="U187" s="9">
        <v>1</v>
      </c>
      <c r="V187" s="9" t="b">
        <v>1</v>
      </c>
      <c r="W187" s="9" t="s">
        <v>609</v>
      </c>
    </row>
    <row r="188" spans="1:23" ht="29" customHeight="1" x14ac:dyDescent="0.2">
      <c r="A188" s="9" t="s">
        <v>610</v>
      </c>
      <c r="B188" s="10" t="s">
        <v>611</v>
      </c>
      <c r="C188" s="9" t="s">
        <v>44</v>
      </c>
      <c r="D188" s="9" t="s">
        <v>44</v>
      </c>
      <c r="E188" s="9" t="s">
        <v>45</v>
      </c>
      <c r="F188" s="9" t="s">
        <v>143</v>
      </c>
      <c r="G188" s="9">
        <v>6999</v>
      </c>
      <c r="H188" s="9">
        <v>16990</v>
      </c>
      <c r="I188" s="9">
        <v>59</v>
      </c>
      <c r="J188" s="11">
        <v>3.8</v>
      </c>
      <c r="K188" s="9">
        <v>110</v>
      </c>
      <c r="L188" s="9">
        <v>4.0765497977226124</v>
      </c>
      <c r="M188" s="9" t="s">
        <v>89</v>
      </c>
      <c r="N188" s="9" t="s">
        <v>144</v>
      </c>
      <c r="O188" s="9">
        <v>39.4</v>
      </c>
      <c r="P188" s="9" t="s">
        <v>30</v>
      </c>
      <c r="Q188" s="9" t="b">
        <v>0</v>
      </c>
      <c r="R188" s="9" t="b">
        <v>0</v>
      </c>
      <c r="S188" s="9" t="b">
        <v>1</v>
      </c>
      <c r="U188" s="9">
        <v>1</v>
      </c>
      <c r="V188" s="9" t="b">
        <v>1</v>
      </c>
      <c r="W188" s="9" t="s">
        <v>612</v>
      </c>
    </row>
    <row r="189" spans="1:23" ht="29" customHeight="1" x14ac:dyDescent="0.2">
      <c r="A189" s="9" t="s">
        <v>613</v>
      </c>
      <c r="B189" s="10" t="s">
        <v>614</v>
      </c>
      <c r="C189" s="9" t="s">
        <v>44</v>
      </c>
      <c r="D189" s="9" t="s">
        <v>44</v>
      </c>
      <c r="E189" s="9" t="s">
        <v>45</v>
      </c>
      <c r="F189" s="9" t="s">
        <v>57</v>
      </c>
      <c r="G189" s="9">
        <v>42999</v>
      </c>
      <c r="H189" s="9">
        <v>59999</v>
      </c>
      <c r="I189" s="9">
        <v>28</v>
      </c>
      <c r="J189" s="11">
        <v>4.0999999999999996</v>
      </c>
      <c r="K189" s="9">
        <v>6753</v>
      </c>
      <c r="L189" s="9">
        <v>4.0945023148381736</v>
      </c>
      <c r="M189" s="9" t="s">
        <v>28</v>
      </c>
      <c r="N189" s="9" t="s">
        <v>58</v>
      </c>
      <c r="O189" s="9">
        <v>31</v>
      </c>
      <c r="P189" s="9" t="s">
        <v>40</v>
      </c>
      <c r="Q189" s="9" t="b">
        <v>0</v>
      </c>
      <c r="R189" s="9" t="b">
        <v>1</v>
      </c>
      <c r="S189" s="9" t="b">
        <v>0</v>
      </c>
      <c r="T189" s="9">
        <v>2.2599999999999998</v>
      </c>
      <c r="U189" s="9">
        <v>2</v>
      </c>
      <c r="V189" s="9" t="b">
        <v>1</v>
      </c>
      <c r="W189" s="9" t="s">
        <v>615</v>
      </c>
    </row>
    <row r="190" spans="1:23" ht="29" customHeight="1" x14ac:dyDescent="0.2">
      <c r="A190" s="9" t="s">
        <v>616</v>
      </c>
      <c r="B190" s="10" t="s">
        <v>617</v>
      </c>
      <c r="C190" s="9" t="s">
        <v>44</v>
      </c>
      <c r="D190" s="9" t="s">
        <v>44</v>
      </c>
      <c r="E190" s="9" t="s">
        <v>45</v>
      </c>
      <c r="F190" s="9" t="s">
        <v>46</v>
      </c>
      <c r="G190" s="9">
        <v>173</v>
      </c>
      <c r="H190" s="9">
        <v>999</v>
      </c>
      <c r="I190" s="9">
        <v>83</v>
      </c>
      <c r="J190" s="11">
        <v>4.3</v>
      </c>
      <c r="K190" s="9">
        <v>1237</v>
      </c>
      <c r="L190" s="9">
        <v>4.1379216104972132</v>
      </c>
      <c r="M190" s="9" t="s">
        <v>28</v>
      </c>
      <c r="N190" s="9" t="s">
        <v>29</v>
      </c>
      <c r="O190" s="9">
        <v>80.8</v>
      </c>
      <c r="P190" s="9" t="s">
        <v>36</v>
      </c>
      <c r="Q190" s="9" t="b">
        <v>0</v>
      </c>
      <c r="R190" s="9" t="b">
        <v>0</v>
      </c>
      <c r="S190" s="9" t="b">
        <v>0</v>
      </c>
      <c r="T190" s="9">
        <v>0.45</v>
      </c>
      <c r="U190" s="9">
        <v>1</v>
      </c>
      <c r="V190" s="9" t="b">
        <v>1</v>
      </c>
      <c r="W190" s="9" t="s">
        <v>618</v>
      </c>
    </row>
    <row r="191" spans="1:23" ht="29" customHeight="1" x14ac:dyDescent="0.2">
      <c r="A191" s="9" t="s">
        <v>619</v>
      </c>
      <c r="B191" s="10" t="s">
        <v>620</v>
      </c>
      <c r="C191" s="9" t="s">
        <v>44</v>
      </c>
      <c r="D191" s="9" t="s">
        <v>44</v>
      </c>
      <c r="E191" s="9" t="s">
        <v>359</v>
      </c>
      <c r="F191" s="9" t="s">
        <v>621</v>
      </c>
      <c r="G191" s="9">
        <v>209</v>
      </c>
      <c r="H191" s="9">
        <v>600</v>
      </c>
      <c r="I191" s="9">
        <v>65</v>
      </c>
      <c r="J191" s="11">
        <v>4.4000000000000004</v>
      </c>
      <c r="K191" s="9">
        <v>18872</v>
      </c>
      <c r="L191" s="9">
        <v>4.3475773306978649</v>
      </c>
      <c r="M191" s="9" t="s">
        <v>28</v>
      </c>
      <c r="N191" s="9" t="s">
        <v>29</v>
      </c>
      <c r="O191" s="9">
        <v>89.6</v>
      </c>
      <c r="P191" s="9" t="s">
        <v>36</v>
      </c>
      <c r="Q191" s="9" t="b">
        <v>1</v>
      </c>
      <c r="R191" s="9" t="b">
        <v>0</v>
      </c>
      <c r="S191" s="9" t="b">
        <v>0</v>
      </c>
      <c r="U191" s="9">
        <v>1</v>
      </c>
      <c r="V191" s="9" t="b">
        <v>1</v>
      </c>
      <c r="W191" s="9" t="s">
        <v>622</v>
      </c>
    </row>
    <row r="192" spans="1:23" ht="29" customHeight="1" x14ac:dyDescent="0.2">
      <c r="A192" s="9" t="s">
        <v>623</v>
      </c>
      <c r="B192" s="10" t="s">
        <v>624</v>
      </c>
      <c r="C192" s="9" t="s">
        <v>25</v>
      </c>
      <c r="D192" s="9" t="s">
        <v>25</v>
      </c>
      <c r="E192" s="9" t="s">
        <v>26</v>
      </c>
      <c r="F192" s="9" t="s">
        <v>27</v>
      </c>
      <c r="G192" s="9">
        <v>848.99</v>
      </c>
      <c r="H192" s="9">
        <v>1490</v>
      </c>
      <c r="I192" s="9">
        <v>43</v>
      </c>
      <c r="J192" s="11">
        <v>3.9</v>
      </c>
      <c r="K192" s="9">
        <v>356</v>
      </c>
      <c r="L192" s="9">
        <v>4.0686752681026626</v>
      </c>
      <c r="M192" s="9" t="s">
        <v>89</v>
      </c>
      <c r="N192" s="9" t="s">
        <v>93</v>
      </c>
      <c r="O192" s="9">
        <v>32.299999999999997</v>
      </c>
      <c r="P192" s="9" t="s">
        <v>40</v>
      </c>
      <c r="Q192" s="9" t="b">
        <v>0</v>
      </c>
      <c r="R192" s="9" t="b">
        <v>1</v>
      </c>
      <c r="S192" s="9" t="b">
        <v>0</v>
      </c>
      <c r="T192" s="9">
        <v>2.84</v>
      </c>
      <c r="U192" s="9">
        <v>1</v>
      </c>
      <c r="V192" s="9" t="b">
        <v>1</v>
      </c>
      <c r="W192" s="9" t="s">
        <v>625</v>
      </c>
    </row>
    <row r="193" spans="1:23" ht="29" customHeight="1" x14ac:dyDescent="0.2">
      <c r="A193" s="9" t="s">
        <v>626</v>
      </c>
      <c r="B193" s="10" t="s">
        <v>627</v>
      </c>
      <c r="C193" s="9" t="s">
        <v>25</v>
      </c>
      <c r="D193" s="9" t="s">
        <v>25</v>
      </c>
      <c r="E193" s="9" t="s">
        <v>26</v>
      </c>
      <c r="F193" s="9" t="s">
        <v>27</v>
      </c>
      <c r="G193" s="9">
        <v>649</v>
      </c>
      <c r="H193" s="9">
        <v>1999</v>
      </c>
      <c r="I193" s="9">
        <v>68</v>
      </c>
      <c r="J193" s="11">
        <v>4.2</v>
      </c>
      <c r="K193" s="9">
        <v>24269</v>
      </c>
      <c r="L193" s="9">
        <v>4.1845152450522027</v>
      </c>
      <c r="M193" s="9" t="s">
        <v>28</v>
      </c>
      <c r="N193" s="9" t="s">
        <v>93</v>
      </c>
      <c r="O193" s="9">
        <v>67.599999999999994</v>
      </c>
      <c r="P193" s="9" t="s">
        <v>36</v>
      </c>
      <c r="Q193" s="9" t="b">
        <v>0</v>
      </c>
      <c r="R193" s="9" t="b">
        <v>0</v>
      </c>
      <c r="S193" s="9" t="b">
        <v>0</v>
      </c>
      <c r="T193" s="9">
        <v>2.17</v>
      </c>
      <c r="U193" s="9">
        <v>6</v>
      </c>
      <c r="V193" s="9" t="b">
        <v>0</v>
      </c>
      <c r="W193" s="9" t="s">
        <v>628</v>
      </c>
    </row>
    <row r="194" spans="1:23" ht="29" customHeight="1" x14ac:dyDescent="0.2">
      <c r="A194" s="9" t="s">
        <v>629</v>
      </c>
      <c r="B194" s="10" t="s">
        <v>630</v>
      </c>
      <c r="C194" s="9" t="s">
        <v>44</v>
      </c>
      <c r="D194" s="9" t="s">
        <v>44</v>
      </c>
      <c r="E194" s="9" t="s">
        <v>45</v>
      </c>
      <c r="F194" s="9" t="s">
        <v>133</v>
      </c>
      <c r="G194" s="9">
        <v>299</v>
      </c>
      <c r="H194" s="9">
        <v>899</v>
      </c>
      <c r="I194" s="9">
        <v>67</v>
      </c>
      <c r="J194" s="11">
        <v>3.8</v>
      </c>
      <c r="K194" s="9">
        <v>425</v>
      </c>
      <c r="L194" s="9">
        <v>4.0557466487595972</v>
      </c>
      <c r="M194" s="9" t="s">
        <v>89</v>
      </c>
      <c r="N194" s="9" t="s">
        <v>29</v>
      </c>
      <c r="O194" s="9">
        <v>56.6</v>
      </c>
      <c r="P194" s="9" t="s">
        <v>53</v>
      </c>
      <c r="Q194" s="9" t="b">
        <v>0</v>
      </c>
      <c r="R194" s="9" t="b">
        <v>0</v>
      </c>
      <c r="S194" s="9" t="b">
        <v>1</v>
      </c>
      <c r="T194" s="9">
        <v>0.87</v>
      </c>
      <c r="U194" s="9">
        <v>1</v>
      </c>
      <c r="V194" s="9" t="b">
        <v>1</v>
      </c>
      <c r="W194" s="9" t="s">
        <v>631</v>
      </c>
    </row>
    <row r="195" spans="1:23" ht="29" customHeight="1" x14ac:dyDescent="0.2">
      <c r="A195" s="9" t="s">
        <v>632</v>
      </c>
      <c r="B195" s="10" t="s">
        <v>633</v>
      </c>
      <c r="C195" s="9" t="s">
        <v>44</v>
      </c>
      <c r="D195" s="9" t="s">
        <v>44</v>
      </c>
      <c r="E195" s="9" t="s">
        <v>45</v>
      </c>
      <c r="F195" s="9" t="s">
        <v>178</v>
      </c>
      <c r="G195" s="9">
        <v>399</v>
      </c>
      <c r="H195" s="9">
        <v>799</v>
      </c>
      <c r="I195" s="9">
        <v>50</v>
      </c>
      <c r="J195" s="11">
        <v>4.0999999999999996</v>
      </c>
      <c r="K195" s="9">
        <v>1161</v>
      </c>
      <c r="L195" s="9">
        <v>4.0882581683113264</v>
      </c>
      <c r="M195" s="9" t="s">
        <v>28</v>
      </c>
      <c r="N195" s="9" t="s">
        <v>29</v>
      </c>
      <c r="O195" s="9">
        <v>54.2</v>
      </c>
      <c r="P195" s="9" t="s">
        <v>53</v>
      </c>
      <c r="Q195" s="9" t="b">
        <v>0</v>
      </c>
      <c r="R195" s="9" t="b">
        <v>0</v>
      </c>
      <c r="S195" s="9" t="b">
        <v>0</v>
      </c>
      <c r="U195" s="9">
        <v>1</v>
      </c>
      <c r="V195" s="9" t="b">
        <v>1</v>
      </c>
      <c r="W195" s="9" t="s">
        <v>634</v>
      </c>
    </row>
    <row r="196" spans="1:23" ht="29" customHeight="1" x14ac:dyDescent="0.2">
      <c r="A196" s="9" t="s">
        <v>635</v>
      </c>
      <c r="B196" s="10" t="s">
        <v>636</v>
      </c>
      <c r="C196" s="9" t="s">
        <v>25</v>
      </c>
      <c r="D196" s="9" t="s">
        <v>25</v>
      </c>
      <c r="E196" s="9" t="s">
        <v>26</v>
      </c>
      <c r="F196" s="9" t="s">
        <v>27</v>
      </c>
      <c r="G196" s="9">
        <v>249</v>
      </c>
      <c r="H196" s="9">
        <v>499</v>
      </c>
      <c r="I196" s="9">
        <v>50</v>
      </c>
      <c r="J196" s="11">
        <v>4.0999999999999996</v>
      </c>
      <c r="K196" s="9">
        <v>1508</v>
      </c>
      <c r="L196" s="9">
        <v>4.0890312288551023</v>
      </c>
      <c r="M196" s="9" t="s">
        <v>28</v>
      </c>
      <c r="N196" s="9" t="s">
        <v>29</v>
      </c>
      <c r="O196" s="9">
        <v>50.1</v>
      </c>
      <c r="P196" s="9" t="s">
        <v>30</v>
      </c>
      <c r="Q196" s="9" t="b">
        <v>0</v>
      </c>
      <c r="R196" s="9" t="b">
        <v>0</v>
      </c>
      <c r="S196" s="9" t="b">
        <v>0</v>
      </c>
      <c r="T196" s="9">
        <v>0.83</v>
      </c>
      <c r="U196" s="9">
        <v>1</v>
      </c>
      <c r="V196" s="9" t="b">
        <v>1</v>
      </c>
      <c r="W196" s="9" t="s">
        <v>637</v>
      </c>
    </row>
    <row r="197" spans="1:23" ht="29" customHeight="1" x14ac:dyDescent="0.2">
      <c r="A197" s="9" t="s">
        <v>638</v>
      </c>
      <c r="B197" s="10" t="s">
        <v>639</v>
      </c>
      <c r="C197" s="9" t="s">
        <v>44</v>
      </c>
      <c r="D197" s="9" t="s">
        <v>44</v>
      </c>
      <c r="E197" s="9" t="s">
        <v>45</v>
      </c>
      <c r="F197" s="9" t="s">
        <v>640</v>
      </c>
      <c r="G197" s="9">
        <v>1249</v>
      </c>
      <c r="H197" s="9">
        <v>2299</v>
      </c>
      <c r="I197" s="9">
        <v>46</v>
      </c>
      <c r="J197" s="11">
        <v>4.3</v>
      </c>
      <c r="K197" s="9">
        <v>7636</v>
      </c>
      <c r="L197" s="9">
        <v>4.2289107419117267</v>
      </c>
      <c r="M197" s="9" t="s">
        <v>28</v>
      </c>
      <c r="N197" s="9" t="s">
        <v>179</v>
      </c>
      <c r="O197" s="9">
        <v>65.7</v>
      </c>
      <c r="P197" s="9" t="s">
        <v>36</v>
      </c>
      <c r="Q197" s="9" t="b">
        <v>0</v>
      </c>
      <c r="R197" s="9" t="b">
        <v>0</v>
      </c>
      <c r="S197" s="9" t="b">
        <v>0</v>
      </c>
      <c r="U197" s="9">
        <v>1</v>
      </c>
      <c r="V197" s="9" t="b">
        <v>1</v>
      </c>
      <c r="W197" s="9" t="s">
        <v>641</v>
      </c>
    </row>
    <row r="198" spans="1:23" ht="29" customHeight="1" x14ac:dyDescent="0.2">
      <c r="A198" s="9" t="s">
        <v>642</v>
      </c>
      <c r="B198" s="10" t="s">
        <v>643</v>
      </c>
      <c r="C198" s="9" t="s">
        <v>44</v>
      </c>
      <c r="D198" s="9" t="s">
        <v>44</v>
      </c>
      <c r="E198" s="9" t="s">
        <v>45</v>
      </c>
      <c r="F198" s="9" t="s">
        <v>133</v>
      </c>
      <c r="G198" s="9">
        <v>213</v>
      </c>
      <c r="H198" s="9">
        <v>499</v>
      </c>
      <c r="I198" s="9">
        <v>57</v>
      </c>
      <c r="J198" s="11">
        <v>3.7</v>
      </c>
      <c r="K198" s="9">
        <v>246</v>
      </c>
      <c r="L198" s="9">
        <v>4.0610300839917208</v>
      </c>
      <c r="M198" s="9" t="s">
        <v>89</v>
      </c>
      <c r="N198" s="9" t="s">
        <v>29</v>
      </c>
      <c r="O198" s="9">
        <v>52.7</v>
      </c>
      <c r="P198" s="9" t="s">
        <v>53</v>
      </c>
      <c r="Q198" s="9" t="b">
        <v>0</v>
      </c>
      <c r="R198" s="9" t="b">
        <v>0</v>
      </c>
      <c r="S198" s="9" t="b">
        <v>1</v>
      </c>
      <c r="T198" s="9">
        <v>0.62</v>
      </c>
      <c r="U198" s="9">
        <v>1</v>
      </c>
      <c r="V198" s="9" t="b">
        <v>1</v>
      </c>
      <c r="W198" s="9" t="s">
        <v>644</v>
      </c>
    </row>
    <row r="199" spans="1:23" ht="29" customHeight="1" x14ac:dyDescent="0.2">
      <c r="A199" s="9" t="s">
        <v>645</v>
      </c>
      <c r="B199" s="10" t="s">
        <v>646</v>
      </c>
      <c r="C199" s="9" t="s">
        <v>44</v>
      </c>
      <c r="D199" s="9" t="s">
        <v>44</v>
      </c>
      <c r="E199" s="9" t="s">
        <v>45</v>
      </c>
      <c r="F199" s="9" t="s">
        <v>133</v>
      </c>
      <c r="G199" s="9">
        <v>209</v>
      </c>
      <c r="H199" s="9">
        <v>499</v>
      </c>
      <c r="I199" s="9">
        <v>58</v>
      </c>
      <c r="J199" s="11">
        <v>4</v>
      </c>
      <c r="K199" s="9">
        <v>479</v>
      </c>
      <c r="L199" s="9">
        <v>4.0750769990995677</v>
      </c>
      <c r="M199" s="9" t="s">
        <v>89</v>
      </c>
      <c r="N199" s="9" t="s">
        <v>29</v>
      </c>
      <c r="O199" s="9">
        <v>55.4</v>
      </c>
      <c r="P199" s="9" t="s">
        <v>53</v>
      </c>
      <c r="Q199" s="9" t="b">
        <v>0</v>
      </c>
      <c r="R199" s="9" t="b">
        <v>0</v>
      </c>
      <c r="S199" s="9" t="b">
        <v>0</v>
      </c>
      <c r="T199" s="9">
        <v>0.61</v>
      </c>
      <c r="U199" s="9">
        <v>1</v>
      </c>
      <c r="V199" s="9" t="b">
        <v>1</v>
      </c>
      <c r="W199" s="9" t="s">
        <v>647</v>
      </c>
    </row>
    <row r="200" spans="1:23" ht="29" customHeight="1" x14ac:dyDescent="0.2">
      <c r="A200" s="9" t="s">
        <v>648</v>
      </c>
      <c r="B200" s="10" t="s">
        <v>649</v>
      </c>
      <c r="C200" s="9" t="s">
        <v>44</v>
      </c>
      <c r="D200" s="9" t="s">
        <v>44</v>
      </c>
      <c r="E200" s="9" t="s">
        <v>45</v>
      </c>
      <c r="F200" s="9" t="s">
        <v>46</v>
      </c>
      <c r="G200" s="9">
        <v>598</v>
      </c>
      <c r="H200" s="9">
        <v>4999</v>
      </c>
      <c r="I200" s="9">
        <v>88</v>
      </c>
      <c r="J200" s="11">
        <v>4.2</v>
      </c>
      <c r="K200" s="9">
        <v>910</v>
      </c>
      <c r="L200" s="9">
        <v>4.1071030693805914</v>
      </c>
      <c r="M200" s="9" t="s">
        <v>89</v>
      </c>
      <c r="N200" s="9" t="s">
        <v>93</v>
      </c>
      <c r="O200" s="9">
        <v>74.900000000000006</v>
      </c>
      <c r="P200" s="9" t="s">
        <v>36</v>
      </c>
      <c r="Q200" s="9" t="b">
        <v>0</v>
      </c>
      <c r="R200" s="9" t="b">
        <v>0</v>
      </c>
      <c r="S200" s="9" t="b">
        <v>0</v>
      </c>
      <c r="T200" s="9">
        <v>1.56</v>
      </c>
      <c r="U200" s="9">
        <v>1</v>
      </c>
      <c r="V200" s="9" t="b">
        <v>1</v>
      </c>
      <c r="W200" s="9" t="s">
        <v>650</v>
      </c>
    </row>
    <row r="201" spans="1:23" ht="29" customHeight="1" x14ac:dyDescent="0.2">
      <c r="A201" s="9" t="s">
        <v>651</v>
      </c>
      <c r="B201" s="10" t="s">
        <v>652</v>
      </c>
      <c r="C201" s="9" t="s">
        <v>25</v>
      </c>
      <c r="D201" s="9" t="s">
        <v>25</v>
      </c>
      <c r="E201" s="9" t="s">
        <v>26</v>
      </c>
      <c r="F201" s="9" t="s">
        <v>27</v>
      </c>
      <c r="G201" s="9">
        <v>799</v>
      </c>
      <c r="H201" s="9">
        <v>1749</v>
      </c>
      <c r="I201" s="9">
        <v>54</v>
      </c>
      <c r="J201" s="11">
        <v>4.0999999999999996</v>
      </c>
      <c r="K201" s="9">
        <v>5626</v>
      </c>
      <c r="L201" s="9">
        <v>4.0938423700996767</v>
      </c>
      <c r="M201" s="9" t="s">
        <v>28</v>
      </c>
      <c r="N201" s="9" t="s">
        <v>93</v>
      </c>
      <c r="O201" s="9">
        <v>46.6</v>
      </c>
      <c r="P201" s="9" t="s">
        <v>30</v>
      </c>
      <c r="Q201" s="9" t="b">
        <v>0</v>
      </c>
      <c r="R201" s="9" t="b">
        <v>1</v>
      </c>
      <c r="S201" s="9" t="b">
        <v>0</v>
      </c>
      <c r="T201" s="9">
        <v>2.67</v>
      </c>
      <c r="U201" s="9">
        <v>1</v>
      </c>
      <c r="V201" s="9" t="b">
        <v>1</v>
      </c>
      <c r="W201" s="9" t="s">
        <v>653</v>
      </c>
    </row>
    <row r="202" spans="1:23" ht="29" customHeight="1" x14ac:dyDescent="0.2">
      <c r="A202" s="9" t="s">
        <v>654</v>
      </c>
      <c r="B202" s="10" t="s">
        <v>655</v>
      </c>
      <c r="C202" s="9" t="s">
        <v>25</v>
      </c>
      <c r="D202" s="9" t="s">
        <v>25</v>
      </c>
      <c r="E202" s="9" t="s">
        <v>26</v>
      </c>
      <c r="F202" s="9" t="s">
        <v>27</v>
      </c>
      <c r="G202" s="9">
        <v>159</v>
      </c>
      <c r="H202" s="9">
        <v>595</v>
      </c>
      <c r="I202" s="9">
        <v>73</v>
      </c>
      <c r="J202" s="11">
        <v>4.3</v>
      </c>
      <c r="K202" s="9">
        <v>14184</v>
      </c>
      <c r="L202" s="9">
        <v>4.2548485271044951</v>
      </c>
      <c r="M202" s="9" t="s">
        <v>28</v>
      </c>
      <c r="N202" s="9" t="s">
        <v>29</v>
      </c>
      <c r="O202" s="9">
        <v>84.7</v>
      </c>
      <c r="P202" s="9" t="s">
        <v>36</v>
      </c>
      <c r="Q202" s="9" t="b">
        <v>0</v>
      </c>
      <c r="R202" s="9" t="b">
        <v>0</v>
      </c>
      <c r="S202" s="9" t="b">
        <v>0</v>
      </c>
      <c r="T202" s="9">
        <v>0.53</v>
      </c>
      <c r="U202" s="9">
        <v>2</v>
      </c>
      <c r="V202" s="9" t="b">
        <v>0</v>
      </c>
      <c r="W202" s="9" t="s">
        <v>656</v>
      </c>
    </row>
    <row r="203" spans="1:23" ht="29" customHeight="1" x14ac:dyDescent="0.2">
      <c r="A203" s="9" t="s">
        <v>657</v>
      </c>
      <c r="B203" s="10" t="s">
        <v>658</v>
      </c>
      <c r="C203" s="9" t="s">
        <v>25</v>
      </c>
      <c r="D203" s="9" t="s">
        <v>25</v>
      </c>
      <c r="E203" s="9" t="s">
        <v>26</v>
      </c>
      <c r="F203" s="9" t="s">
        <v>659</v>
      </c>
      <c r="G203" s="9">
        <v>499</v>
      </c>
      <c r="H203" s="9">
        <v>1100</v>
      </c>
      <c r="I203" s="9">
        <v>55</v>
      </c>
      <c r="J203" s="11">
        <v>4.4000000000000004</v>
      </c>
      <c r="K203" s="9">
        <v>25177</v>
      </c>
      <c r="L203" s="9">
        <v>4.3589985691418587</v>
      </c>
      <c r="M203" s="9" t="s">
        <v>28</v>
      </c>
      <c r="N203" s="9" t="s">
        <v>29</v>
      </c>
      <c r="O203" s="9">
        <v>73</v>
      </c>
      <c r="P203" s="9" t="s">
        <v>36</v>
      </c>
      <c r="Q203" s="9" t="b">
        <v>0</v>
      </c>
      <c r="R203" s="9" t="b">
        <v>0</v>
      </c>
      <c r="S203" s="9" t="b">
        <v>0</v>
      </c>
      <c r="U203" s="9">
        <v>1</v>
      </c>
      <c r="V203" s="9" t="b">
        <v>1</v>
      </c>
      <c r="W203" s="9" t="s">
        <v>660</v>
      </c>
    </row>
    <row r="204" spans="1:23" ht="29" customHeight="1" x14ac:dyDescent="0.2">
      <c r="A204" s="9" t="s">
        <v>661</v>
      </c>
      <c r="B204" s="10" t="s">
        <v>662</v>
      </c>
      <c r="C204" s="9" t="s">
        <v>44</v>
      </c>
      <c r="D204" s="9" t="s">
        <v>44</v>
      </c>
      <c r="E204" s="9" t="s">
        <v>45</v>
      </c>
      <c r="F204" s="9" t="s">
        <v>57</v>
      </c>
      <c r="G204" s="9">
        <v>31999</v>
      </c>
      <c r="H204" s="9">
        <v>49999</v>
      </c>
      <c r="I204" s="9">
        <v>36</v>
      </c>
      <c r="J204" s="11">
        <v>4.3</v>
      </c>
      <c r="K204" s="9">
        <v>21252</v>
      </c>
      <c r="L204" s="9">
        <v>4.2676063519830816</v>
      </c>
      <c r="M204" s="9" t="s">
        <v>28</v>
      </c>
      <c r="N204" s="9" t="s">
        <v>58</v>
      </c>
      <c r="O204" s="9">
        <v>53.3</v>
      </c>
      <c r="P204" s="9" t="s">
        <v>53</v>
      </c>
      <c r="Q204" s="9" t="b">
        <v>0</v>
      </c>
      <c r="R204" s="9" t="b">
        <v>0</v>
      </c>
      <c r="S204" s="9" t="b">
        <v>0</v>
      </c>
      <c r="T204" s="9">
        <v>1.69</v>
      </c>
      <c r="U204" s="9">
        <v>2</v>
      </c>
      <c r="V204" s="9" t="b">
        <v>1</v>
      </c>
      <c r="W204" s="9" t="s">
        <v>663</v>
      </c>
    </row>
    <row r="205" spans="1:23" ht="29" customHeight="1" x14ac:dyDescent="0.2">
      <c r="A205" s="9" t="s">
        <v>664</v>
      </c>
      <c r="B205" s="10" t="s">
        <v>665</v>
      </c>
      <c r="C205" s="9" t="s">
        <v>44</v>
      </c>
      <c r="D205" s="9" t="s">
        <v>44</v>
      </c>
      <c r="E205" s="9" t="s">
        <v>45</v>
      </c>
      <c r="F205" s="9" t="s">
        <v>57</v>
      </c>
      <c r="G205" s="9">
        <v>32990</v>
      </c>
      <c r="H205" s="9">
        <v>56790</v>
      </c>
      <c r="I205" s="9">
        <v>42</v>
      </c>
      <c r="J205" s="11">
        <v>4.3</v>
      </c>
      <c r="K205" s="9">
        <v>567</v>
      </c>
      <c r="L205" s="9">
        <v>4.1128396100429194</v>
      </c>
      <c r="M205" s="9" t="s">
        <v>89</v>
      </c>
      <c r="N205" s="9" t="s">
        <v>58</v>
      </c>
      <c r="O205" s="9">
        <v>42</v>
      </c>
      <c r="P205" s="9" t="s">
        <v>30</v>
      </c>
      <c r="Q205" s="9" t="b">
        <v>0</v>
      </c>
      <c r="R205" s="9" t="b">
        <v>0</v>
      </c>
      <c r="S205" s="9" t="b">
        <v>0</v>
      </c>
      <c r="T205" s="9">
        <v>1.74</v>
      </c>
      <c r="U205" s="9">
        <v>1</v>
      </c>
      <c r="V205" s="9" t="b">
        <v>1</v>
      </c>
      <c r="W205" s="9" t="s">
        <v>666</v>
      </c>
    </row>
    <row r="206" spans="1:23" ht="29" customHeight="1" x14ac:dyDescent="0.2">
      <c r="A206" s="9" t="s">
        <v>667</v>
      </c>
      <c r="B206" s="10" t="s">
        <v>668</v>
      </c>
      <c r="C206" s="9" t="s">
        <v>44</v>
      </c>
      <c r="D206" s="9" t="s">
        <v>44</v>
      </c>
      <c r="E206" s="9" t="s">
        <v>45</v>
      </c>
      <c r="F206" s="9" t="s">
        <v>133</v>
      </c>
      <c r="G206" s="9">
        <v>299</v>
      </c>
      <c r="H206" s="9">
        <v>1199</v>
      </c>
      <c r="I206" s="9">
        <v>75</v>
      </c>
      <c r="J206" s="11">
        <v>3.5</v>
      </c>
      <c r="K206" s="9">
        <v>466</v>
      </c>
      <c r="L206" s="9">
        <v>4.0202055319098529</v>
      </c>
      <c r="M206" s="9" t="s">
        <v>89</v>
      </c>
      <c r="N206" s="9" t="s">
        <v>29</v>
      </c>
      <c r="O206" s="9">
        <v>54.3</v>
      </c>
      <c r="P206" s="9" t="s">
        <v>53</v>
      </c>
      <c r="Q206" s="9" t="b">
        <v>0</v>
      </c>
      <c r="R206" s="9" t="b">
        <v>0</v>
      </c>
      <c r="S206" s="9" t="b">
        <v>1</v>
      </c>
      <c r="T206" s="9">
        <v>0.87</v>
      </c>
      <c r="U206" s="9">
        <v>1</v>
      </c>
      <c r="V206" s="9" t="b">
        <v>1</v>
      </c>
      <c r="W206" s="9" t="s">
        <v>669</v>
      </c>
    </row>
    <row r="207" spans="1:23" ht="29" customHeight="1" x14ac:dyDescent="0.2">
      <c r="A207" s="9" t="s">
        <v>670</v>
      </c>
      <c r="B207" s="10" t="s">
        <v>671</v>
      </c>
      <c r="C207" s="9" t="s">
        <v>25</v>
      </c>
      <c r="D207" s="9" t="s">
        <v>25</v>
      </c>
      <c r="E207" s="9" t="s">
        <v>26</v>
      </c>
      <c r="F207" s="9" t="s">
        <v>27</v>
      </c>
      <c r="G207" s="9">
        <v>128.31</v>
      </c>
      <c r="H207" s="9">
        <v>549</v>
      </c>
      <c r="I207" s="9">
        <v>77</v>
      </c>
      <c r="J207" s="11">
        <v>3.9</v>
      </c>
      <c r="K207" s="9">
        <v>61</v>
      </c>
      <c r="L207" s="9">
        <v>4.0816893138958594</v>
      </c>
      <c r="M207" s="9" t="s">
        <v>204</v>
      </c>
      <c r="N207" s="9" t="s">
        <v>29</v>
      </c>
      <c r="O207" s="9">
        <v>62.2</v>
      </c>
      <c r="P207" s="9" t="s">
        <v>36</v>
      </c>
      <c r="Q207" s="9" t="b">
        <v>0</v>
      </c>
      <c r="R207" s="9" t="b">
        <v>0</v>
      </c>
      <c r="S207" s="9" t="b">
        <v>0</v>
      </c>
      <c r="T207" s="9">
        <v>0.43</v>
      </c>
      <c r="U207" s="9">
        <v>2</v>
      </c>
      <c r="V207" s="9" t="b">
        <v>0</v>
      </c>
      <c r="W207" s="9" t="s">
        <v>672</v>
      </c>
    </row>
    <row r="208" spans="1:23" ht="29" customHeight="1" x14ac:dyDescent="0.2">
      <c r="A208" s="9" t="s">
        <v>673</v>
      </c>
      <c r="B208" s="10" t="s">
        <v>674</v>
      </c>
      <c r="C208" s="9" t="s">
        <v>25</v>
      </c>
      <c r="D208" s="9" t="s">
        <v>25</v>
      </c>
      <c r="E208" s="9" t="s">
        <v>26</v>
      </c>
      <c r="F208" s="9" t="s">
        <v>27</v>
      </c>
      <c r="G208" s="9">
        <v>599</v>
      </c>
      <c r="H208" s="9">
        <v>849</v>
      </c>
      <c r="I208" s="9">
        <v>29</v>
      </c>
      <c r="J208" s="11">
        <v>4.5</v>
      </c>
      <c r="K208" s="9">
        <v>474</v>
      </c>
      <c r="L208" s="9">
        <v>4.1311080117268526</v>
      </c>
      <c r="M208" s="9" t="s">
        <v>89</v>
      </c>
      <c r="N208" s="9" t="s">
        <v>93</v>
      </c>
      <c r="O208" s="9">
        <v>44.6</v>
      </c>
      <c r="P208" s="9" t="s">
        <v>30</v>
      </c>
      <c r="Q208" s="9" t="b">
        <v>0</v>
      </c>
      <c r="R208" s="9" t="b">
        <v>0</v>
      </c>
      <c r="S208" s="9" t="b">
        <v>0</v>
      </c>
      <c r="T208" s="9">
        <v>2</v>
      </c>
      <c r="U208" s="9">
        <v>1</v>
      </c>
      <c r="V208" s="9" t="b">
        <v>1</v>
      </c>
      <c r="W208" s="9" t="s">
        <v>675</v>
      </c>
    </row>
    <row r="209" spans="1:23" ht="29" customHeight="1" x14ac:dyDescent="0.2">
      <c r="A209" s="9" t="s">
        <v>676</v>
      </c>
      <c r="B209" s="10" t="s">
        <v>677</v>
      </c>
      <c r="C209" s="9" t="s">
        <v>44</v>
      </c>
      <c r="D209" s="9" t="s">
        <v>44</v>
      </c>
      <c r="E209" s="9" t="s">
        <v>45</v>
      </c>
      <c r="F209" s="9" t="s">
        <v>133</v>
      </c>
      <c r="G209" s="9">
        <v>399</v>
      </c>
      <c r="H209" s="9">
        <v>899</v>
      </c>
      <c r="I209" s="9">
        <v>56</v>
      </c>
      <c r="J209" s="11">
        <v>3.4</v>
      </c>
      <c r="K209" s="9">
        <v>431</v>
      </c>
      <c r="L209" s="9">
        <v>4.014269486510269</v>
      </c>
      <c r="M209" s="9" t="s">
        <v>89</v>
      </c>
      <c r="N209" s="9" t="s">
        <v>29</v>
      </c>
      <c r="O209" s="9">
        <v>44.4</v>
      </c>
      <c r="P209" s="9" t="s">
        <v>30</v>
      </c>
      <c r="Q209" s="9" t="b">
        <v>0</v>
      </c>
      <c r="R209" s="9" t="b">
        <v>0</v>
      </c>
      <c r="S209" s="9" t="b">
        <v>1</v>
      </c>
      <c r="T209" s="9">
        <v>1.1599999999999999</v>
      </c>
      <c r="U209" s="9">
        <v>1</v>
      </c>
      <c r="V209" s="9" t="b">
        <v>1</v>
      </c>
      <c r="W209" s="9" t="s">
        <v>678</v>
      </c>
    </row>
    <row r="210" spans="1:23" ht="29" customHeight="1" x14ac:dyDescent="0.2">
      <c r="A210" s="9" t="s">
        <v>679</v>
      </c>
      <c r="B210" s="10" t="s">
        <v>680</v>
      </c>
      <c r="C210" s="9" t="s">
        <v>25</v>
      </c>
      <c r="D210" s="9" t="s">
        <v>25</v>
      </c>
      <c r="E210" s="9" t="s">
        <v>26</v>
      </c>
      <c r="F210" s="9" t="s">
        <v>27</v>
      </c>
      <c r="G210" s="9">
        <v>449</v>
      </c>
      <c r="H210" s="9">
        <v>1099</v>
      </c>
      <c r="I210" s="9">
        <v>59</v>
      </c>
      <c r="J210" s="11">
        <v>4</v>
      </c>
      <c r="K210" s="9">
        <v>242</v>
      </c>
      <c r="L210" s="9">
        <v>4.0795203125685644</v>
      </c>
      <c r="M210" s="9" t="s">
        <v>89</v>
      </c>
      <c r="N210" s="9" t="s">
        <v>29</v>
      </c>
      <c r="O210" s="9">
        <v>45.1</v>
      </c>
      <c r="P210" s="9" t="s">
        <v>30</v>
      </c>
      <c r="Q210" s="9" t="b">
        <v>0</v>
      </c>
      <c r="R210" s="9" t="b">
        <v>0</v>
      </c>
      <c r="S210" s="9" t="b">
        <v>0</v>
      </c>
      <c r="T210" s="9">
        <v>1.5</v>
      </c>
      <c r="U210" s="9">
        <v>1</v>
      </c>
      <c r="V210" s="9" t="b">
        <v>1</v>
      </c>
      <c r="W210" s="9" t="s">
        <v>681</v>
      </c>
    </row>
    <row r="211" spans="1:23" ht="29" customHeight="1" x14ac:dyDescent="0.2">
      <c r="A211" s="9" t="s">
        <v>682</v>
      </c>
      <c r="B211" s="10" t="s">
        <v>683</v>
      </c>
      <c r="C211" s="9" t="s">
        <v>25</v>
      </c>
      <c r="D211" s="9" t="s">
        <v>25</v>
      </c>
      <c r="E211" s="9" t="s">
        <v>26</v>
      </c>
      <c r="F211" s="9" t="s">
        <v>27</v>
      </c>
      <c r="G211" s="9">
        <v>254</v>
      </c>
      <c r="H211" s="9">
        <v>799</v>
      </c>
      <c r="I211" s="9">
        <v>68</v>
      </c>
      <c r="J211" s="11">
        <v>4</v>
      </c>
      <c r="K211" s="9">
        <v>2905</v>
      </c>
      <c r="L211" s="9">
        <v>4.0477598937654022</v>
      </c>
      <c r="M211" s="9" t="s">
        <v>28</v>
      </c>
      <c r="N211" s="9" t="s">
        <v>29</v>
      </c>
      <c r="O211" s="9">
        <v>50.5</v>
      </c>
      <c r="P211" s="9" t="s">
        <v>30</v>
      </c>
      <c r="Q211" s="9" t="b">
        <v>0</v>
      </c>
      <c r="R211" s="9" t="b">
        <v>0</v>
      </c>
      <c r="S211" s="9" t="b">
        <v>0</v>
      </c>
      <c r="T211" s="9">
        <v>0.85</v>
      </c>
      <c r="U211" s="9">
        <v>1</v>
      </c>
      <c r="V211" s="9" t="b">
        <v>1</v>
      </c>
      <c r="W211" s="9" t="s">
        <v>684</v>
      </c>
    </row>
    <row r="212" spans="1:23" ht="29" customHeight="1" x14ac:dyDescent="0.2">
      <c r="A212" s="9" t="s">
        <v>685</v>
      </c>
      <c r="B212" s="10" t="s">
        <v>686</v>
      </c>
      <c r="C212" s="9" t="s">
        <v>44</v>
      </c>
      <c r="D212" s="9" t="s">
        <v>44</v>
      </c>
      <c r="E212" s="9" t="s">
        <v>45</v>
      </c>
      <c r="F212" s="9" t="s">
        <v>687</v>
      </c>
      <c r="G212" s="9">
        <v>399</v>
      </c>
      <c r="H212" s="9">
        <v>795</v>
      </c>
      <c r="I212" s="9">
        <v>50</v>
      </c>
      <c r="J212" s="11">
        <v>4.4000000000000004</v>
      </c>
      <c r="K212" s="9">
        <v>12091</v>
      </c>
      <c r="L212" s="9">
        <v>4.3251546404062724</v>
      </c>
      <c r="M212" s="9" t="s">
        <v>28</v>
      </c>
      <c r="N212" s="9" t="s">
        <v>29</v>
      </c>
      <c r="O212" s="9">
        <v>79.900000000000006</v>
      </c>
      <c r="P212" s="9" t="s">
        <v>36</v>
      </c>
      <c r="Q212" s="9" t="b">
        <v>0</v>
      </c>
      <c r="R212" s="9" t="b">
        <v>0</v>
      </c>
      <c r="S212" s="9" t="b">
        <v>0</v>
      </c>
      <c r="U212" s="9">
        <v>1</v>
      </c>
      <c r="V212" s="9" t="b">
        <v>1</v>
      </c>
      <c r="W212" s="9" t="s">
        <v>688</v>
      </c>
    </row>
    <row r="213" spans="1:23" ht="29" customHeight="1" x14ac:dyDescent="0.2">
      <c r="A213" s="9" t="s">
        <v>689</v>
      </c>
      <c r="B213" s="10" t="s">
        <v>690</v>
      </c>
      <c r="C213" s="9" t="s">
        <v>25</v>
      </c>
      <c r="D213" s="9" t="s">
        <v>25</v>
      </c>
      <c r="E213" s="9" t="s">
        <v>26</v>
      </c>
      <c r="F213" s="9" t="s">
        <v>27</v>
      </c>
      <c r="G213" s="9">
        <v>179</v>
      </c>
      <c r="H213" s="9">
        <v>399</v>
      </c>
      <c r="I213" s="9">
        <v>55</v>
      </c>
      <c r="J213" s="11">
        <v>4</v>
      </c>
      <c r="K213" s="9">
        <v>1423</v>
      </c>
      <c r="L213" s="9">
        <v>4.0614095249601423</v>
      </c>
      <c r="M213" s="9" t="s">
        <v>28</v>
      </c>
      <c r="N213" s="9" t="s">
        <v>29</v>
      </c>
      <c r="O213" s="9">
        <v>47.9</v>
      </c>
      <c r="P213" s="9" t="s">
        <v>30</v>
      </c>
      <c r="Q213" s="9" t="b">
        <v>0</v>
      </c>
      <c r="R213" s="9" t="b">
        <v>0</v>
      </c>
      <c r="S213" s="9" t="b">
        <v>0</v>
      </c>
      <c r="T213" s="9">
        <v>0.6</v>
      </c>
      <c r="U213" s="9">
        <v>3</v>
      </c>
      <c r="V213" s="9" t="b">
        <v>0</v>
      </c>
      <c r="W213" s="9" t="s">
        <v>691</v>
      </c>
    </row>
    <row r="214" spans="1:23" ht="29" customHeight="1" x14ac:dyDescent="0.2">
      <c r="A214" s="9" t="s">
        <v>692</v>
      </c>
      <c r="B214" s="10" t="s">
        <v>693</v>
      </c>
      <c r="C214" s="9" t="s">
        <v>25</v>
      </c>
      <c r="D214" s="9" t="s">
        <v>25</v>
      </c>
      <c r="E214" s="9" t="s">
        <v>26</v>
      </c>
      <c r="F214" s="9" t="s">
        <v>27</v>
      </c>
      <c r="G214" s="9">
        <v>339</v>
      </c>
      <c r="H214" s="9">
        <v>999</v>
      </c>
      <c r="I214" s="9">
        <v>66</v>
      </c>
      <c r="J214" s="11">
        <v>4.3</v>
      </c>
      <c r="K214" s="9">
        <v>6255</v>
      </c>
      <c r="L214" s="9">
        <v>4.2191104658528404</v>
      </c>
      <c r="M214" s="9" t="s">
        <v>28</v>
      </c>
      <c r="N214" s="9" t="s">
        <v>29</v>
      </c>
      <c r="O214" s="9">
        <v>75.7</v>
      </c>
      <c r="P214" s="9" t="s">
        <v>36</v>
      </c>
      <c r="Q214" s="9" t="b">
        <v>0</v>
      </c>
      <c r="R214" s="9" t="b">
        <v>0</v>
      </c>
      <c r="S214" s="9" t="b">
        <v>0</v>
      </c>
      <c r="T214" s="9">
        <v>1.1299999999999999</v>
      </c>
      <c r="U214" s="9">
        <v>2</v>
      </c>
      <c r="V214" s="9" t="b">
        <v>0</v>
      </c>
      <c r="W214" s="9" t="s">
        <v>694</v>
      </c>
    </row>
    <row r="215" spans="1:23" ht="29" customHeight="1" x14ac:dyDescent="0.2">
      <c r="A215" s="9" t="s">
        <v>695</v>
      </c>
      <c r="B215" s="10" t="s">
        <v>696</v>
      </c>
      <c r="C215" s="9" t="s">
        <v>44</v>
      </c>
      <c r="D215" s="9" t="s">
        <v>44</v>
      </c>
      <c r="E215" s="9" t="s">
        <v>45</v>
      </c>
      <c r="F215" s="9" t="s">
        <v>178</v>
      </c>
      <c r="G215" s="9">
        <v>399</v>
      </c>
      <c r="H215" s="9">
        <v>999</v>
      </c>
      <c r="I215" s="9">
        <v>60</v>
      </c>
      <c r="J215" s="11">
        <v>4</v>
      </c>
      <c r="K215" s="9">
        <v>1236</v>
      </c>
      <c r="L215" s="9">
        <v>4.0637069304152877</v>
      </c>
      <c r="M215" s="9" t="s">
        <v>28</v>
      </c>
      <c r="N215" s="9" t="s">
        <v>29</v>
      </c>
      <c r="O215" s="9">
        <v>53.2</v>
      </c>
      <c r="P215" s="9" t="s">
        <v>53</v>
      </c>
      <c r="Q215" s="9" t="b">
        <v>0</v>
      </c>
      <c r="R215" s="9" t="b">
        <v>0</v>
      </c>
      <c r="S215" s="9" t="b">
        <v>0</v>
      </c>
      <c r="U215" s="9">
        <v>1</v>
      </c>
      <c r="V215" s="9" t="b">
        <v>1</v>
      </c>
      <c r="W215" s="9" t="s">
        <v>697</v>
      </c>
    </row>
    <row r="216" spans="1:23" ht="29" customHeight="1" x14ac:dyDescent="0.2">
      <c r="A216" s="9" t="s">
        <v>698</v>
      </c>
      <c r="B216" s="10" t="s">
        <v>699</v>
      </c>
      <c r="C216" s="9" t="s">
        <v>44</v>
      </c>
      <c r="D216" s="9" t="s">
        <v>44</v>
      </c>
      <c r="E216" s="9" t="s">
        <v>45</v>
      </c>
      <c r="F216" s="9" t="s">
        <v>133</v>
      </c>
      <c r="G216" s="9">
        <v>199</v>
      </c>
      <c r="H216" s="9">
        <v>399</v>
      </c>
      <c r="I216" s="9">
        <v>50</v>
      </c>
      <c r="J216" s="11">
        <v>4.2</v>
      </c>
      <c r="K216" s="9">
        <v>1335</v>
      </c>
      <c r="L216" s="9">
        <v>4.1148482769359127</v>
      </c>
      <c r="M216" s="9" t="s">
        <v>28</v>
      </c>
      <c r="N216" s="9" t="s">
        <v>29</v>
      </c>
      <c r="O216" s="9">
        <v>65.400000000000006</v>
      </c>
      <c r="P216" s="9" t="s">
        <v>36</v>
      </c>
      <c r="Q216" s="9" t="b">
        <v>0</v>
      </c>
      <c r="R216" s="9" t="b">
        <v>0</v>
      </c>
      <c r="S216" s="9" t="b">
        <v>0</v>
      </c>
      <c r="T216" s="9">
        <v>0.57999999999999996</v>
      </c>
      <c r="U216" s="9">
        <v>2</v>
      </c>
      <c r="V216" s="9" t="b">
        <v>1</v>
      </c>
      <c r="W216" s="9" t="s">
        <v>700</v>
      </c>
    </row>
    <row r="217" spans="1:23" ht="29" customHeight="1" x14ac:dyDescent="0.2">
      <c r="A217" s="9" t="s">
        <v>701</v>
      </c>
      <c r="B217" s="10" t="s">
        <v>702</v>
      </c>
      <c r="C217" s="9" t="s">
        <v>44</v>
      </c>
      <c r="D217" s="9" t="s">
        <v>44</v>
      </c>
      <c r="E217" s="9" t="s">
        <v>45</v>
      </c>
      <c r="F217" s="9" t="s">
        <v>133</v>
      </c>
      <c r="G217" s="9">
        <v>349</v>
      </c>
      <c r="H217" s="9">
        <v>1999</v>
      </c>
      <c r="I217" s="9">
        <v>83</v>
      </c>
      <c r="J217" s="11">
        <v>3.8</v>
      </c>
      <c r="K217" s="9">
        <v>197</v>
      </c>
      <c r="L217" s="9">
        <v>4.0704733152369794</v>
      </c>
      <c r="M217" s="9" t="s">
        <v>89</v>
      </c>
      <c r="N217" s="9" t="s">
        <v>29</v>
      </c>
      <c r="O217" s="9">
        <v>62.5</v>
      </c>
      <c r="P217" s="9" t="s">
        <v>36</v>
      </c>
      <c r="Q217" s="9" t="b">
        <v>0</v>
      </c>
      <c r="R217" s="9" t="b">
        <v>0</v>
      </c>
      <c r="S217" s="9" t="b">
        <v>1</v>
      </c>
      <c r="T217" s="9">
        <v>1.01</v>
      </c>
      <c r="U217" s="9">
        <v>1</v>
      </c>
      <c r="V217" s="9" t="b">
        <v>1</v>
      </c>
      <c r="W217" s="9" t="s">
        <v>703</v>
      </c>
    </row>
    <row r="218" spans="1:23" ht="29" customHeight="1" x14ac:dyDescent="0.2">
      <c r="A218" s="9" t="s">
        <v>704</v>
      </c>
      <c r="B218" s="10" t="s">
        <v>705</v>
      </c>
      <c r="C218" s="9" t="s">
        <v>25</v>
      </c>
      <c r="D218" s="9" t="s">
        <v>25</v>
      </c>
      <c r="E218" s="9" t="s">
        <v>26</v>
      </c>
      <c r="F218" s="9" t="s">
        <v>27</v>
      </c>
      <c r="G218" s="9">
        <v>299</v>
      </c>
      <c r="H218" s="9">
        <v>798</v>
      </c>
      <c r="I218" s="9">
        <v>63</v>
      </c>
      <c r="J218" s="11">
        <v>4.4000000000000004</v>
      </c>
      <c r="K218" s="9">
        <v>28791</v>
      </c>
      <c r="L218" s="9">
        <v>4.3635504351814962</v>
      </c>
      <c r="M218" s="9" t="s">
        <v>28</v>
      </c>
      <c r="N218" s="9" t="s">
        <v>29</v>
      </c>
      <c r="O218" s="9">
        <v>82</v>
      </c>
      <c r="P218" s="9" t="s">
        <v>36</v>
      </c>
      <c r="Q218" s="9" t="b">
        <v>0</v>
      </c>
      <c r="R218" s="9" t="b">
        <v>0</v>
      </c>
      <c r="S218" s="9" t="b">
        <v>0</v>
      </c>
      <c r="T218" s="9">
        <v>1</v>
      </c>
      <c r="U218" s="9">
        <v>2</v>
      </c>
      <c r="V218" s="9" t="b">
        <v>0</v>
      </c>
      <c r="W218" s="9" t="s">
        <v>706</v>
      </c>
    </row>
    <row r="219" spans="1:23" ht="29" customHeight="1" x14ac:dyDescent="0.2">
      <c r="A219" s="9" t="s">
        <v>707</v>
      </c>
      <c r="B219" s="10" t="s">
        <v>708</v>
      </c>
      <c r="C219" s="9" t="s">
        <v>25</v>
      </c>
      <c r="D219" s="9" t="s">
        <v>25</v>
      </c>
      <c r="E219" s="9" t="s">
        <v>26</v>
      </c>
      <c r="F219" s="9" t="s">
        <v>27</v>
      </c>
      <c r="G219" s="9">
        <v>89</v>
      </c>
      <c r="H219" s="9">
        <v>800</v>
      </c>
      <c r="I219" s="9">
        <v>89</v>
      </c>
      <c r="J219" s="11">
        <v>3.9</v>
      </c>
      <c r="K219" s="9">
        <v>1075</v>
      </c>
      <c r="L219" s="9">
        <v>4.0436049801924163</v>
      </c>
      <c r="M219" s="9" t="s">
        <v>28</v>
      </c>
      <c r="N219" s="9" t="s">
        <v>29</v>
      </c>
      <c r="O219" s="9">
        <v>59.7</v>
      </c>
      <c r="P219" s="9" t="s">
        <v>53</v>
      </c>
      <c r="Q219" s="9" t="b">
        <v>0</v>
      </c>
      <c r="R219" s="9" t="b">
        <v>0</v>
      </c>
      <c r="S219" s="9" t="b">
        <v>0</v>
      </c>
      <c r="T219" s="9">
        <v>0.3</v>
      </c>
      <c r="U219" s="9">
        <v>4</v>
      </c>
      <c r="V219" s="9" t="b">
        <v>0</v>
      </c>
      <c r="W219" s="9" t="s">
        <v>709</v>
      </c>
    </row>
    <row r="220" spans="1:23" ht="29" customHeight="1" x14ac:dyDescent="0.2">
      <c r="A220" s="9" t="s">
        <v>710</v>
      </c>
      <c r="B220" s="10" t="s">
        <v>711</v>
      </c>
      <c r="C220" s="9" t="s">
        <v>25</v>
      </c>
      <c r="D220" s="9" t="s">
        <v>25</v>
      </c>
      <c r="E220" s="9" t="s">
        <v>26</v>
      </c>
      <c r="F220" s="9" t="s">
        <v>27</v>
      </c>
      <c r="G220" s="9">
        <v>549</v>
      </c>
      <c r="H220" s="9">
        <v>995</v>
      </c>
      <c r="I220" s="9">
        <v>45</v>
      </c>
      <c r="J220" s="11">
        <v>4.2</v>
      </c>
      <c r="K220" s="9">
        <v>29746</v>
      </c>
      <c r="L220" s="9">
        <v>4.1870462447343453</v>
      </c>
      <c r="M220" s="9" t="s">
        <v>28</v>
      </c>
      <c r="N220" s="9" t="s">
        <v>93</v>
      </c>
      <c r="O220" s="9">
        <v>57.4</v>
      </c>
      <c r="P220" s="9" t="s">
        <v>53</v>
      </c>
      <c r="Q220" s="9" t="b">
        <v>0</v>
      </c>
      <c r="R220" s="9" t="b">
        <v>0</v>
      </c>
      <c r="S220" s="9" t="b">
        <v>0</v>
      </c>
      <c r="T220" s="9">
        <v>1.84</v>
      </c>
      <c r="U220" s="9">
        <v>2</v>
      </c>
      <c r="V220" s="9" t="b">
        <v>0</v>
      </c>
      <c r="W220" s="9" t="s">
        <v>712</v>
      </c>
    </row>
    <row r="221" spans="1:23" ht="29" customHeight="1" x14ac:dyDescent="0.2">
      <c r="A221" s="9" t="s">
        <v>713</v>
      </c>
      <c r="B221" s="10" t="s">
        <v>714</v>
      </c>
      <c r="C221" s="9" t="s">
        <v>25</v>
      </c>
      <c r="D221" s="9" t="s">
        <v>25</v>
      </c>
      <c r="E221" s="9" t="s">
        <v>26</v>
      </c>
      <c r="F221" s="9" t="s">
        <v>27</v>
      </c>
      <c r="G221" s="9">
        <v>129</v>
      </c>
      <c r="H221" s="9">
        <v>1000</v>
      </c>
      <c r="I221" s="9">
        <v>87</v>
      </c>
      <c r="J221" s="11">
        <v>3.9</v>
      </c>
      <c r="K221" s="9">
        <v>295</v>
      </c>
      <c r="L221" s="9">
        <v>4.0712111131684079</v>
      </c>
      <c r="M221" s="9" t="s">
        <v>89</v>
      </c>
      <c r="N221" s="9" t="s">
        <v>29</v>
      </c>
      <c r="O221" s="9">
        <v>62.2</v>
      </c>
      <c r="P221" s="9" t="s">
        <v>36</v>
      </c>
      <c r="Q221" s="9" t="b">
        <v>0</v>
      </c>
      <c r="R221" s="9" t="b">
        <v>0</v>
      </c>
      <c r="S221" s="9" t="b">
        <v>0</v>
      </c>
      <c r="T221" s="9">
        <v>0.43</v>
      </c>
      <c r="U221" s="9">
        <v>1</v>
      </c>
      <c r="V221" s="9" t="b">
        <v>1</v>
      </c>
      <c r="W221" s="9" t="s">
        <v>715</v>
      </c>
    </row>
    <row r="222" spans="1:23" ht="29" customHeight="1" x14ac:dyDescent="0.2">
      <c r="A222" s="9" t="s">
        <v>716</v>
      </c>
      <c r="B222" s="10" t="s">
        <v>717</v>
      </c>
      <c r="C222" s="9" t="s">
        <v>44</v>
      </c>
      <c r="D222" s="9" t="s">
        <v>44</v>
      </c>
      <c r="E222" s="9" t="s">
        <v>45</v>
      </c>
      <c r="F222" s="9" t="s">
        <v>57</v>
      </c>
      <c r="G222" s="9">
        <v>77990</v>
      </c>
      <c r="H222" s="9">
        <v>139900</v>
      </c>
      <c r="I222" s="9">
        <v>44</v>
      </c>
      <c r="J222" s="11">
        <v>4.7</v>
      </c>
      <c r="K222" s="9">
        <v>5935</v>
      </c>
      <c r="L222" s="9">
        <v>4.4612466194050846</v>
      </c>
      <c r="M222" s="9" t="s">
        <v>28</v>
      </c>
      <c r="N222" s="9" t="s">
        <v>58</v>
      </c>
      <c r="O222" s="9">
        <v>62.4</v>
      </c>
      <c r="P222" s="9" t="s">
        <v>36</v>
      </c>
      <c r="Q222" s="9" t="b">
        <v>0</v>
      </c>
      <c r="R222" s="9" t="b">
        <v>0</v>
      </c>
      <c r="S222" s="9" t="b">
        <v>0</v>
      </c>
      <c r="T222" s="9">
        <v>4.1100000000000003</v>
      </c>
      <c r="U222" s="9">
        <v>1</v>
      </c>
      <c r="V222" s="9" t="b">
        <v>1</v>
      </c>
      <c r="W222" s="9" t="s">
        <v>718</v>
      </c>
    </row>
    <row r="223" spans="1:23" ht="29" customHeight="1" x14ac:dyDescent="0.2">
      <c r="A223" s="9" t="s">
        <v>719</v>
      </c>
      <c r="B223" s="10" t="s">
        <v>720</v>
      </c>
      <c r="C223" s="9" t="s">
        <v>44</v>
      </c>
      <c r="D223" s="9" t="s">
        <v>44</v>
      </c>
      <c r="E223" s="9" t="s">
        <v>45</v>
      </c>
      <c r="F223" s="9" t="s">
        <v>133</v>
      </c>
      <c r="G223" s="9">
        <v>349</v>
      </c>
      <c r="H223" s="9">
        <v>799</v>
      </c>
      <c r="I223" s="9">
        <v>56</v>
      </c>
      <c r="J223" s="11">
        <v>3.6</v>
      </c>
      <c r="K223" s="9">
        <v>323</v>
      </c>
      <c r="L223" s="9">
        <v>4.0463196895559461</v>
      </c>
      <c r="M223" s="9" t="s">
        <v>89</v>
      </c>
      <c r="N223" s="9" t="s">
        <v>29</v>
      </c>
      <c r="O223" s="9">
        <v>49.5</v>
      </c>
      <c r="P223" s="9" t="s">
        <v>30</v>
      </c>
      <c r="Q223" s="9" t="b">
        <v>0</v>
      </c>
      <c r="R223" s="9" t="b">
        <v>0</v>
      </c>
      <c r="S223" s="9" t="b">
        <v>1</v>
      </c>
      <c r="T223" s="9">
        <v>1.01</v>
      </c>
      <c r="U223" s="9">
        <v>1</v>
      </c>
      <c r="V223" s="9" t="b">
        <v>1</v>
      </c>
      <c r="W223" s="9" t="s">
        <v>721</v>
      </c>
    </row>
    <row r="224" spans="1:23" ht="29" customHeight="1" x14ac:dyDescent="0.2">
      <c r="A224" s="9" t="s">
        <v>722</v>
      </c>
      <c r="B224" s="10" t="s">
        <v>723</v>
      </c>
      <c r="C224" s="9" t="s">
        <v>44</v>
      </c>
      <c r="D224" s="9" t="s">
        <v>44</v>
      </c>
      <c r="E224" s="9" t="s">
        <v>45</v>
      </c>
      <c r="F224" s="9" t="s">
        <v>133</v>
      </c>
      <c r="G224" s="9">
        <v>499</v>
      </c>
      <c r="H224" s="9">
        <v>899</v>
      </c>
      <c r="I224" s="9">
        <v>44</v>
      </c>
      <c r="J224" s="11">
        <v>3.7</v>
      </c>
      <c r="K224" s="9">
        <v>185</v>
      </c>
      <c r="L224" s="9">
        <v>4.0666090162585977</v>
      </c>
      <c r="M224" s="9" t="s">
        <v>89</v>
      </c>
      <c r="N224" s="9" t="s">
        <v>29</v>
      </c>
      <c r="O224" s="9">
        <v>44.7</v>
      </c>
      <c r="P224" s="9" t="s">
        <v>30</v>
      </c>
      <c r="Q224" s="9" t="b">
        <v>0</v>
      </c>
      <c r="R224" s="9" t="b">
        <v>0</v>
      </c>
      <c r="S224" s="9" t="b">
        <v>1</v>
      </c>
      <c r="T224" s="9">
        <v>1.45</v>
      </c>
      <c r="U224" s="9">
        <v>1</v>
      </c>
      <c r="V224" s="9" t="b">
        <v>1</v>
      </c>
      <c r="W224" s="9" t="s">
        <v>724</v>
      </c>
    </row>
    <row r="225" spans="1:23" ht="29" customHeight="1" x14ac:dyDescent="0.2">
      <c r="A225" s="9" t="s">
        <v>725</v>
      </c>
      <c r="B225" s="10" t="s">
        <v>726</v>
      </c>
      <c r="C225" s="9" t="s">
        <v>25</v>
      </c>
      <c r="D225" s="9" t="s">
        <v>25</v>
      </c>
      <c r="E225" s="9" t="s">
        <v>26</v>
      </c>
      <c r="F225" s="9" t="s">
        <v>27</v>
      </c>
      <c r="G225" s="9">
        <v>299</v>
      </c>
      <c r="H225" s="9">
        <v>799</v>
      </c>
      <c r="I225" s="9">
        <v>63</v>
      </c>
      <c r="J225" s="11">
        <v>4.2</v>
      </c>
      <c r="K225" s="9">
        <v>2117</v>
      </c>
      <c r="L225" s="9">
        <v>4.1261738398980894</v>
      </c>
      <c r="M225" s="9" t="s">
        <v>28</v>
      </c>
      <c r="N225" s="9" t="s">
        <v>29</v>
      </c>
      <c r="O225" s="9">
        <v>65.3</v>
      </c>
      <c r="P225" s="9" t="s">
        <v>36</v>
      </c>
      <c r="Q225" s="9" t="b">
        <v>0</v>
      </c>
      <c r="R225" s="9" t="b">
        <v>0</v>
      </c>
      <c r="S225" s="9" t="b">
        <v>0</v>
      </c>
      <c r="T225" s="9">
        <v>1</v>
      </c>
      <c r="U225" s="9">
        <v>1</v>
      </c>
      <c r="V225" s="9" t="b">
        <v>1</v>
      </c>
      <c r="W225" s="9" t="s">
        <v>727</v>
      </c>
    </row>
    <row r="226" spans="1:23" ht="29" customHeight="1" x14ac:dyDescent="0.2">
      <c r="A226" s="9" t="s">
        <v>728</v>
      </c>
      <c r="B226" s="10" t="s">
        <v>729</v>
      </c>
      <c r="C226" s="9" t="s">
        <v>25</v>
      </c>
      <c r="D226" s="9" t="s">
        <v>25</v>
      </c>
      <c r="E226" s="9" t="s">
        <v>26</v>
      </c>
      <c r="F226" s="9" t="s">
        <v>27</v>
      </c>
      <c r="G226" s="9">
        <v>182</v>
      </c>
      <c r="H226" s="9">
        <v>599</v>
      </c>
      <c r="I226" s="9">
        <v>70</v>
      </c>
      <c r="J226" s="11">
        <v>4</v>
      </c>
      <c r="K226" s="9">
        <v>9378</v>
      </c>
      <c r="L226" s="9">
        <v>4.0242334075324999</v>
      </c>
      <c r="M226" s="9" t="s">
        <v>28</v>
      </c>
      <c r="N226" s="9" t="s">
        <v>29</v>
      </c>
      <c r="O226" s="9">
        <v>50.2</v>
      </c>
      <c r="P226" s="9" t="s">
        <v>30</v>
      </c>
      <c r="Q226" s="9" t="b">
        <v>0</v>
      </c>
      <c r="R226" s="9" t="b">
        <v>0</v>
      </c>
      <c r="S226" s="9" t="b">
        <v>0</v>
      </c>
      <c r="T226" s="9">
        <v>0.61</v>
      </c>
      <c r="U226" s="9">
        <v>8</v>
      </c>
      <c r="V226" s="9" t="b">
        <v>0</v>
      </c>
      <c r="W226" s="9" t="s">
        <v>730</v>
      </c>
    </row>
    <row r="227" spans="1:23" ht="29" customHeight="1" x14ac:dyDescent="0.2">
      <c r="A227" s="9" t="s">
        <v>731</v>
      </c>
      <c r="B227" s="10" t="s">
        <v>732</v>
      </c>
      <c r="C227" s="9" t="s">
        <v>44</v>
      </c>
      <c r="D227" s="9" t="s">
        <v>44</v>
      </c>
      <c r="E227" s="9" t="s">
        <v>45</v>
      </c>
      <c r="F227" s="9" t="s">
        <v>178</v>
      </c>
      <c r="G227" s="9">
        <v>96</v>
      </c>
      <c r="H227" s="9">
        <v>399</v>
      </c>
      <c r="I227" s="9">
        <v>76</v>
      </c>
      <c r="J227" s="11">
        <v>3.6</v>
      </c>
      <c r="K227" s="9">
        <v>1796</v>
      </c>
      <c r="L227" s="9">
        <v>3.928045172561089</v>
      </c>
      <c r="M227" s="9" t="s">
        <v>28</v>
      </c>
      <c r="N227" s="9" t="s">
        <v>29</v>
      </c>
      <c r="O227" s="9">
        <v>51</v>
      </c>
      <c r="P227" s="9" t="s">
        <v>53</v>
      </c>
      <c r="Q227" s="9" t="b">
        <v>0</v>
      </c>
      <c r="R227" s="9" t="b">
        <v>0</v>
      </c>
      <c r="S227" s="9" t="b">
        <v>1</v>
      </c>
      <c r="U227" s="9">
        <v>1</v>
      </c>
      <c r="V227" s="9" t="b">
        <v>1</v>
      </c>
      <c r="W227" s="9" t="s">
        <v>733</v>
      </c>
    </row>
    <row r="228" spans="1:23" ht="29" customHeight="1" x14ac:dyDescent="0.2">
      <c r="A228" s="9" t="s">
        <v>734</v>
      </c>
      <c r="B228" s="10" t="s">
        <v>735</v>
      </c>
      <c r="C228" s="9" t="s">
        <v>44</v>
      </c>
      <c r="D228" s="9" t="s">
        <v>44</v>
      </c>
      <c r="E228" s="9" t="s">
        <v>45</v>
      </c>
      <c r="F228" s="9" t="s">
        <v>57</v>
      </c>
      <c r="G228" s="9">
        <v>54990</v>
      </c>
      <c r="H228" s="9">
        <v>85000</v>
      </c>
      <c r="I228" s="9">
        <v>35</v>
      </c>
      <c r="J228" s="11">
        <v>4.3</v>
      </c>
      <c r="K228" s="9">
        <v>3587</v>
      </c>
      <c r="L228" s="9">
        <v>4.1897461176516524</v>
      </c>
      <c r="M228" s="9" t="s">
        <v>28</v>
      </c>
      <c r="N228" s="9" t="s">
        <v>58</v>
      </c>
      <c r="O228" s="9">
        <v>47.4</v>
      </c>
      <c r="P228" s="9" t="s">
        <v>30</v>
      </c>
      <c r="Q228" s="9" t="b">
        <v>0</v>
      </c>
      <c r="R228" s="9" t="b">
        <v>0</v>
      </c>
      <c r="S228" s="9" t="b">
        <v>0</v>
      </c>
      <c r="T228" s="9">
        <v>2.9</v>
      </c>
      <c r="U228" s="9">
        <v>2</v>
      </c>
      <c r="V228" s="9" t="b">
        <v>0</v>
      </c>
      <c r="W228" s="9" t="s">
        <v>736</v>
      </c>
    </row>
    <row r="229" spans="1:23" ht="29" customHeight="1" x14ac:dyDescent="0.2">
      <c r="A229" s="9" t="s">
        <v>737</v>
      </c>
      <c r="B229" s="10" t="s">
        <v>738</v>
      </c>
      <c r="C229" s="9" t="s">
        <v>44</v>
      </c>
      <c r="D229" s="9" t="s">
        <v>44</v>
      </c>
      <c r="E229" s="9" t="s">
        <v>45</v>
      </c>
      <c r="F229" s="9" t="s">
        <v>349</v>
      </c>
      <c r="G229" s="9">
        <v>439</v>
      </c>
      <c r="H229" s="9">
        <v>758</v>
      </c>
      <c r="I229" s="9">
        <v>42</v>
      </c>
      <c r="J229" s="11">
        <v>4.2</v>
      </c>
      <c r="K229" s="9">
        <v>4296</v>
      </c>
      <c r="L229" s="9">
        <v>4.1461362650221272</v>
      </c>
      <c r="M229" s="9" t="s">
        <v>28</v>
      </c>
      <c r="N229" s="9" t="s">
        <v>29</v>
      </c>
      <c r="O229" s="9">
        <v>61.9</v>
      </c>
      <c r="P229" s="9" t="s">
        <v>36</v>
      </c>
      <c r="Q229" s="9" t="b">
        <v>0</v>
      </c>
      <c r="R229" s="9" t="b">
        <v>0</v>
      </c>
      <c r="S229" s="9" t="b">
        <v>0</v>
      </c>
      <c r="U229" s="9">
        <v>1</v>
      </c>
      <c r="V229" s="9" t="b">
        <v>1</v>
      </c>
      <c r="W229" s="9" t="s">
        <v>739</v>
      </c>
    </row>
    <row r="230" spans="1:23" ht="29" customHeight="1" x14ac:dyDescent="0.2">
      <c r="A230" s="9" t="s">
        <v>740</v>
      </c>
      <c r="B230" s="10" t="s">
        <v>741</v>
      </c>
      <c r="C230" s="9" t="s">
        <v>25</v>
      </c>
      <c r="D230" s="9" t="s">
        <v>25</v>
      </c>
      <c r="E230" s="9" t="s">
        <v>26</v>
      </c>
      <c r="F230" s="9" t="s">
        <v>27</v>
      </c>
      <c r="G230" s="9">
        <v>299</v>
      </c>
      <c r="H230" s="9">
        <v>999</v>
      </c>
      <c r="I230" s="9">
        <v>70</v>
      </c>
      <c r="J230" s="11">
        <v>4.3</v>
      </c>
      <c r="K230" s="9">
        <v>2651</v>
      </c>
      <c r="L230" s="9">
        <v>4.1736554286553078</v>
      </c>
      <c r="M230" s="9" t="s">
        <v>28</v>
      </c>
      <c r="N230" s="9" t="s">
        <v>29</v>
      </c>
      <c r="O230" s="9">
        <v>72.3</v>
      </c>
      <c r="P230" s="9" t="s">
        <v>36</v>
      </c>
      <c r="Q230" s="9" t="b">
        <v>0</v>
      </c>
      <c r="R230" s="9" t="b">
        <v>0</v>
      </c>
      <c r="S230" s="9" t="b">
        <v>0</v>
      </c>
      <c r="T230" s="9">
        <v>1</v>
      </c>
      <c r="U230" s="9">
        <v>2</v>
      </c>
      <c r="V230" s="9" t="b">
        <v>0</v>
      </c>
      <c r="W230" s="9" t="s">
        <v>742</v>
      </c>
    </row>
    <row r="231" spans="1:23" ht="29" customHeight="1" x14ac:dyDescent="0.2">
      <c r="A231" s="9" t="s">
        <v>743</v>
      </c>
      <c r="B231" s="10" t="s">
        <v>744</v>
      </c>
      <c r="C231" s="9" t="s">
        <v>25</v>
      </c>
      <c r="D231" s="9" t="s">
        <v>25</v>
      </c>
      <c r="E231" s="9" t="s">
        <v>26</v>
      </c>
      <c r="F231" s="9" t="s">
        <v>27</v>
      </c>
      <c r="G231" s="9">
        <v>299</v>
      </c>
      <c r="H231" s="9">
        <v>799</v>
      </c>
      <c r="I231" s="9">
        <v>63</v>
      </c>
      <c r="J231" s="11">
        <v>4.2</v>
      </c>
      <c r="K231" s="9">
        <v>94363</v>
      </c>
      <c r="L231" s="9">
        <v>4.1955764718822417</v>
      </c>
      <c r="M231" s="9" t="s">
        <v>28</v>
      </c>
      <c r="N231" s="9" t="s">
        <v>29</v>
      </c>
      <c r="O231" s="9">
        <v>73.599999999999994</v>
      </c>
      <c r="P231" s="9" t="s">
        <v>36</v>
      </c>
      <c r="Q231" s="9" t="b">
        <v>0</v>
      </c>
      <c r="R231" s="9" t="b">
        <v>0</v>
      </c>
      <c r="S231" s="9" t="b">
        <v>0</v>
      </c>
      <c r="T231" s="9">
        <v>1</v>
      </c>
      <c r="U231" s="9">
        <v>4</v>
      </c>
      <c r="V231" s="9" t="b">
        <v>0</v>
      </c>
      <c r="W231" s="9" t="s">
        <v>745</v>
      </c>
    </row>
    <row r="232" spans="1:23" ht="29" customHeight="1" x14ac:dyDescent="0.2">
      <c r="A232" s="9" t="s">
        <v>746</v>
      </c>
      <c r="B232" s="10" t="s">
        <v>747</v>
      </c>
      <c r="C232" s="9" t="s">
        <v>25</v>
      </c>
      <c r="D232" s="9" t="s">
        <v>25</v>
      </c>
      <c r="E232" s="9" t="s">
        <v>26</v>
      </c>
      <c r="F232" s="9" t="s">
        <v>27</v>
      </c>
      <c r="G232" s="9">
        <v>789</v>
      </c>
      <c r="H232" s="9">
        <v>1999</v>
      </c>
      <c r="I232" s="9">
        <v>61</v>
      </c>
      <c r="J232" s="11">
        <v>4.2</v>
      </c>
      <c r="K232" s="9">
        <v>34540</v>
      </c>
      <c r="L232" s="9">
        <v>4.1886675567307829</v>
      </c>
      <c r="M232" s="9" t="s">
        <v>28</v>
      </c>
      <c r="N232" s="9" t="s">
        <v>93</v>
      </c>
      <c r="O232" s="9">
        <v>64.8</v>
      </c>
      <c r="P232" s="9" t="s">
        <v>36</v>
      </c>
      <c r="Q232" s="9" t="b">
        <v>0</v>
      </c>
      <c r="R232" s="9" t="b">
        <v>0</v>
      </c>
      <c r="S232" s="9" t="b">
        <v>0</v>
      </c>
      <c r="T232" s="9">
        <v>2.64</v>
      </c>
      <c r="U232" s="9">
        <v>1</v>
      </c>
      <c r="V232" s="9" t="b">
        <v>1</v>
      </c>
      <c r="W232" s="9" t="s">
        <v>748</v>
      </c>
    </row>
    <row r="233" spans="1:23" ht="29" customHeight="1" x14ac:dyDescent="0.2">
      <c r="A233" s="9" t="s">
        <v>749</v>
      </c>
      <c r="B233" s="10" t="s">
        <v>750</v>
      </c>
      <c r="C233" s="9" t="s">
        <v>44</v>
      </c>
      <c r="D233" s="9" t="s">
        <v>44</v>
      </c>
      <c r="E233" s="9" t="s">
        <v>45</v>
      </c>
      <c r="F233" s="9" t="s">
        <v>46</v>
      </c>
      <c r="G233" s="9">
        <v>299</v>
      </c>
      <c r="H233" s="9">
        <v>700</v>
      </c>
      <c r="I233" s="9">
        <v>57</v>
      </c>
      <c r="J233" s="11">
        <v>4.4000000000000004</v>
      </c>
      <c r="K233" s="9">
        <v>8714</v>
      </c>
      <c r="L233" s="9">
        <v>4.3048963324394514</v>
      </c>
      <c r="M233" s="9" t="s">
        <v>28</v>
      </c>
      <c r="N233" s="9" t="s">
        <v>29</v>
      </c>
      <c r="O233" s="9">
        <v>83.6</v>
      </c>
      <c r="P233" s="9" t="s">
        <v>36</v>
      </c>
      <c r="Q233" s="9" t="b">
        <v>1</v>
      </c>
      <c r="R233" s="9" t="b">
        <v>0</v>
      </c>
      <c r="S233" s="9" t="b">
        <v>0</v>
      </c>
      <c r="T233" s="9">
        <v>0.78</v>
      </c>
      <c r="U233" s="9">
        <v>1</v>
      </c>
      <c r="V233" s="9" t="b">
        <v>1</v>
      </c>
      <c r="W233" s="9" t="s">
        <v>751</v>
      </c>
    </row>
    <row r="234" spans="1:23" ht="29" customHeight="1" x14ac:dyDescent="0.2">
      <c r="A234" s="9" t="s">
        <v>752</v>
      </c>
      <c r="B234" s="10" t="s">
        <v>753</v>
      </c>
      <c r="C234" s="9" t="s">
        <v>25</v>
      </c>
      <c r="D234" s="9" t="s">
        <v>25</v>
      </c>
      <c r="E234" s="9" t="s">
        <v>26</v>
      </c>
      <c r="F234" s="9" t="s">
        <v>27</v>
      </c>
      <c r="G234" s="9">
        <v>325</v>
      </c>
      <c r="H234" s="9">
        <v>1099</v>
      </c>
      <c r="I234" s="9">
        <v>70</v>
      </c>
      <c r="J234" s="11">
        <v>4.2</v>
      </c>
      <c r="K234" s="9">
        <v>10576</v>
      </c>
      <c r="L234" s="9">
        <v>4.1697275929616637</v>
      </c>
      <c r="M234" s="9" t="s">
        <v>28</v>
      </c>
      <c r="N234" s="9" t="s">
        <v>29</v>
      </c>
      <c r="O234" s="9">
        <v>71.2</v>
      </c>
      <c r="P234" s="9" t="s">
        <v>36</v>
      </c>
      <c r="Q234" s="9" t="b">
        <v>0</v>
      </c>
      <c r="R234" s="9" t="b">
        <v>0</v>
      </c>
      <c r="S234" s="9" t="b">
        <v>0</v>
      </c>
      <c r="T234" s="9">
        <v>1.0900000000000001</v>
      </c>
      <c r="U234" s="9">
        <v>2</v>
      </c>
      <c r="V234" s="9" t="b">
        <v>1</v>
      </c>
      <c r="W234" s="9" t="s">
        <v>754</v>
      </c>
    </row>
    <row r="235" spans="1:23" ht="29" customHeight="1" x14ac:dyDescent="0.2">
      <c r="A235" s="9" t="s">
        <v>755</v>
      </c>
      <c r="B235" s="10" t="s">
        <v>756</v>
      </c>
      <c r="C235" s="9" t="s">
        <v>25</v>
      </c>
      <c r="D235" s="9" t="s">
        <v>25</v>
      </c>
      <c r="E235" s="9" t="s">
        <v>26</v>
      </c>
      <c r="F235" s="9" t="s">
        <v>27</v>
      </c>
      <c r="G235" s="9">
        <v>1299</v>
      </c>
      <c r="H235" s="9">
        <v>1999</v>
      </c>
      <c r="I235" s="9">
        <v>35</v>
      </c>
      <c r="J235" s="11">
        <v>4.4000000000000004</v>
      </c>
      <c r="K235" s="9">
        <v>7318</v>
      </c>
      <c r="L235" s="9">
        <v>4.2929144976924158</v>
      </c>
      <c r="M235" s="9" t="s">
        <v>28</v>
      </c>
      <c r="N235" s="9" t="s">
        <v>179</v>
      </c>
      <c r="O235" s="9">
        <v>57.4</v>
      </c>
      <c r="P235" s="9" t="s">
        <v>53</v>
      </c>
      <c r="Q235" s="9" t="b">
        <v>0</v>
      </c>
      <c r="R235" s="9" t="b">
        <v>0</v>
      </c>
      <c r="S235" s="9" t="b">
        <v>0</v>
      </c>
      <c r="T235" s="9">
        <v>4.34</v>
      </c>
      <c r="U235" s="9">
        <v>2</v>
      </c>
      <c r="V235" s="9" t="b">
        <v>0</v>
      </c>
      <c r="W235" s="9" t="s">
        <v>757</v>
      </c>
    </row>
    <row r="236" spans="1:23" ht="29" customHeight="1" x14ac:dyDescent="0.2">
      <c r="A236" s="9" t="s">
        <v>758</v>
      </c>
      <c r="B236" s="10" t="s">
        <v>759</v>
      </c>
      <c r="C236" s="9" t="s">
        <v>44</v>
      </c>
      <c r="D236" s="9" t="s">
        <v>44</v>
      </c>
      <c r="E236" s="9" t="s">
        <v>45</v>
      </c>
      <c r="F236" s="9" t="s">
        <v>133</v>
      </c>
      <c r="G236" s="9">
        <v>790</v>
      </c>
      <c r="H236" s="9">
        <v>1999</v>
      </c>
      <c r="I236" s="9">
        <v>60</v>
      </c>
      <c r="J236" s="11">
        <v>3</v>
      </c>
      <c r="K236" s="9">
        <v>103</v>
      </c>
      <c r="L236" s="9">
        <v>4.0557338227087856</v>
      </c>
      <c r="M236" s="9" t="s">
        <v>89</v>
      </c>
      <c r="N236" s="9" t="s">
        <v>93</v>
      </c>
      <c r="O236" s="9">
        <v>48.5</v>
      </c>
      <c r="P236" s="9" t="s">
        <v>30</v>
      </c>
      <c r="Q236" s="9" t="b">
        <v>0</v>
      </c>
      <c r="R236" s="9" t="b">
        <v>1</v>
      </c>
      <c r="S236" s="9" t="b">
        <v>1</v>
      </c>
      <c r="T236" s="9">
        <v>2.2999999999999998</v>
      </c>
      <c r="U236" s="9">
        <v>1</v>
      </c>
      <c r="V236" s="9" t="b">
        <v>1</v>
      </c>
      <c r="W236" s="9" t="s">
        <v>760</v>
      </c>
    </row>
    <row r="237" spans="1:23" ht="29" customHeight="1" x14ac:dyDescent="0.2">
      <c r="A237" s="9" t="s">
        <v>761</v>
      </c>
      <c r="B237" s="10" t="s">
        <v>762</v>
      </c>
      <c r="C237" s="9" t="s">
        <v>44</v>
      </c>
      <c r="D237" s="9" t="s">
        <v>44</v>
      </c>
      <c r="E237" s="9" t="s">
        <v>359</v>
      </c>
      <c r="F237" s="9" t="s">
        <v>763</v>
      </c>
      <c r="G237" s="9">
        <v>4699</v>
      </c>
      <c r="H237" s="9">
        <v>4699</v>
      </c>
      <c r="I237" s="9">
        <v>0</v>
      </c>
      <c r="J237" s="11">
        <v>4.5</v>
      </c>
      <c r="K237" s="9">
        <v>224</v>
      </c>
      <c r="L237" s="9">
        <v>4.1079741857972696</v>
      </c>
      <c r="M237" s="9" t="s">
        <v>89</v>
      </c>
      <c r="N237" s="9" t="s">
        <v>144</v>
      </c>
      <c r="O237" s="9">
        <v>32.9</v>
      </c>
      <c r="P237" s="9" t="s">
        <v>40</v>
      </c>
      <c r="Q237" s="9" t="b">
        <v>0</v>
      </c>
      <c r="R237" s="9" t="b">
        <v>0</v>
      </c>
      <c r="S237" s="9" t="b">
        <v>0</v>
      </c>
      <c r="U237" s="9">
        <v>1</v>
      </c>
      <c r="V237" s="9" t="b">
        <v>1</v>
      </c>
      <c r="W237" s="9" t="s">
        <v>764</v>
      </c>
    </row>
    <row r="238" spans="1:23" ht="29" customHeight="1" x14ac:dyDescent="0.2">
      <c r="A238" s="9" t="s">
        <v>765</v>
      </c>
      <c r="B238" s="10" t="s">
        <v>766</v>
      </c>
      <c r="C238" s="9" t="s">
        <v>44</v>
      </c>
      <c r="D238" s="9" t="s">
        <v>44</v>
      </c>
      <c r="E238" s="9" t="s">
        <v>45</v>
      </c>
      <c r="F238" s="9" t="s">
        <v>57</v>
      </c>
      <c r="G238" s="9">
        <v>18999</v>
      </c>
      <c r="H238" s="9">
        <v>24990</v>
      </c>
      <c r="I238" s="9">
        <v>24</v>
      </c>
      <c r="J238" s="11">
        <v>4.3</v>
      </c>
      <c r="K238" s="9">
        <v>4702</v>
      </c>
      <c r="L238" s="9">
        <v>4.2042694892410433</v>
      </c>
      <c r="M238" s="9" t="s">
        <v>28</v>
      </c>
      <c r="N238" s="9" t="s">
        <v>58</v>
      </c>
      <c r="O238" s="9">
        <v>45.7</v>
      </c>
      <c r="P238" s="9" t="s">
        <v>30</v>
      </c>
      <c r="Q238" s="9" t="b">
        <v>0</v>
      </c>
      <c r="R238" s="9" t="b">
        <v>0</v>
      </c>
      <c r="S238" s="9" t="b">
        <v>0</v>
      </c>
      <c r="T238" s="9">
        <v>1</v>
      </c>
      <c r="U238" s="9">
        <v>5</v>
      </c>
      <c r="V238" s="9" t="b">
        <v>0</v>
      </c>
      <c r="W238" s="9" t="s">
        <v>767</v>
      </c>
    </row>
    <row r="239" spans="1:23" ht="29" customHeight="1" x14ac:dyDescent="0.2">
      <c r="A239" s="9" t="s">
        <v>768</v>
      </c>
      <c r="B239" s="10" t="s">
        <v>769</v>
      </c>
      <c r="C239" s="9" t="s">
        <v>25</v>
      </c>
      <c r="D239" s="9" t="s">
        <v>25</v>
      </c>
      <c r="E239" s="9" t="s">
        <v>26</v>
      </c>
      <c r="F239" s="9" t="s">
        <v>27</v>
      </c>
      <c r="G239" s="9">
        <v>199</v>
      </c>
      <c r="H239" s="9">
        <v>999</v>
      </c>
      <c r="I239" s="9">
        <v>80</v>
      </c>
      <c r="J239" s="11">
        <v>4.2</v>
      </c>
      <c r="K239" s="9">
        <v>85</v>
      </c>
      <c r="L239" s="9">
        <v>4.0871836495596661</v>
      </c>
      <c r="M239" s="9" t="s">
        <v>204</v>
      </c>
      <c r="N239" s="9" t="s">
        <v>29</v>
      </c>
      <c r="O239" s="9">
        <v>63.2</v>
      </c>
      <c r="P239" s="9" t="s">
        <v>36</v>
      </c>
      <c r="Q239" s="9" t="b">
        <v>0</v>
      </c>
      <c r="R239" s="9" t="b">
        <v>0</v>
      </c>
      <c r="S239" s="9" t="b">
        <v>0</v>
      </c>
      <c r="T239" s="9">
        <v>0.67</v>
      </c>
      <c r="U239" s="9">
        <v>1</v>
      </c>
      <c r="V239" s="9" t="b">
        <v>1</v>
      </c>
      <c r="W239" s="9" t="s">
        <v>770</v>
      </c>
    </row>
    <row r="240" spans="1:23" ht="29" customHeight="1" x14ac:dyDescent="0.2">
      <c r="A240" s="9" t="s">
        <v>771</v>
      </c>
      <c r="B240" s="10" t="s">
        <v>772</v>
      </c>
      <c r="C240" s="9" t="s">
        <v>44</v>
      </c>
      <c r="D240" s="9" t="s">
        <v>44</v>
      </c>
      <c r="E240" s="9" t="s">
        <v>45</v>
      </c>
      <c r="F240" s="9" t="s">
        <v>46</v>
      </c>
      <c r="G240" s="9">
        <v>269</v>
      </c>
      <c r="H240" s="9">
        <v>650</v>
      </c>
      <c r="I240" s="9">
        <v>59</v>
      </c>
      <c r="J240" s="11">
        <v>4.4000000000000004</v>
      </c>
      <c r="K240" s="9">
        <v>35877</v>
      </c>
      <c r="L240" s="9">
        <v>4.3700661989096936</v>
      </c>
      <c r="M240" s="9" t="s">
        <v>28</v>
      </c>
      <c r="N240" s="9" t="s">
        <v>29</v>
      </c>
      <c r="O240" s="9">
        <v>86.8</v>
      </c>
      <c r="P240" s="9" t="s">
        <v>36</v>
      </c>
      <c r="Q240" s="9" t="b">
        <v>1</v>
      </c>
      <c r="R240" s="9" t="b">
        <v>0</v>
      </c>
      <c r="S240" s="9" t="b">
        <v>0</v>
      </c>
      <c r="T240" s="9">
        <v>0.7</v>
      </c>
      <c r="U240" s="9">
        <v>1</v>
      </c>
      <c r="V240" s="9" t="b">
        <v>1</v>
      </c>
      <c r="W240" s="9" t="s">
        <v>773</v>
      </c>
    </row>
    <row r="241" spans="1:23" ht="29" customHeight="1" x14ac:dyDescent="0.2">
      <c r="A241" s="9" t="s">
        <v>774</v>
      </c>
      <c r="B241" s="10" t="s">
        <v>775</v>
      </c>
      <c r="C241" s="9" t="s">
        <v>44</v>
      </c>
      <c r="D241" s="9" t="s">
        <v>44</v>
      </c>
      <c r="E241" s="9" t="s">
        <v>45</v>
      </c>
      <c r="F241" s="9" t="s">
        <v>776</v>
      </c>
      <c r="G241" s="9">
        <v>1990</v>
      </c>
      <c r="H241" s="9">
        <v>3100</v>
      </c>
      <c r="I241" s="9">
        <v>36</v>
      </c>
      <c r="J241" s="11">
        <v>4</v>
      </c>
      <c r="K241" s="9">
        <v>897</v>
      </c>
      <c r="L241" s="9">
        <v>4.068341901852305</v>
      </c>
      <c r="M241" s="9" t="s">
        <v>89</v>
      </c>
      <c r="N241" s="9" t="s">
        <v>179</v>
      </c>
      <c r="O241" s="9">
        <v>31</v>
      </c>
      <c r="P241" s="9" t="s">
        <v>40</v>
      </c>
      <c r="Q241" s="9" t="b">
        <v>0</v>
      </c>
      <c r="R241" s="9" t="b">
        <v>0</v>
      </c>
      <c r="S241" s="9" t="b">
        <v>0</v>
      </c>
      <c r="U241" s="9">
        <v>1</v>
      </c>
      <c r="V241" s="9" t="b">
        <v>1</v>
      </c>
      <c r="W241" s="9" t="s">
        <v>777</v>
      </c>
    </row>
    <row r="242" spans="1:23" ht="29" customHeight="1" x14ac:dyDescent="0.2">
      <c r="A242" s="9" t="s">
        <v>778</v>
      </c>
      <c r="B242" s="10" t="s">
        <v>779</v>
      </c>
      <c r="C242" s="9" t="s">
        <v>44</v>
      </c>
      <c r="D242" s="9" t="s">
        <v>44</v>
      </c>
      <c r="E242" s="9" t="s">
        <v>359</v>
      </c>
      <c r="F242" s="9" t="s">
        <v>780</v>
      </c>
      <c r="G242" s="9">
        <v>2299</v>
      </c>
      <c r="H242" s="9">
        <v>3999</v>
      </c>
      <c r="I242" s="9">
        <v>43</v>
      </c>
      <c r="J242" s="11">
        <v>3.8</v>
      </c>
      <c r="K242" s="9">
        <v>282</v>
      </c>
      <c r="L242" s="9">
        <v>4.0647889953469676</v>
      </c>
      <c r="M242" s="9" t="s">
        <v>89</v>
      </c>
      <c r="N242" s="9" t="s">
        <v>179</v>
      </c>
      <c r="O242" s="9">
        <v>32.1</v>
      </c>
      <c r="P242" s="9" t="s">
        <v>40</v>
      </c>
      <c r="Q242" s="9" t="b">
        <v>0</v>
      </c>
      <c r="R242" s="9" t="b">
        <v>0</v>
      </c>
      <c r="S242" s="9" t="b">
        <v>1</v>
      </c>
      <c r="U242" s="9">
        <v>1</v>
      </c>
      <c r="V242" s="9" t="b">
        <v>1</v>
      </c>
      <c r="W242" s="9" t="s">
        <v>781</v>
      </c>
    </row>
    <row r="243" spans="1:23" ht="29" customHeight="1" x14ac:dyDescent="0.2">
      <c r="A243" s="9" t="s">
        <v>782</v>
      </c>
      <c r="B243" s="10" t="s">
        <v>783</v>
      </c>
      <c r="C243" s="9" t="s">
        <v>44</v>
      </c>
      <c r="D243" s="9" t="s">
        <v>44</v>
      </c>
      <c r="E243" s="9" t="s">
        <v>45</v>
      </c>
      <c r="F243" s="9" t="s">
        <v>57</v>
      </c>
      <c r="G243" s="9">
        <v>35999</v>
      </c>
      <c r="H243" s="9">
        <v>49990</v>
      </c>
      <c r="I243" s="9">
        <v>28</v>
      </c>
      <c r="J243" s="11">
        <v>4.3</v>
      </c>
      <c r="K243" s="9">
        <v>1611</v>
      </c>
      <c r="L243" s="9">
        <v>4.1492023991217666</v>
      </c>
      <c r="M243" s="9" t="s">
        <v>28</v>
      </c>
      <c r="N243" s="9" t="s">
        <v>58</v>
      </c>
      <c r="O243" s="9">
        <v>39.9</v>
      </c>
      <c r="P243" s="9" t="s">
        <v>30</v>
      </c>
      <c r="Q243" s="9" t="b">
        <v>0</v>
      </c>
      <c r="R243" s="9" t="b">
        <v>0</v>
      </c>
      <c r="S243" s="9" t="b">
        <v>0</v>
      </c>
      <c r="T243" s="9">
        <v>1.9</v>
      </c>
      <c r="U243" s="9">
        <v>2</v>
      </c>
      <c r="V243" s="9" t="b">
        <v>0</v>
      </c>
      <c r="W243" s="9" t="s">
        <v>784</v>
      </c>
    </row>
    <row r="244" spans="1:23" ht="29" customHeight="1" x14ac:dyDescent="0.2">
      <c r="A244" s="9" t="s">
        <v>785</v>
      </c>
      <c r="B244" s="10" t="s">
        <v>786</v>
      </c>
      <c r="C244" s="9" t="s">
        <v>44</v>
      </c>
      <c r="D244" s="9" t="s">
        <v>44</v>
      </c>
      <c r="E244" s="9" t="s">
        <v>45</v>
      </c>
      <c r="F244" s="9" t="s">
        <v>133</v>
      </c>
      <c r="G244" s="9">
        <v>349</v>
      </c>
      <c r="H244" s="9">
        <v>999</v>
      </c>
      <c r="I244" s="9">
        <v>65</v>
      </c>
      <c r="J244" s="11">
        <v>4.2</v>
      </c>
      <c r="K244" s="9">
        <v>513</v>
      </c>
      <c r="L244" s="9">
        <v>4.0984771586202351</v>
      </c>
      <c r="M244" s="9" t="s">
        <v>89</v>
      </c>
      <c r="N244" s="9" t="s">
        <v>29</v>
      </c>
      <c r="O244" s="9">
        <v>69</v>
      </c>
      <c r="P244" s="9" t="s">
        <v>36</v>
      </c>
      <c r="Q244" s="9" t="b">
        <v>0</v>
      </c>
      <c r="R244" s="9" t="b">
        <v>0</v>
      </c>
      <c r="S244" s="9" t="b">
        <v>0</v>
      </c>
      <c r="T244" s="9">
        <v>1.01</v>
      </c>
      <c r="U244" s="9">
        <v>1</v>
      </c>
      <c r="V244" s="9" t="b">
        <v>1</v>
      </c>
      <c r="W244" s="9" t="s">
        <v>787</v>
      </c>
    </row>
    <row r="245" spans="1:23" ht="29" customHeight="1" x14ac:dyDescent="0.2">
      <c r="A245" s="9" t="s">
        <v>788</v>
      </c>
      <c r="B245" s="10" t="s">
        <v>789</v>
      </c>
      <c r="C245" s="9" t="s">
        <v>25</v>
      </c>
      <c r="D245" s="9" t="s">
        <v>25</v>
      </c>
      <c r="E245" s="9" t="s">
        <v>26</v>
      </c>
      <c r="F245" s="9" t="s">
        <v>27</v>
      </c>
      <c r="G245" s="9">
        <v>719</v>
      </c>
      <c r="H245" s="9">
        <v>1499</v>
      </c>
      <c r="I245" s="9">
        <v>52</v>
      </c>
      <c r="J245" s="11">
        <v>4.0999999999999996</v>
      </c>
      <c r="K245" s="9">
        <v>1045</v>
      </c>
      <c r="L245" s="9">
        <v>4.0879748500636124</v>
      </c>
      <c r="M245" s="9" t="s">
        <v>28</v>
      </c>
      <c r="N245" s="9" t="s">
        <v>93</v>
      </c>
      <c r="O245" s="9">
        <v>42.7</v>
      </c>
      <c r="P245" s="9" t="s">
        <v>30</v>
      </c>
      <c r="Q245" s="9" t="b">
        <v>0</v>
      </c>
      <c r="R245" s="9" t="b">
        <v>1</v>
      </c>
      <c r="S245" s="9" t="b">
        <v>0</v>
      </c>
      <c r="T245" s="9">
        <v>2.4</v>
      </c>
      <c r="U245" s="9">
        <v>2</v>
      </c>
      <c r="V245" s="9" t="b">
        <v>0</v>
      </c>
      <c r="W245" s="9" t="s">
        <v>790</v>
      </c>
    </row>
    <row r="246" spans="1:23" ht="29" customHeight="1" x14ac:dyDescent="0.2">
      <c r="A246" s="9" t="s">
        <v>791</v>
      </c>
      <c r="B246" s="10" t="s">
        <v>792</v>
      </c>
      <c r="C246" s="9" t="s">
        <v>44</v>
      </c>
      <c r="D246" s="9" t="s">
        <v>44</v>
      </c>
      <c r="E246" s="9" t="s">
        <v>45</v>
      </c>
      <c r="F246" s="9" t="s">
        <v>57</v>
      </c>
      <c r="G246" s="9">
        <v>8999</v>
      </c>
      <c r="H246" s="9">
        <v>18999</v>
      </c>
      <c r="I246" s="9">
        <v>53</v>
      </c>
      <c r="J246" s="11">
        <v>4</v>
      </c>
      <c r="K246" s="9">
        <v>6347</v>
      </c>
      <c r="L246" s="9">
        <v>4.0314989951709599</v>
      </c>
      <c r="M246" s="9" t="s">
        <v>28</v>
      </c>
      <c r="N246" s="9" t="s">
        <v>144</v>
      </c>
      <c r="O246" s="9">
        <v>29.9</v>
      </c>
      <c r="P246" s="9" t="s">
        <v>40</v>
      </c>
      <c r="Q246" s="9" t="b">
        <v>0</v>
      </c>
      <c r="R246" s="9" t="b">
        <v>0</v>
      </c>
      <c r="S246" s="9" t="b">
        <v>0</v>
      </c>
      <c r="T246" s="9">
        <v>0.47</v>
      </c>
      <c r="U246" s="9">
        <v>1</v>
      </c>
      <c r="V246" s="9" t="b">
        <v>1</v>
      </c>
      <c r="W246" s="9" t="s">
        <v>793</v>
      </c>
    </row>
    <row r="247" spans="1:23" ht="29" customHeight="1" x14ac:dyDescent="0.2">
      <c r="A247" s="9" t="s">
        <v>794</v>
      </c>
      <c r="B247" s="10" t="s">
        <v>795</v>
      </c>
      <c r="C247" s="9" t="s">
        <v>44</v>
      </c>
      <c r="D247" s="9" t="s">
        <v>44</v>
      </c>
      <c r="E247" s="9" t="s">
        <v>45</v>
      </c>
      <c r="F247" s="9" t="s">
        <v>640</v>
      </c>
      <c r="G247" s="9">
        <v>917</v>
      </c>
      <c r="H247" s="9">
        <v>2299</v>
      </c>
      <c r="I247" s="9">
        <v>60</v>
      </c>
      <c r="J247" s="11">
        <v>4.2</v>
      </c>
      <c r="K247" s="9">
        <v>3300</v>
      </c>
      <c r="L247" s="9">
        <v>4.1385400483795847</v>
      </c>
      <c r="M247" s="9" t="s">
        <v>28</v>
      </c>
      <c r="N247" s="9" t="s">
        <v>93</v>
      </c>
      <c r="O247" s="9">
        <v>66.2</v>
      </c>
      <c r="P247" s="9" t="s">
        <v>36</v>
      </c>
      <c r="Q247" s="9" t="b">
        <v>0</v>
      </c>
      <c r="R247" s="9" t="b">
        <v>0</v>
      </c>
      <c r="S247" s="9" t="b">
        <v>0</v>
      </c>
      <c r="U247" s="9">
        <v>1</v>
      </c>
      <c r="V247" s="9" t="b">
        <v>1</v>
      </c>
      <c r="W247" s="9" t="s">
        <v>796</v>
      </c>
    </row>
    <row r="248" spans="1:23" ht="29" customHeight="1" x14ac:dyDescent="0.2">
      <c r="A248" s="9" t="s">
        <v>797</v>
      </c>
      <c r="B248" s="10" t="s">
        <v>798</v>
      </c>
      <c r="C248" s="9" t="s">
        <v>44</v>
      </c>
      <c r="D248" s="9" t="s">
        <v>44</v>
      </c>
      <c r="E248" s="9" t="s">
        <v>45</v>
      </c>
      <c r="F248" s="9" t="s">
        <v>133</v>
      </c>
      <c r="G248" s="9">
        <v>399</v>
      </c>
      <c r="H248" s="9">
        <v>999</v>
      </c>
      <c r="I248" s="9">
        <v>60</v>
      </c>
      <c r="J248" s="11">
        <v>3.3</v>
      </c>
      <c r="K248" s="9">
        <v>23</v>
      </c>
      <c r="L248" s="9">
        <v>4.0798676771049571</v>
      </c>
      <c r="M248" s="9" t="s">
        <v>204</v>
      </c>
      <c r="N248" s="9" t="s">
        <v>29</v>
      </c>
      <c r="O248" s="9">
        <v>55.7</v>
      </c>
      <c r="P248" s="9" t="s">
        <v>53</v>
      </c>
      <c r="Q248" s="9" t="b">
        <v>0</v>
      </c>
      <c r="R248" s="9" t="b">
        <v>0</v>
      </c>
      <c r="S248" s="9" t="b">
        <v>1</v>
      </c>
      <c r="T248" s="9">
        <v>1.1599999999999999</v>
      </c>
      <c r="U248" s="9">
        <v>1</v>
      </c>
      <c r="V248" s="9" t="b">
        <v>1</v>
      </c>
      <c r="W248" s="9" t="s">
        <v>799</v>
      </c>
    </row>
    <row r="249" spans="1:23" ht="29" customHeight="1" x14ac:dyDescent="0.2">
      <c r="A249" s="9" t="s">
        <v>800</v>
      </c>
      <c r="B249" s="10" t="s">
        <v>801</v>
      </c>
      <c r="C249" s="9" t="s">
        <v>44</v>
      </c>
      <c r="D249" s="9" t="s">
        <v>44</v>
      </c>
      <c r="E249" s="9" t="s">
        <v>45</v>
      </c>
      <c r="F249" s="9" t="s">
        <v>57</v>
      </c>
      <c r="G249" s="9">
        <v>45999</v>
      </c>
      <c r="H249" s="9">
        <v>69900</v>
      </c>
      <c r="I249" s="9">
        <v>34</v>
      </c>
      <c r="J249" s="11">
        <v>4.3</v>
      </c>
      <c r="K249" s="9">
        <v>7109</v>
      </c>
      <c r="L249" s="9">
        <v>4.2254646637244919</v>
      </c>
      <c r="M249" s="9" t="s">
        <v>28</v>
      </c>
      <c r="N249" s="9" t="s">
        <v>58</v>
      </c>
      <c r="O249" s="9">
        <v>50</v>
      </c>
      <c r="P249" s="9" t="s">
        <v>30</v>
      </c>
      <c r="Q249" s="9" t="b">
        <v>0</v>
      </c>
      <c r="R249" s="9" t="b">
        <v>0</v>
      </c>
      <c r="S249" s="9" t="b">
        <v>0</v>
      </c>
      <c r="T249" s="9">
        <v>2.42</v>
      </c>
      <c r="U249" s="9">
        <v>4</v>
      </c>
      <c r="V249" s="9" t="b">
        <v>0</v>
      </c>
      <c r="W249" s="9" t="s">
        <v>802</v>
      </c>
    </row>
    <row r="250" spans="1:23" ht="29" customHeight="1" x14ac:dyDescent="0.2">
      <c r="A250" s="9" t="s">
        <v>803</v>
      </c>
      <c r="B250" s="10" t="s">
        <v>804</v>
      </c>
      <c r="C250" s="9" t="s">
        <v>25</v>
      </c>
      <c r="D250" s="9" t="s">
        <v>25</v>
      </c>
      <c r="E250" s="9" t="s">
        <v>26</v>
      </c>
      <c r="F250" s="9" t="s">
        <v>27</v>
      </c>
      <c r="G250" s="9">
        <v>119</v>
      </c>
      <c r="H250" s="9">
        <v>299</v>
      </c>
      <c r="I250" s="9">
        <v>60</v>
      </c>
      <c r="J250" s="11">
        <v>3.8</v>
      </c>
      <c r="K250" s="9">
        <v>51</v>
      </c>
      <c r="L250" s="9">
        <v>4.080828396926921</v>
      </c>
      <c r="M250" s="9" t="s">
        <v>204</v>
      </c>
      <c r="N250" s="9" t="s">
        <v>29</v>
      </c>
      <c r="O250" s="9">
        <v>55.7</v>
      </c>
      <c r="P250" s="9" t="s">
        <v>53</v>
      </c>
      <c r="Q250" s="9" t="b">
        <v>0</v>
      </c>
      <c r="R250" s="9" t="b">
        <v>0</v>
      </c>
      <c r="S250" s="9" t="b">
        <v>1</v>
      </c>
      <c r="T250" s="9">
        <v>0.4</v>
      </c>
      <c r="U250" s="9">
        <v>1</v>
      </c>
      <c r="V250" s="9" t="b">
        <v>1</v>
      </c>
      <c r="W250" s="9" t="s">
        <v>805</v>
      </c>
    </row>
    <row r="251" spans="1:23" ht="29" customHeight="1" x14ac:dyDescent="0.2">
      <c r="A251" s="9" t="s">
        <v>806</v>
      </c>
      <c r="B251" s="10" t="s">
        <v>807</v>
      </c>
      <c r="C251" s="9" t="s">
        <v>44</v>
      </c>
      <c r="D251" s="9" t="s">
        <v>44</v>
      </c>
      <c r="E251" s="9" t="s">
        <v>45</v>
      </c>
      <c r="F251" s="9" t="s">
        <v>57</v>
      </c>
      <c r="G251" s="9">
        <v>21999</v>
      </c>
      <c r="H251" s="9">
        <v>29999</v>
      </c>
      <c r="I251" s="9">
        <v>27</v>
      </c>
      <c r="J251" s="11">
        <v>4.2</v>
      </c>
      <c r="K251" s="9">
        <v>32840</v>
      </c>
      <c r="L251" s="9">
        <v>4.1881412223668004</v>
      </c>
      <c r="M251" s="9" t="s">
        <v>28</v>
      </c>
      <c r="N251" s="9" t="s">
        <v>58</v>
      </c>
      <c r="O251" s="9">
        <v>44.5</v>
      </c>
      <c r="P251" s="9" t="s">
        <v>30</v>
      </c>
      <c r="Q251" s="9" t="b">
        <v>0</v>
      </c>
      <c r="R251" s="9" t="b">
        <v>0</v>
      </c>
      <c r="S251" s="9" t="b">
        <v>0</v>
      </c>
      <c r="T251" s="9">
        <v>1.1599999999999999</v>
      </c>
      <c r="U251" s="9">
        <v>5</v>
      </c>
      <c r="V251" s="9" t="b">
        <v>0</v>
      </c>
      <c r="W251" s="9" t="s">
        <v>808</v>
      </c>
    </row>
    <row r="252" spans="1:23" ht="29" customHeight="1" x14ac:dyDescent="0.2">
      <c r="A252" s="9" t="s">
        <v>809</v>
      </c>
      <c r="B252" s="10" t="s">
        <v>810</v>
      </c>
      <c r="C252" s="9" t="s">
        <v>44</v>
      </c>
      <c r="D252" s="9" t="s">
        <v>44</v>
      </c>
      <c r="E252" s="9" t="s">
        <v>45</v>
      </c>
      <c r="F252" s="9" t="s">
        <v>133</v>
      </c>
      <c r="G252" s="9">
        <v>299</v>
      </c>
      <c r="H252" s="9">
        <v>599</v>
      </c>
      <c r="I252" s="9">
        <v>50</v>
      </c>
      <c r="J252" s="11">
        <v>3.7</v>
      </c>
      <c r="K252" s="9">
        <v>708</v>
      </c>
      <c r="L252" s="9">
        <v>4.0237197386602874</v>
      </c>
      <c r="M252" s="9" t="s">
        <v>89</v>
      </c>
      <c r="N252" s="9" t="s">
        <v>29</v>
      </c>
      <c r="O252" s="9">
        <v>43.7</v>
      </c>
      <c r="P252" s="9" t="s">
        <v>30</v>
      </c>
      <c r="Q252" s="9" t="b">
        <v>0</v>
      </c>
      <c r="R252" s="9" t="b">
        <v>0</v>
      </c>
      <c r="S252" s="9" t="b">
        <v>1</v>
      </c>
      <c r="T252" s="9">
        <v>0.87</v>
      </c>
      <c r="U252" s="9">
        <v>1</v>
      </c>
      <c r="V252" s="9" t="b">
        <v>1</v>
      </c>
      <c r="W252" s="9" t="s">
        <v>811</v>
      </c>
    </row>
    <row r="253" spans="1:23" ht="29" customHeight="1" x14ac:dyDescent="0.2">
      <c r="A253" s="9" t="s">
        <v>812</v>
      </c>
      <c r="B253" s="10" t="s">
        <v>813</v>
      </c>
      <c r="C253" s="9" t="s">
        <v>44</v>
      </c>
      <c r="D253" s="9" t="s">
        <v>44</v>
      </c>
      <c r="E253" s="9" t="s">
        <v>45</v>
      </c>
      <c r="F253" s="9" t="s">
        <v>57</v>
      </c>
      <c r="G253" s="9">
        <v>21990</v>
      </c>
      <c r="H253" s="9">
        <v>34990</v>
      </c>
      <c r="I253" s="9">
        <v>37</v>
      </c>
      <c r="J253" s="11">
        <v>4.3</v>
      </c>
      <c r="K253" s="9">
        <v>1657</v>
      </c>
      <c r="L253" s="9">
        <v>4.15048234923532</v>
      </c>
      <c r="M253" s="9" t="s">
        <v>28</v>
      </c>
      <c r="N253" s="9" t="s">
        <v>58</v>
      </c>
      <c r="O253" s="9">
        <v>43.5</v>
      </c>
      <c r="P253" s="9" t="s">
        <v>30</v>
      </c>
      <c r="Q253" s="9" t="b">
        <v>0</v>
      </c>
      <c r="R253" s="9" t="b">
        <v>0</v>
      </c>
      <c r="S253" s="9" t="b">
        <v>0</v>
      </c>
      <c r="T253" s="9">
        <v>1.1599999999999999</v>
      </c>
      <c r="U253" s="9">
        <v>1</v>
      </c>
      <c r="V253" s="9" t="b">
        <v>1</v>
      </c>
      <c r="W253" s="9" t="s">
        <v>814</v>
      </c>
    </row>
    <row r="254" spans="1:23" ht="29" customHeight="1" x14ac:dyDescent="0.2">
      <c r="A254" s="9" t="s">
        <v>815</v>
      </c>
      <c r="B254" s="10" t="s">
        <v>816</v>
      </c>
      <c r="C254" s="9" t="s">
        <v>25</v>
      </c>
      <c r="D254" s="9" t="s">
        <v>25</v>
      </c>
      <c r="E254" s="9" t="s">
        <v>26</v>
      </c>
      <c r="F254" s="9" t="s">
        <v>27</v>
      </c>
      <c r="G254" s="9">
        <v>417.44</v>
      </c>
      <c r="H254" s="9">
        <v>670</v>
      </c>
      <c r="I254" s="9">
        <v>38</v>
      </c>
      <c r="J254" s="11">
        <v>3.9</v>
      </c>
      <c r="K254" s="9">
        <v>523</v>
      </c>
      <c r="L254" s="9">
        <v>4.0621022265035149</v>
      </c>
      <c r="M254" s="9" t="s">
        <v>89</v>
      </c>
      <c r="N254" s="9" t="s">
        <v>29</v>
      </c>
      <c r="O254" s="9">
        <v>32.700000000000003</v>
      </c>
      <c r="P254" s="9" t="s">
        <v>40</v>
      </c>
      <c r="Q254" s="9" t="b">
        <v>0</v>
      </c>
      <c r="R254" s="9" t="b">
        <v>0</v>
      </c>
      <c r="S254" s="9" t="b">
        <v>0</v>
      </c>
      <c r="T254" s="9">
        <v>1.4</v>
      </c>
      <c r="U254" s="9">
        <v>1</v>
      </c>
      <c r="V254" s="9" t="b">
        <v>1</v>
      </c>
      <c r="W254" s="9" t="s">
        <v>817</v>
      </c>
    </row>
    <row r="255" spans="1:23" ht="29" customHeight="1" x14ac:dyDescent="0.2">
      <c r="A255" s="9" t="s">
        <v>818</v>
      </c>
      <c r="B255" s="10" t="s">
        <v>819</v>
      </c>
      <c r="C255" s="9" t="s">
        <v>25</v>
      </c>
      <c r="D255" s="9" t="s">
        <v>25</v>
      </c>
      <c r="E255" s="9" t="s">
        <v>26</v>
      </c>
      <c r="F255" s="9" t="s">
        <v>27</v>
      </c>
      <c r="G255" s="9">
        <v>199</v>
      </c>
      <c r="H255" s="9">
        <v>999</v>
      </c>
      <c r="I255" s="9">
        <v>80</v>
      </c>
      <c r="J255" s="11">
        <v>3</v>
      </c>
      <c r="M255" s="9" t="s">
        <v>820</v>
      </c>
      <c r="N255" s="9" t="s">
        <v>29</v>
      </c>
      <c r="Q255" s="9" t="b">
        <v>0</v>
      </c>
      <c r="R255" s="9" t="b">
        <v>0</v>
      </c>
      <c r="S255" s="9" t="b">
        <v>1</v>
      </c>
      <c r="T255" s="9">
        <v>0.67</v>
      </c>
      <c r="U255" s="9">
        <v>1</v>
      </c>
      <c r="V255" s="9" t="b">
        <v>1</v>
      </c>
      <c r="W255" s="9" t="s">
        <v>821</v>
      </c>
    </row>
    <row r="256" spans="1:23" ht="29" customHeight="1" x14ac:dyDescent="0.2">
      <c r="A256" s="9" t="s">
        <v>822</v>
      </c>
      <c r="B256" s="10" t="s">
        <v>823</v>
      </c>
      <c r="C256" s="9" t="s">
        <v>44</v>
      </c>
      <c r="D256" s="9" t="s">
        <v>44</v>
      </c>
      <c r="E256" s="9" t="s">
        <v>45</v>
      </c>
      <c r="F256" s="9" t="s">
        <v>57</v>
      </c>
      <c r="G256" s="9">
        <v>47990</v>
      </c>
      <c r="H256" s="9">
        <v>79990</v>
      </c>
      <c r="I256" s="9">
        <v>40</v>
      </c>
      <c r="J256" s="11">
        <v>4.3</v>
      </c>
      <c r="K256" s="9">
        <v>1376</v>
      </c>
      <c r="L256" s="9">
        <v>4.1423059436957894</v>
      </c>
      <c r="M256" s="9" t="s">
        <v>28</v>
      </c>
      <c r="N256" s="9" t="s">
        <v>58</v>
      </c>
      <c r="O256" s="9">
        <v>43.5</v>
      </c>
      <c r="P256" s="9" t="s">
        <v>30</v>
      </c>
      <c r="Q256" s="9" t="b">
        <v>0</v>
      </c>
      <c r="R256" s="9" t="b">
        <v>1</v>
      </c>
      <c r="S256" s="9" t="b">
        <v>0</v>
      </c>
      <c r="T256" s="9">
        <v>2.5299999999999998</v>
      </c>
      <c r="U256" s="9">
        <v>2</v>
      </c>
      <c r="V256" s="9" t="b">
        <v>0</v>
      </c>
      <c r="W256" s="9" t="s">
        <v>824</v>
      </c>
    </row>
    <row r="257" spans="1:23" ht="29" customHeight="1" x14ac:dyDescent="0.2">
      <c r="A257" s="9" t="s">
        <v>825</v>
      </c>
      <c r="B257" s="10" t="s">
        <v>826</v>
      </c>
      <c r="C257" s="9" t="s">
        <v>44</v>
      </c>
      <c r="D257" s="9" t="s">
        <v>44</v>
      </c>
      <c r="E257" s="9" t="s">
        <v>45</v>
      </c>
      <c r="F257" s="9" t="s">
        <v>133</v>
      </c>
      <c r="G257" s="9">
        <v>215</v>
      </c>
      <c r="H257" s="9">
        <v>499</v>
      </c>
      <c r="I257" s="9">
        <v>57</v>
      </c>
      <c r="J257" s="11">
        <v>3.5</v>
      </c>
      <c r="K257" s="9">
        <v>121</v>
      </c>
      <c r="L257" s="9">
        <v>4.066419233083769</v>
      </c>
      <c r="M257" s="9" t="s">
        <v>89</v>
      </c>
      <c r="N257" s="9" t="s">
        <v>29</v>
      </c>
      <c r="O257" s="9">
        <v>53.4</v>
      </c>
      <c r="P257" s="9" t="s">
        <v>53</v>
      </c>
      <c r="Q257" s="9" t="b">
        <v>0</v>
      </c>
      <c r="R257" s="9" t="b">
        <v>0</v>
      </c>
      <c r="S257" s="9" t="b">
        <v>1</v>
      </c>
      <c r="T257" s="9">
        <v>0.62</v>
      </c>
      <c r="U257" s="9">
        <v>1</v>
      </c>
      <c r="V257" s="9" t="b">
        <v>1</v>
      </c>
      <c r="W257" s="9" t="s">
        <v>827</v>
      </c>
    </row>
    <row r="258" spans="1:23" ht="29" customHeight="1" x14ac:dyDescent="0.2">
      <c r="A258" s="9" t="s">
        <v>828</v>
      </c>
      <c r="B258" s="10" t="s">
        <v>829</v>
      </c>
      <c r="C258" s="9" t="s">
        <v>25</v>
      </c>
      <c r="D258" s="9" t="s">
        <v>25</v>
      </c>
      <c r="E258" s="9" t="s">
        <v>26</v>
      </c>
      <c r="F258" s="9" t="s">
        <v>27</v>
      </c>
      <c r="G258" s="9">
        <v>99</v>
      </c>
      <c r="H258" s="9">
        <v>800</v>
      </c>
      <c r="I258" s="9">
        <v>88</v>
      </c>
      <c r="J258" s="11">
        <v>3.9</v>
      </c>
      <c r="K258" s="9">
        <v>1075</v>
      </c>
      <c r="L258" s="9">
        <v>4.0436049801924163</v>
      </c>
      <c r="M258" s="9" t="s">
        <v>28</v>
      </c>
      <c r="N258" s="9" t="s">
        <v>29</v>
      </c>
      <c r="O258" s="9">
        <v>59.4</v>
      </c>
      <c r="P258" s="9" t="s">
        <v>53</v>
      </c>
      <c r="Q258" s="9" t="b">
        <v>0</v>
      </c>
      <c r="R258" s="9" t="b">
        <v>0</v>
      </c>
      <c r="S258" s="9" t="b">
        <v>0</v>
      </c>
      <c r="T258" s="9">
        <v>0.33</v>
      </c>
      <c r="U258" s="9">
        <v>4</v>
      </c>
      <c r="V258" s="9" t="b">
        <v>0</v>
      </c>
      <c r="W258" s="9" t="s">
        <v>830</v>
      </c>
    </row>
    <row r="259" spans="1:23" ht="29" customHeight="1" x14ac:dyDescent="0.2">
      <c r="A259" s="9" t="s">
        <v>831</v>
      </c>
      <c r="B259" s="10" t="s">
        <v>832</v>
      </c>
      <c r="C259" s="9" t="s">
        <v>44</v>
      </c>
      <c r="D259" s="9" t="s">
        <v>44</v>
      </c>
      <c r="E259" s="9" t="s">
        <v>45</v>
      </c>
      <c r="F259" s="9" t="s">
        <v>57</v>
      </c>
      <c r="G259" s="9">
        <v>18999</v>
      </c>
      <c r="H259" s="9">
        <v>35000</v>
      </c>
      <c r="I259" s="9">
        <v>46</v>
      </c>
      <c r="J259" s="11">
        <v>4</v>
      </c>
      <c r="K259" s="9">
        <v>1001</v>
      </c>
      <c r="L259" s="9">
        <v>4.0668498145650913</v>
      </c>
      <c r="M259" s="9" t="s">
        <v>28</v>
      </c>
      <c r="N259" s="9" t="s">
        <v>58</v>
      </c>
      <c r="O259" s="9">
        <v>29.6</v>
      </c>
      <c r="P259" s="9" t="s">
        <v>40</v>
      </c>
      <c r="Q259" s="9" t="b">
        <v>0</v>
      </c>
      <c r="R259" s="9" t="b">
        <v>0</v>
      </c>
      <c r="S259" s="9" t="b">
        <v>0</v>
      </c>
      <c r="T259" s="9">
        <v>1</v>
      </c>
      <c r="U259" s="9">
        <v>1</v>
      </c>
      <c r="V259" s="9" t="b">
        <v>1</v>
      </c>
      <c r="W259" s="9" t="s">
        <v>833</v>
      </c>
    </row>
    <row r="260" spans="1:23" ht="29" customHeight="1" x14ac:dyDescent="0.2">
      <c r="A260" s="9" t="s">
        <v>834</v>
      </c>
      <c r="B260" s="10" t="s">
        <v>835</v>
      </c>
      <c r="C260" s="9" t="s">
        <v>25</v>
      </c>
      <c r="D260" s="9" t="s">
        <v>25</v>
      </c>
      <c r="E260" s="9" t="s">
        <v>26</v>
      </c>
      <c r="F260" s="9" t="s">
        <v>27</v>
      </c>
      <c r="G260" s="9">
        <v>249</v>
      </c>
      <c r="H260" s="9">
        <v>999</v>
      </c>
      <c r="I260" s="9">
        <v>75</v>
      </c>
      <c r="J260" s="11">
        <v>4.3</v>
      </c>
      <c r="K260" s="9">
        <v>112</v>
      </c>
      <c r="L260" s="9">
        <v>4.0908605217914094</v>
      </c>
      <c r="M260" s="9" t="s">
        <v>89</v>
      </c>
      <c r="N260" s="9" t="s">
        <v>29</v>
      </c>
      <c r="O260" s="9">
        <v>62.2</v>
      </c>
      <c r="P260" s="9" t="s">
        <v>36</v>
      </c>
      <c r="Q260" s="9" t="b">
        <v>0</v>
      </c>
      <c r="R260" s="9" t="b">
        <v>0</v>
      </c>
      <c r="S260" s="9" t="b">
        <v>0</v>
      </c>
      <c r="T260" s="9">
        <v>0.83</v>
      </c>
      <c r="U260" s="9">
        <v>1</v>
      </c>
      <c r="V260" s="9" t="b">
        <v>1</v>
      </c>
      <c r="W260" s="9" t="s">
        <v>836</v>
      </c>
    </row>
    <row r="261" spans="1:23" ht="29" customHeight="1" x14ac:dyDescent="0.2">
      <c r="A261" s="9" t="s">
        <v>837</v>
      </c>
      <c r="B261" s="10" t="s">
        <v>838</v>
      </c>
      <c r="C261" s="9" t="s">
        <v>44</v>
      </c>
      <c r="D261" s="9" t="s">
        <v>44</v>
      </c>
      <c r="E261" s="9" t="s">
        <v>45</v>
      </c>
      <c r="F261" s="9" t="s">
        <v>143</v>
      </c>
      <c r="G261" s="9">
        <v>7999</v>
      </c>
      <c r="H261" s="9">
        <v>15999</v>
      </c>
      <c r="I261" s="9">
        <v>50</v>
      </c>
      <c r="J261" s="11">
        <v>3.8</v>
      </c>
      <c r="K261" s="9">
        <v>3022</v>
      </c>
      <c r="L261" s="9">
        <v>3.9578508499787479</v>
      </c>
      <c r="M261" s="9" t="s">
        <v>28</v>
      </c>
      <c r="N261" s="9" t="s">
        <v>144</v>
      </c>
      <c r="O261" s="9">
        <v>23.5</v>
      </c>
      <c r="P261" s="9" t="s">
        <v>40</v>
      </c>
      <c r="Q261" s="9" t="b">
        <v>0</v>
      </c>
      <c r="R261" s="9" t="b">
        <v>0</v>
      </c>
      <c r="S261" s="9" t="b">
        <v>1</v>
      </c>
      <c r="U261" s="9">
        <v>1</v>
      </c>
      <c r="V261" s="9" t="b">
        <v>1</v>
      </c>
      <c r="W261" s="9" t="s">
        <v>839</v>
      </c>
    </row>
    <row r="262" spans="1:23" ht="29" customHeight="1" x14ac:dyDescent="0.2">
      <c r="A262" s="9" t="s">
        <v>840</v>
      </c>
      <c r="B262" s="10" t="s">
        <v>841</v>
      </c>
      <c r="C262" s="9" t="s">
        <v>25</v>
      </c>
      <c r="D262" s="9" t="s">
        <v>25</v>
      </c>
      <c r="E262" s="9" t="s">
        <v>26</v>
      </c>
      <c r="F262" s="9" t="s">
        <v>27</v>
      </c>
      <c r="G262" s="9">
        <v>649</v>
      </c>
      <c r="H262" s="9">
        <v>1600</v>
      </c>
      <c r="I262" s="9">
        <v>59</v>
      </c>
      <c r="J262" s="11">
        <v>4.3</v>
      </c>
      <c r="K262" s="9">
        <v>5451</v>
      </c>
      <c r="L262" s="9">
        <v>4.2120517818072187</v>
      </c>
      <c r="M262" s="9" t="s">
        <v>28</v>
      </c>
      <c r="N262" s="9" t="s">
        <v>93</v>
      </c>
      <c r="O262" s="9">
        <v>66.400000000000006</v>
      </c>
      <c r="P262" s="9" t="s">
        <v>36</v>
      </c>
      <c r="Q262" s="9" t="b">
        <v>0</v>
      </c>
      <c r="R262" s="9" t="b">
        <v>0</v>
      </c>
      <c r="S262" s="9" t="b">
        <v>0</v>
      </c>
      <c r="T262" s="9">
        <v>2.17</v>
      </c>
      <c r="U262" s="9">
        <v>2</v>
      </c>
      <c r="V262" s="9" t="b">
        <v>0</v>
      </c>
      <c r="W262" s="9" t="s">
        <v>842</v>
      </c>
    </row>
    <row r="263" spans="1:23" ht="29" customHeight="1" x14ac:dyDescent="0.2">
      <c r="A263" s="9" t="s">
        <v>843</v>
      </c>
      <c r="B263" s="10" t="s">
        <v>203</v>
      </c>
      <c r="C263" s="9" t="s">
        <v>44</v>
      </c>
      <c r="D263" s="9" t="s">
        <v>44</v>
      </c>
      <c r="E263" s="9" t="s">
        <v>45</v>
      </c>
      <c r="F263" s="9" t="s">
        <v>133</v>
      </c>
      <c r="G263" s="9">
        <v>1289</v>
      </c>
      <c r="H263" s="9">
        <v>2499</v>
      </c>
      <c r="I263" s="9">
        <v>48</v>
      </c>
      <c r="J263" s="11">
        <v>3.3</v>
      </c>
      <c r="K263" s="9">
        <v>73</v>
      </c>
      <c r="L263" s="9">
        <v>4.069701236261456</v>
      </c>
      <c r="M263" s="9" t="s">
        <v>204</v>
      </c>
      <c r="N263" s="9" t="s">
        <v>179</v>
      </c>
      <c r="O263" s="9">
        <v>40</v>
      </c>
      <c r="P263" s="9" t="s">
        <v>30</v>
      </c>
      <c r="Q263" s="9" t="b">
        <v>0</v>
      </c>
      <c r="R263" s="9" t="b">
        <v>0</v>
      </c>
      <c r="S263" s="9" t="b">
        <v>1</v>
      </c>
      <c r="T263" s="9">
        <v>3.75</v>
      </c>
      <c r="U263" s="9">
        <v>1</v>
      </c>
      <c r="V263" s="9" t="b">
        <v>1</v>
      </c>
      <c r="W263" s="9" t="s">
        <v>844</v>
      </c>
    </row>
    <row r="264" spans="1:23" ht="29" customHeight="1" x14ac:dyDescent="0.2">
      <c r="A264" s="9" t="s">
        <v>845</v>
      </c>
      <c r="B264" s="10" t="s">
        <v>846</v>
      </c>
      <c r="C264" s="9" t="s">
        <v>44</v>
      </c>
      <c r="D264" s="9" t="s">
        <v>44</v>
      </c>
      <c r="E264" s="9" t="s">
        <v>45</v>
      </c>
      <c r="F264" s="9" t="s">
        <v>46</v>
      </c>
      <c r="G264" s="9">
        <v>609</v>
      </c>
      <c r="H264" s="9">
        <v>1500</v>
      </c>
      <c r="I264" s="9">
        <v>59</v>
      </c>
      <c r="J264" s="11">
        <v>4.5</v>
      </c>
      <c r="K264" s="9">
        <v>1029</v>
      </c>
      <c r="L264" s="9">
        <v>4.173836813457334</v>
      </c>
      <c r="M264" s="9" t="s">
        <v>28</v>
      </c>
      <c r="N264" s="9" t="s">
        <v>93</v>
      </c>
      <c r="O264" s="9">
        <v>71.400000000000006</v>
      </c>
      <c r="P264" s="9" t="s">
        <v>36</v>
      </c>
      <c r="Q264" s="9" t="b">
        <v>0</v>
      </c>
      <c r="R264" s="9" t="b">
        <v>0</v>
      </c>
      <c r="S264" s="9" t="b">
        <v>0</v>
      </c>
      <c r="T264" s="9">
        <v>1.59</v>
      </c>
      <c r="U264" s="9">
        <v>1</v>
      </c>
      <c r="V264" s="9" t="b">
        <v>1</v>
      </c>
      <c r="W264" s="9" t="s">
        <v>847</v>
      </c>
    </row>
    <row r="265" spans="1:23" ht="29" customHeight="1" x14ac:dyDescent="0.2">
      <c r="A265" s="9" t="s">
        <v>848</v>
      </c>
      <c r="B265" s="10" t="s">
        <v>849</v>
      </c>
      <c r="C265" s="9" t="s">
        <v>44</v>
      </c>
      <c r="D265" s="9" t="s">
        <v>44</v>
      </c>
      <c r="E265" s="9" t="s">
        <v>45</v>
      </c>
      <c r="F265" s="9" t="s">
        <v>57</v>
      </c>
      <c r="G265" s="9">
        <v>32990</v>
      </c>
      <c r="H265" s="9">
        <v>54990</v>
      </c>
      <c r="I265" s="9">
        <v>40</v>
      </c>
      <c r="J265" s="11">
        <v>4.0999999999999996</v>
      </c>
      <c r="K265" s="9">
        <v>1555</v>
      </c>
      <c r="L265" s="9">
        <v>4.0891281789714746</v>
      </c>
      <c r="M265" s="9" t="s">
        <v>28</v>
      </c>
      <c r="N265" s="9" t="s">
        <v>58</v>
      </c>
      <c r="O265" s="9">
        <v>32.5</v>
      </c>
      <c r="P265" s="9" t="s">
        <v>40</v>
      </c>
      <c r="Q265" s="9" t="b">
        <v>0</v>
      </c>
      <c r="R265" s="9" t="b">
        <v>0</v>
      </c>
      <c r="S265" s="9" t="b">
        <v>0</v>
      </c>
      <c r="T265" s="9">
        <v>1.74</v>
      </c>
      <c r="U265" s="9">
        <v>1</v>
      </c>
      <c r="V265" s="9" t="b">
        <v>1</v>
      </c>
      <c r="W265" s="9" t="s">
        <v>850</v>
      </c>
    </row>
    <row r="266" spans="1:23" ht="29" customHeight="1" x14ac:dyDescent="0.2">
      <c r="A266" s="9" t="s">
        <v>851</v>
      </c>
      <c r="B266" s="10" t="s">
        <v>852</v>
      </c>
      <c r="C266" s="9" t="s">
        <v>44</v>
      </c>
      <c r="D266" s="9" t="s">
        <v>44</v>
      </c>
      <c r="E266" s="9" t="s">
        <v>45</v>
      </c>
      <c r="F266" s="9" t="s">
        <v>46</v>
      </c>
      <c r="G266" s="9">
        <v>599</v>
      </c>
      <c r="H266" s="9">
        <v>1999</v>
      </c>
      <c r="I266" s="9">
        <v>70</v>
      </c>
      <c r="J266" s="11">
        <v>4.2</v>
      </c>
      <c r="K266" s="9">
        <v>47</v>
      </c>
      <c r="L266" s="9">
        <v>4.0860582994305856</v>
      </c>
      <c r="M266" s="9" t="s">
        <v>204</v>
      </c>
      <c r="N266" s="9" t="s">
        <v>93</v>
      </c>
      <c r="O266" s="9">
        <v>61</v>
      </c>
      <c r="P266" s="9" t="s">
        <v>36</v>
      </c>
      <c r="Q266" s="9" t="b">
        <v>0</v>
      </c>
      <c r="R266" s="9" t="b">
        <v>0</v>
      </c>
      <c r="S266" s="9" t="b">
        <v>0</v>
      </c>
      <c r="T266" s="9">
        <v>1.56</v>
      </c>
      <c r="U266" s="9">
        <v>1</v>
      </c>
      <c r="V266" s="9" t="b">
        <v>1</v>
      </c>
      <c r="W266" s="9" t="s">
        <v>853</v>
      </c>
    </row>
    <row r="267" spans="1:23" ht="29" customHeight="1" x14ac:dyDescent="0.2">
      <c r="A267" s="9" t="s">
        <v>854</v>
      </c>
      <c r="B267" s="10" t="s">
        <v>855</v>
      </c>
      <c r="C267" s="9" t="s">
        <v>25</v>
      </c>
      <c r="D267" s="9" t="s">
        <v>25</v>
      </c>
      <c r="E267" s="9" t="s">
        <v>26</v>
      </c>
      <c r="F267" s="9" t="s">
        <v>27</v>
      </c>
      <c r="G267" s="9">
        <v>349</v>
      </c>
      <c r="H267" s="9">
        <v>899</v>
      </c>
      <c r="I267" s="9">
        <v>61</v>
      </c>
      <c r="J267" s="11">
        <v>4.0999999999999996</v>
      </c>
      <c r="K267" s="9">
        <v>14896</v>
      </c>
      <c r="L267" s="9">
        <v>4.0969016315181186</v>
      </c>
      <c r="M267" s="9" t="s">
        <v>28</v>
      </c>
      <c r="N267" s="9" t="s">
        <v>29</v>
      </c>
      <c r="O267" s="9">
        <v>57.5</v>
      </c>
      <c r="P267" s="9" t="s">
        <v>53</v>
      </c>
      <c r="Q267" s="9" t="b">
        <v>0</v>
      </c>
      <c r="R267" s="9" t="b">
        <v>0</v>
      </c>
      <c r="S267" s="9" t="b">
        <v>0</v>
      </c>
      <c r="T267" s="9">
        <v>1.17</v>
      </c>
      <c r="U267" s="9">
        <v>1</v>
      </c>
      <c r="V267" s="9" t="b">
        <v>1</v>
      </c>
      <c r="W267" s="9" t="s">
        <v>856</v>
      </c>
    </row>
    <row r="268" spans="1:23" ht="29" customHeight="1" x14ac:dyDescent="0.2">
      <c r="A268" s="9" t="s">
        <v>857</v>
      </c>
      <c r="B268" s="10" t="s">
        <v>858</v>
      </c>
      <c r="C268" s="9" t="s">
        <v>44</v>
      </c>
      <c r="D268" s="9" t="s">
        <v>44</v>
      </c>
      <c r="E268" s="9" t="s">
        <v>45</v>
      </c>
      <c r="F268" s="9" t="s">
        <v>57</v>
      </c>
      <c r="G268" s="9">
        <v>29999</v>
      </c>
      <c r="H268" s="9">
        <v>50999</v>
      </c>
      <c r="I268" s="9">
        <v>41</v>
      </c>
      <c r="J268" s="11">
        <v>4.4000000000000004</v>
      </c>
      <c r="K268" s="9">
        <v>1712</v>
      </c>
      <c r="L268" s="9">
        <v>4.1832567525218396</v>
      </c>
      <c r="M268" s="9" t="s">
        <v>28</v>
      </c>
      <c r="N268" s="9" t="s">
        <v>58</v>
      </c>
      <c r="O268" s="9">
        <v>48.6</v>
      </c>
      <c r="P268" s="9" t="s">
        <v>30</v>
      </c>
      <c r="Q268" s="9" t="b">
        <v>0</v>
      </c>
      <c r="R268" s="9" t="b">
        <v>0</v>
      </c>
      <c r="S268" s="9" t="b">
        <v>0</v>
      </c>
      <c r="T268" s="9">
        <v>1.58</v>
      </c>
      <c r="U268" s="9">
        <v>1</v>
      </c>
      <c r="V268" s="9" t="b">
        <v>1</v>
      </c>
      <c r="W268" s="9" t="s">
        <v>859</v>
      </c>
    </row>
    <row r="269" spans="1:23" ht="29" customHeight="1" x14ac:dyDescent="0.2">
      <c r="A269" s="9" t="s">
        <v>860</v>
      </c>
      <c r="B269" s="10" t="s">
        <v>699</v>
      </c>
      <c r="C269" s="9" t="s">
        <v>44</v>
      </c>
      <c r="D269" s="9" t="s">
        <v>44</v>
      </c>
      <c r="E269" s="9" t="s">
        <v>45</v>
      </c>
      <c r="F269" s="9" t="s">
        <v>133</v>
      </c>
      <c r="G269" s="9">
        <v>199</v>
      </c>
      <c r="H269" s="9">
        <v>399</v>
      </c>
      <c r="I269" s="9">
        <v>50</v>
      </c>
      <c r="J269" s="11">
        <v>4.2</v>
      </c>
      <c r="K269" s="9">
        <v>1335</v>
      </c>
      <c r="L269" s="9">
        <v>4.1148482769359127</v>
      </c>
      <c r="M269" s="9" t="s">
        <v>28</v>
      </c>
      <c r="N269" s="9" t="s">
        <v>29</v>
      </c>
      <c r="O269" s="9">
        <v>65.400000000000006</v>
      </c>
      <c r="P269" s="9" t="s">
        <v>36</v>
      </c>
      <c r="Q269" s="9" t="b">
        <v>0</v>
      </c>
      <c r="R269" s="9" t="b">
        <v>0</v>
      </c>
      <c r="S269" s="9" t="b">
        <v>0</v>
      </c>
      <c r="T269" s="9">
        <v>0.57999999999999996</v>
      </c>
      <c r="U269" s="9">
        <v>2</v>
      </c>
      <c r="V269" s="9" t="b">
        <v>0</v>
      </c>
      <c r="W269" s="9" t="s">
        <v>861</v>
      </c>
    </row>
    <row r="270" spans="1:23" ht="29" customHeight="1" x14ac:dyDescent="0.2">
      <c r="A270" s="9" t="s">
        <v>862</v>
      </c>
      <c r="B270" s="10" t="s">
        <v>863</v>
      </c>
      <c r="C270" s="9" t="s">
        <v>44</v>
      </c>
      <c r="D270" s="9" t="s">
        <v>44</v>
      </c>
      <c r="E270" s="9" t="s">
        <v>45</v>
      </c>
      <c r="F270" s="9" t="s">
        <v>133</v>
      </c>
      <c r="G270" s="9">
        <v>349</v>
      </c>
      <c r="H270" s="9">
        <v>699</v>
      </c>
      <c r="I270" s="9">
        <v>50</v>
      </c>
      <c r="J270" s="11">
        <v>3.9</v>
      </c>
      <c r="K270" s="9">
        <v>214</v>
      </c>
      <c r="L270" s="9">
        <v>4.0746986273559198</v>
      </c>
      <c r="M270" s="9" t="s">
        <v>89</v>
      </c>
      <c r="N270" s="9" t="s">
        <v>29</v>
      </c>
      <c r="O270" s="9">
        <v>49.9</v>
      </c>
      <c r="P270" s="9" t="s">
        <v>30</v>
      </c>
      <c r="Q270" s="9" t="b">
        <v>0</v>
      </c>
      <c r="R270" s="9" t="b">
        <v>0</v>
      </c>
      <c r="S270" s="9" t="b">
        <v>0</v>
      </c>
      <c r="T270" s="9">
        <v>1.01</v>
      </c>
      <c r="U270" s="9">
        <v>1</v>
      </c>
      <c r="V270" s="9" t="b">
        <v>1</v>
      </c>
      <c r="W270" s="9" t="s">
        <v>864</v>
      </c>
    </row>
    <row r="271" spans="1:23" ht="29" customHeight="1" x14ac:dyDescent="0.2">
      <c r="A271" s="9" t="s">
        <v>865</v>
      </c>
      <c r="B271" s="10" t="s">
        <v>866</v>
      </c>
      <c r="C271" s="9" t="s">
        <v>44</v>
      </c>
      <c r="D271" s="9" t="s">
        <v>44</v>
      </c>
      <c r="E271" s="9" t="s">
        <v>45</v>
      </c>
      <c r="F271" s="9" t="s">
        <v>178</v>
      </c>
      <c r="G271" s="9">
        <v>1850</v>
      </c>
      <c r="H271" s="9">
        <v>4500</v>
      </c>
      <c r="I271" s="9">
        <v>59</v>
      </c>
      <c r="J271" s="11">
        <v>4</v>
      </c>
      <c r="K271" s="9">
        <v>184</v>
      </c>
      <c r="L271" s="9">
        <v>4.0806889881365294</v>
      </c>
      <c r="M271" s="9" t="s">
        <v>89</v>
      </c>
      <c r="N271" s="9" t="s">
        <v>179</v>
      </c>
      <c r="O271" s="9">
        <v>44.7</v>
      </c>
      <c r="P271" s="9" t="s">
        <v>30</v>
      </c>
      <c r="Q271" s="9" t="b">
        <v>0</v>
      </c>
      <c r="R271" s="9" t="b">
        <v>0</v>
      </c>
      <c r="S271" s="9" t="b">
        <v>0</v>
      </c>
      <c r="U271" s="9">
        <v>1</v>
      </c>
      <c r="V271" s="9" t="b">
        <v>1</v>
      </c>
      <c r="W271" s="9" t="s">
        <v>867</v>
      </c>
    </row>
    <row r="272" spans="1:23" ht="29" customHeight="1" x14ac:dyDescent="0.2">
      <c r="A272" s="9" t="s">
        <v>868</v>
      </c>
      <c r="B272" s="10" t="s">
        <v>869</v>
      </c>
      <c r="C272" s="9" t="s">
        <v>44</v>
      </c>
      <c r="D272" s="9" t="s">
        <v>44</v>
      </c>
      <c r="E272" s="9" t="s">
        <v>45</v>
      </c>
      <c r="F272" s="9" t="s">
        <v>437</v>
      </c>
      <c r="G272" s="9">
        <v>13990</v>
      </c>
      <c r="H272" s="9">
        <v>28900</v>
      </c>
      <c r="I272" s="9">
        <v>52</v>
      </c>
      <c r="J272" s="11">
        <v>4.5</v>
      </c>
      <c r="K272" s="9">
        <v>7</v>
      </c>
      <c r="L272" s="9">
        <v>4.0854063116277528</v>
      </c>
      <c r="M272" s="9" t="s">
        <v>204</v>
      </c>
      <c r="N272" s="9" t="s">
        <v>58</v>
      </c>
      <c r="O272" s="9">
        <v>36.799999999999997</v>
      </c>
      <c r="P272" s="9" t="s">
        <v>40</v>
      </c>
      <c r="Q272" s="9" t="b">
        <v>0</v>
      </c>
      <c r="R272" s="9" t="b">
        <v>0</v>
      </c>
      <c r="S272" s="9" t="b">
        <v>0</v>
      </c>
      <c r="U272" s="9">
        <v>1</v>
      </c>
      <c r="V272" s="9" t="b">
        <v>1</v>
      </c>
      <c r="W272" s="9" t="s">
        <v>870</v>
      </c>
    </row>
    <row r="273" spans="1:23" ht="29" customHeight="1" x14ac:dyDescent="0.2">
      <c r="A273" s="9" t="s">
        <v>871</v>
      </c>
      <c r="B273" s="10" t="s">
        <v>872</v>
      </c>
      <c r="C273" s="9" t="s">
        <v>25</v>
      </c>
      <c r="D273" s="9" t="s">
        <v>25</v>
      </c>
      <c r="E273" s="9" t="s">
        <v>26</v>
      </c>
      <c r="F273" s="9" t="s">
        <v>27</v>
      </c>
      <c r="G273" s="9">
        <v>129</v>
      </c>
      <c r="H273" s="9">
        <v>449</v>
      </c>
      <c r="I273" s="9">
        <v>71</v>
      </c>
      <c r="J273" s="11">
        <v>3.7</v>
      </c>
      <c r="K273" s="9">
        <v>41</v>
      </c>
      <c r="L273" s="9">
        <v>4.0804887844566364</v>
      </c>
      <c r="M273" s="9" t="s">
        <v>204</v>
      </c>
      <c r="N273" s="9" t="s">
        <v>29</v>
      </c>
      <c r="O273" s="9">
        <v>60.1</v>
      </c>
      <c r="P273" s="9" t="s">
        <v>53</v>
      </c>
      <c r="Q273" s="9" t="b">
        <v>0</v>
      </c>
      <c r="R273" s="9" t="b">
        <v>0</v>
      </c>
      <c r="S273" s="9" t="b">
        <v>1</v>
      </c>
      <c r="T273" s="9">
        <v>0.43</v>
      </c>
      <c r="U273" s="9">
        <v>1</v>
      </c>
      <c r="V273" s="9" t="b">
        <v>1</v>
      </c>
      <c r="W273" s="9" t="s">
        <v>873</v>
      </c>
    </row>
    <row r="274" spans="1:23" ht="29" customHeight="1" x14ac:dyDescent="0.2">
      <c r="A274" s="9" t="s">
        <v>874</v>
      </c>
      <c r="B274" s="10" t="s">
        <v>875</v>
      </c>
      <c r="C274" s="9" t="s">
        <v>44</v>
      </c>
      <c r="D274" s="9" t="s">
        <v>44</v>
      </c>
      <c r="E274" s="9" t="s">
        <v>45</v>
      </c>
      <c r="F274" s="9" t="s">
        <v>46</v>
      </c>
      <c r="G274" s="9">
        <v>379</v>
      </c>
      <c r="H274" s="9">
        <v>999</v>
      </c>
      <c r="I274" s="9">
        <v>62</v>
      </c>
      <c r="J274" s="11">
        <v>4.2</v>
      </c>
      <c r="K274" s="9">
        <v>12153</v>
      </c>
      <c r="L274" s="9">
        <v>4.1727271585360697</v>
      </c>
      <c r="M274" s="9" t="s">
        <v>28</v>
      </c>
      <c r="N274" s="9" t="s">
        <v>29</v>
      </c>
      <c r="O274" s="9">
        <v>75</v>
      </c>
      <c r="P274" s="9" t="s">
        <v>36</v>
      </c>
      <c r="Q274" s="9" t="b">
        <v>0</v>
      </c>
      <c r="R274" s="9" t="b">
        <v>0</v>
      </c>
      <c r="S274" s="9" t="b">
        <v>0</v>
      </c>
      <c r="T274" s="9">
        <v>0.99</v>
      </c>
      <c r="U274" s="9">
        <v>2</v>
      </c>
      <c r="V274" s="9" t="b">
        <v>0</v>
      </c>
      <c r="W274" s="9" t="s">
        <v>876</v>
      </c>
    </row>
    <row r="275" spans="1:23" ht="29" customHeight="1" x14ac:dyDescent="0.2">
      <c r="A275" s="9" t="s">
        <v>877</v>
      </c>
      <c r="B275" s="10" t="s">
        <v>878</v>
      </c>
      <c r="C275" s="9" t="s">
        <v>44</v>
      </c>
      <c r="D275" s="9" t="s">
        <v>44</v>
      </c>
      <c r="E275" s="9" t="s">
        <v>45</v>
      </c>
      <c r="F275" s="9" t="s">
        <v>46</v>
      </c>
      <c r="G275" s="9">
        <v>185</v>
      </c>
      <c r="H275" s="9">
        <v>499</v>
      </c>
      <c r="I275" s="9">
        <v>63</v>
      </c>
      <c r="J275" s="11">
        <v>4.2</v>
      </c>
      <c r="K275" s="9">
        <v>25</v>
      </c>
      <c r="L275" s="9">
        <v>4.0853964598497203</v>
      </c>
      <c r="M275" s="9" t="s">
        <v>204</v>
      </c>
      <c r="N275" s="9" t="s">
        <v>29</v>
      </c>
      <c r="O275" s="9">
        <v>61.1</v>
      </c>
      <c r="P275" s="9" t="s">
        <v>36</v>
      </c>
      <c r="Q275" s="9" t="b">
        <v>0</v>
      </c>
      <c r="R275" s="9" t="b">
        <v>0</v>
      </c>
      <c r="S275" s="9" t="b">
        <v>0</v>
      </c>
      <c r="T275" s="9">
        <v>0.48</v>
      </c>
      <c r="U275" s="9">
        <v>1</v>
      </c>
      <c r="V275" s="9" t="b">
        <v>1</v>
      </c>
      <c r="W275" s="9" t="s">
        <v>879</v>
      </c>
    </row>
    <row r="276" spans="1:23" ht="29" customHeight="1" x14ac:dyDescent="0.2">
      <c r="A276" s="9" t="s">
        <v>880</v>
      </c>
      <c r="B276" s="10" t="s">
        <v>881</v>
      </c>
      <c r="C276" s="9" t="s">
        <v>25</v>
      </c>
      <c r="D276" s="9" t="s">
        <v>25</v>
      </c>
      <c r="E276" s="9" t="s">
        <v>34</v>
      </c>
      <c r="F276" s="9" t="s">
        <v>35</v>
      </c>
      <c r="G276" s="9">
        <v>218</v>
      </c>
      <c r="H276" s="9">
        <v>999</v>
      </c>
      <c r="I276" s="9">
        <v>78</v>
      </c>
      <c r="J276" s="11">
        <v>4.2</v>
      </c>
      <c r="K276" s="9">
        <v>163</v>
      </c>
      <c r="L276" s="9">
        <v>4.0894253194958132</v>
      </c>
      <c r="M276" s="9" t="s">
        <v>89</v>
      </c>
      <c r="N276" s="9" t="s">
        <v>29</v>
      </c>
      <c r="O276" s="9">
        <v>68.2</v>
      </c>
      <c r="P276" s="9" t="s">
        <v>36</v>
      </c>
      <c r="Q276" s="9" t="b">
        <v>0</v>
      </c>
      <c r="R276" s="9" t="b">
        <v>0</v>
      </c>
      <c r="S276" s="9" t="b">
        <v>0</v>
      </c>
      <c r="T276" s="9">
        <v>0.43</v>
      </c>
      <c r="U276" s="9">
        <v>1</v>
      </c>
      <c r="V276" s="9" t="b">
        <v>1</v>
      </c>
      <c r="W276" s="9" t="s">
        <v>882</v>
      </c>
    </row>
    <row r="277" spans="1:23" ht="29" customHeight="1" x14ac:dyDescent="0.2">
      <c r="A277" s="9" t="s">
        <v>883</v>
      </c>
      <c r="B277" s="10" t="s">
        <v>884</v>
      </c>
      <c r="C277" s="9" t="s">
        <v>25</v>
      </c>
      <c r="D277" s="9" t="s">
        <v>25</v>
      </c>
      <c r="E277" s="9" t="s">
        <v>26</v>
      </c>
      <c r="F277" s="9" t="s">
        <v>27</v>
      </c>
      <c r="G277" s="9">
        <v>199</v>
      </c>
      <c r="H277" s="9">
        <v>999</v>
      </c>
      <c r="I277" s="9">
        <v>80</v>
      </c>
      <c r="J277" s="11">
        <v>4.3</v>
      </c>
      <c r="K277" s="9">
        <v>87</v>
      </c>
      <c r="L277" s="9">
        <v>4.089502296838762</v>
      </c>
      <c r="M277" s="9" t="s">
        <v>204</v>
      </c>
      <c r="N277" s="9" t="s">
        <v>29</v>
      </c>
      <c r="O277" s="9">
        <v>64.599999999999994</v>
      </c>
      <c r="P277" s="9" t="s">
        <v>36</v>
      </c>
      <c r="Q277" s="9" t="b">
        <v>0</v>
      </c>
      <c r="R277" s="9" t="b">
        <v>0</v>
      </c>
      <c r="S277" s="9" t="b">
        <v>0</v>
      </c>
      <c r="T277" s="9">
        <v>0.67</v>
      </c>
      <c r="U277" s="9">
        <v>1</v>
      </c>
      <c r="V277" s="9" t="b">
        <v>1</v>
      </c>
      <c r="W277" s="9" t="s">
        <v>885</v>
      </c>
    </row>
    <row r="278" spans="1:23" ht="29" customHeight="1" x14ac:dyDescent="0.2">
      <c r="A278" s="9" t="s">
        <v>886</v>
      </c>
      <c r="B278" s="10" t="s">
        <v>887</v>
      </c>
      <c r="C278" s="9" t="s">
        <v>44</v>
      </c>
      <c r="D278" s="9" t="s">
        <v>44</v>
      </c>
      <c r="E278" s="9" t="s">
        <v>45</v>
      </c>
      <c r="F278" s="9" t="s">
        <v>46</v>
      </c>
      <c r="G278" s="9">
        <v>499</v>
      </c>
      <c r="H278" s="9">
        <v>900</v>
      </c>
      <c r="I278" s="9">
        <v>45</v>
      </c>
      <c r="J278" s="11">
        <v>4.4000000000000004</v>
      </c>
      <c r="K278" s="9">
        <v>2165</v>
      </c>
      <c r="L278" s="9">
        <v>4.1998210192628953</v>
      </c>
      <c r="M278" s="9" t="s">
        <v>28</v>
      </c>
      <c r="N278" s="9" t="s">
        <v>29</v>
      </c>
      <c r="O278" s="9">
        <v>69.900000000000006</v>
      </c>
      <c r="P278" s="9" t="s">
        <v>36</v>
      </c>
      <c r="Q278" s="9" t="b">
        <v>0</v>
      </c>
      <c r="R278" s="9" t="b">
        <v>0</v>
      </c>
      <c r="S278" s="9" t="b">
        <v>0</v>
      </c>
      <c r="T278" s="9">
        <v>1.3</v>
      </c>
      <c r="U278" s="9">
        <v>1</v>
      </c>
      <c r="V278" s="9" t="b">
        <v>1</v>
      </c>
      <c r="W278" s="9" t="s">
        <v>888</v>
      </c>
    </row>
    <row r="279" spans="1:23" ht="29" customHeight="1" x14ac:dyDescent="0.2">
      <c r="A279" s="9" t="s">
        <v>889</v>
      </c>
      <c r="B279" s="10" t="s">
        <v>890</v>
      </c>
      <c r="C279" s="9" t="s">
        <v>44</v>
      </c>
      <c r="D279" s="9" t="s">
        <v>44</v>
      </c>
      <c r="E279" s="9" t="s">
        <v>45</v>
      </c>
      <c r="F279" s="9" t="s">
        <v>57</v>
      </c>
      <c r="G279" s="9">
        <v>26999</v>
      </c>
      <c r="H279" s="9">
        <v>42999</v>
      </c>
      <c r="I279" s="9">
        <v>37</v>
      </c>
      <c r="J279" s="11">
        <v>4.2</v>
      </c>
      <c r="K279" s="9">
        <v>1510</v>
      </c>
      <c r="L279" s="9">
        <v>4.117674555084081</v>
      </c>
      <c r="M279" s="9" t="s">
        <v>28</v>
      </c>
      <c r="N279" s="9" t="s">
        <v>58</v>
      </c>
      <c r="O279" s="9">
        <v>40.299999999999997</v>
      </c>
      <c r="P279" s="9" t="s">
        <v>30</v>
      </c>
      <c r="Q279" s="9" t="b">
        <v>0</v>
      </c>
      <c r="R279" s="9" t="b">
        <v>0</v>
      </c>
      <c r="S279" s="9" t="b">
        <v>0</v>
      </c>
      <c r="T279" s="9">
        <v>1.42</v>
      </c>
      <c r="U279" s="9">
        <v>2</v>
      </c>
      <c r="V279" s="9" t="b">
        <v>1</v>
      </c>
      <c r="W279" s="9" t="s">
        <v>891</v>
      </c>
    </row>
    <row r="280" spans="1:23" ht="29" customHeight="1" x14ac:dyDescent="0.2">
      <c r="A280" s="9" t="s">
        <v>892</v>
      </c>
      <c r="B280" s="10" t="s">
        <v>893</v>
      </c>
      <c r="C280" s="9" t="s">
        <v>44</v>
      </c>
      <c r="D280" s="9" t="s">
        <v>44</v>
      </c>
      <c r="E280" s="9" t="s">
        <v>45</v>
      </c>
      <c r="F280" s="9" t="s">
        <v>178</v>
      </c>
      <c r="G280" s="9">
        <v>893</v>
      </c>
      <c r="H280" s="9">
        <v>1052</v>
      </c>
      <c r="I280" s="9">
        <v>15</v>
      </c>
      <c r="J280" s="11">
        <v>4.3</v>
      </c>
      <c r="K280" s="9">
        <v>106</v>
      </c>
      <c r="L280" s="9">
        <v>4.0905361488124123</v>
      </c>
      <c r="M280" s="9" t="s">
        <v>89</v>
      </c>
      <c r="N280" s="9" t="s">
        <v>93</v>
      </c>
      <c r="O280" s="9">
        <v>38</v>
      </c>
      <c r="P280" s="9" t="s">
        <v>40</v>
      </c>
      <c r="Q280" s="9" t="b">
        <v>0</v>
      </c>
      <c r="R280" s="9" t="b">
        <v>0</v>
      </c>
      <c r="S280" s="9" t="b">
        <v>0</v>
      </c>
      <c r="U280" s="9">
        <v>1</v>
      </c>
      <c r="V280" s="9" t="b">
        <v>1</v>
      </c>
      <c r="W280" s="9" t="s">
        <v>894</v>
      </c>
    </row>
    <row r="281" spans="1:23" ht="29" customHeight="1" x14ac:dyDescent="0.2">
      <c r="A281" s="9" t="s">
        <v>895</v>
      </c>
      <c r="B281" s="10" t="s">
        <v>896</v>
      </c>
      <c r="C281" s="9" t="s">
        <v>44</v>
      </c>
      <c r="D281" s="9" t="s">
        <v>44</v>
      </c>
      <c r="E281" s="9" t="s">
        <v>45</v>
      </c>
      <c r="F281" s="9" t="s">
        <v>57</v>
      </c>
      <c r="G281" s="9">
        <v>10990</v>
      </c>
      <c r="H281" s="9">
        <v>19990</v>
      </c>
      <c r="I281" s="9">
        <v>45</v>
      </c>
      <c r="J281" s="11">
        <v>3.7</v>
      </c>
      <c r="K281" s="9">
        <v>129</v>
      </c>
      <c r="L281" s="9">
        <v>4.0718846438856007</v>
      </c>
      <c r="M281" s="9" t="s">
        <v>89</v>
      </c>
      <c r="N281" s="9" t="s">
        <v>58</v>
      </c>
      <c r="O281" s="9">
        <v>30.4</v>
      </c>
      <c r="P281" s="9" t="s">
        <v>40</v>
      </c>
      <c r="Q281" s="9" t="b">
        <v>0</v>
      </c>
      <c r="R281" s="9" t="b">
        <v>0</v>
      </c>
      <c r="S281" s="9" t="b">
        <v>1</v>
      </c>
      <c r="T281" s="9">
        <v>0.57999999999999996</v>
      </c>
      <c r="U281" s="9">
        <v>1</v>
      </c>
      <c r="V281" s="9" t="b">
        <v>1</v>
      </c>
      <c r="W281" s="9" t="s">
        <v>897</v>
      </c>
    </row>
    <row r="282" spans="1:23" ht="29" customHeight="1" x14ac:dyDescent="0.2">
      <c r="A282" s="9" t="s">
        <v>898</v>
      </c>
      <c r="B282" s="10" t="s">
        <v>899</v>
      </c>
      <c r="C282" s="9" t="s">
        <v>25</v>
      </c>
      <c r="D282" s="9" t="s">
        <v>25</v>
      </c>
      <c r="E282" s="9" t="s">
        <v>26</v>
      </c>
      <c r="F282" s="9" t="s">
        <v>27</v>
      </c>
      <c r="G282" s="9">
        <v>379</v>
      </c>
      <c r="H282" s="9">
        <v>1099</v>
      </c>
      <c r="I282" s="9">
        <v>66</v>
      </c>
      <c r="J282" s="11">
        <v>4.3</v>
      </c>
      <c r="K282" s="9">
        <v>3049</v>
      </c>
      <c r="L282" s="9">
        <v>4.1810378171740163</v>
      </c>
      <c r="M282" s="9" t="s">
        <v>28</v>
      </c>
      <c r="N282" s="9" t="s">
        <v>29</v>
      </c>
      <c r="O282" s="9">
        <v>69.7</v>
      </c>
      <c r="P282" s="9" t="s">
        <v>36</v>
      </c>
      <c r="Q282" s="9" t="b">
        <v>0</v>
      </c>
      <c r="R282" s="9" t="b">
        <v>0</v>
      </c>
      <c r="S282" s="9" t="b">
        <v>0</v>
      </c>
      <c r="T282" s="9">
        <v>1.27</v>
      </c>
      <c r="U282" s="9">
        <v>1</v>
      </c>
      <c r="V282" s="9" t="b">
        <v>1</v>
      </c>
      <c r="W282" s="9" t="s">
        <v>900</v>
      </c>
    </row>
    <row r="283" spans="1:23" ht="29" customHeight="1" x14ac:dyDescent="0.2">
      <c r="A283" s="9" t="s">
        <v>901</v>
      </c>
      <c r="B283" s="10" t="s">
        <v>902</v>
      </c>
      <c r="C283" s="9" t="s">
        <v>44</v>
      </c>
      <c r="D283" s="9" t="s">
        <v>44</v>
      </c>
      <c r="E283" s="9" t="s">
        <v>45</v>
      </c>
      <c r="F283" s="9" t="s">
        <v>57</v>
      </c>
      <c r="G283" s="9">
        <v>16999</v>
      </c>
      <c r="H283" s="9">
        <v>25999</v>
      </c>
      <c r="I283" s="9">
        <v>35</v>
      </c>
      <c r="J283" s="11">
        <v>4.2</v>
      </c>
      <c r="K283" s="9">
        <v>32840</v>
      </c>
      <c r="L283" s="9">
        <v>4.1881412223668004</v>
      </c>
      <c r="M283" s="9" t="s">
        <v>28</v>
      </c>
      <c r="N283" s="9" t="s">
        <v>58</v>
      </c>
      <c r="O283" s="9">
        <v>47.7</v>
      </c>
      <c r="P283" s="9" t="s">
        <v>30</v>
      </c>
      <c r="Q283" s="9" t="b">
        <v>0</v>
      </c>
      <c r="R283" s="9" t="b">
        <v>0</v>
      </c>
      <c r="S283" s="9" t="b">
        <v>0</v>
      </c>
      <c r="T283" s="9">
        <v>0.9</v>
      </c>
      <c r="U283" s="9">
        <v>5</v>
      </c>
      <c r="V283" s="9" t="b">
        <v>0</v>
      </c>
      <c r="W283" s="9" t="s">
        <v>903</v>
      </c>
    </row>
    <row r="284" spans="1:23" ht="29" customHeight="1" x14ac:dyDescent="0.2">
      <c r="A284" s="9" t="s">
        <v>904</v>
      </c>
      <c r="B284" s="10" t="s">
        <v>905</v>
      </c>
      <c r="C284" s="9" t="s">
        <v>44</v>
      </c>
      <c r="D284" s="9" t="s">
        <v>44</v>
      </c>
      <c r="E284" s="9" t="s">
        <v>45</v>
      </c>
      <c r="F284" s="9" t="s">
        <v>46</v>
      </c>
      <c r="G284" s="9">
        <v>699</v>
      </c>
      <c r="H284" s="9">
        <v>1899</v>
      </c>
      <c r="I284" s="9">
        <v>63</v>
      </c>
      <c r="J284" s="11">
        <v>4.4000000000000004</v>
      </c>
      <c r="K284" s="9">
        <v>390</v>
      </c>
      <c r="L284" s="9">
        <v>4.1142538450766564</v>
      </c>
      <c r="M284" s="9" t="s">
        <v>89</v>
      </c>
      <c r="N284" s="9" t="s">
        <v>93</v>
      </c>
      <c r="O284" s="9">
        <v>67.7</v>
      </c>
      <c r="P284" s="9" t="s">
        <v>36</v>
      </c>
      <c r="Q284" s="9" t="b">
        <v>0</v>
      </c>
      <c r="R284" s="9" t="b">
        <v>0</v>
      </c>
      <c r="S284" s="9" t="b">
        <v>0</v>
      </c>
      <c r="T284" s="9">
        <v>1.83</v>
      </c>
      <c r="U284" s="9">
        <v>1</v>
      </c>
      <c r="V284" s="9" t="b">
        <v>1</v>
      </c>
      <c r="W284" s="9" t="s">
        <v>906</v>
      </c>
    </row>
    <row r="285" spans="1:23" ht="29" customHeight="1" x14ac:dyDescent="0.2">
      <c r="A285" s="9" t="s">
        <v>907</v>
      </c>
      <c r="B285" s="10" t="s">
        <v>908</v>
      </c>
      <c r="C285" s="9" t="s">
        <v>44</v>
      </c>
      <c r="D285" s="9" t="s">
        <v>44</v>
      </c>
      <c r="E285" s="9" t="s">
        <v>45</v>
      </c>
      <c r="F285" s="9" t="s">
        <v>909</v>
      </c>
      <c r="G285" s="9">
        <v>2699</v>
      </c>
      <c r="H285" s="9">
        <v>3500</v>
      </c>
      <c r="I285" s="9">
        <v>23</v>
      </c>
      <c r="J285" s="11">
        <v>3.5</v>
      </c>
      <c r="K285" s="9">
        <v>621</v>
      </c>
      <c r="L285" s="9">
        <v>4.0018111307587123</v>
      </c>
      <c r="M285" s="9" t="s">
        <v>89</v>
      </c>
      <c r="N285" s="9" t="s">
        <v>144</v>
      </c>
      <c r="O285" s="9">
        <v>16.399999999999999</v>
      </c>
      <c r="P285" s="9" t="s">
        <v>40</v>
      </c>
      <c r="Q285" s="9" t="b">
        <v>0</v>
      </c>
      <c r="R285" s="9" t="b">
        <v>0</v>
      </c>
      <c r="S285" s="9" t="b">
        <v>1</v>
      </c>
      <c r="U285" s="9">
        <v>1</v>
      </c>
      <c r="V285" s="9" t="b">
        <v>1</v>
      </c>
      <c r="W285" s="9" t="s">
        <v>910</v>
      </c>
    </row>
    <row r="286" spans="1:23" ht="29" customHeight="1" x14ac:dyDescent="0.2">
      <c r="A286" s="9" t="s">
        <v>911</v>
      </c>
      <c r="B286" s="10" t="s">
        <v>912</v>
      </c>
      <c r="C286" s="9" t="s">
        <v>25</v>
      </c>
      <c r="D286" s="9" t="s">
        <v>25</v>
      </c>
      <c r="E286" s="9" t="s">
        <v>26</v>
      </c>
      <c r="F286" s="9" t="s">
        <v>27</v>
      </c>
      <c r="G286" s="9">
        <v>129</v>
      </c>
      <c r="H286" s="9">
        <v>599</v>
      </c>
      <c r="I286" s="9">
        <v>78</v>
      </c>
      <c r="J286" s="11">
        <v>4.0999999999999996</v>
      </c>
      <c r="K286" s="9">
        <v>265</v>
      </c>
      <c r="L286" s="9">
        <v>4.0856459569660606</v>
      </c>
      <c r="M286" s="9" t="s">
        <v>89</v>
      </c>
      <c r="N286" s="9" t="s">
        <v>29</v>
      </c>
      <c r="O286" s="9">
        <v>63.9</v>
      </c>
      <c r="P286" s="9" t="s">
        <v>36</v>
      </c>
      <c r="Q286" s="9" t="b">
        <v>0</v>
      </c>
      <c r="R286" s="9" t="b">
        <v>0</v>
      </c>
      <c r="S286" s="9" t="b">
        <v>0</v>
      </c>
      <c r="T286" s="9">
        <v>0.43</v>
      </c>
      <c r="U286" s="9">
        <v>1</v>
      </c>
      <c r="V286" s="9" t="b">
        <v>1</v>
      </c>
      <c r="W286" s="9" t="s">
        <v>913</v>
      </c>
    </row>
    <row r="287" spans="1:23" ht="29" customHeight="1" x14ac:dyDescent="0.2">
      <c r="A287" s="9" t="s">
        <v>914</v>
      </c>
      <c r="B287" s="10" t="s">
        <v>915</v>
      </c>
      <c r="C287" s="9" t="s">
        <v>25</v>
      </c>
      <c r="D287" s="9" t="s">
        <v>25</v>
      </c>
      <c r="E287" s="9" t="s">
        <v>26</v>
      </c>
      <c r="F287" s="9" t="s">
        <v>27</v>
      </c>
      <c r="G287" s="9">
        <v>389</v>
      </c>
      <c r="H287" s="9">
        <v>999</v>
      </c>
      <c r="I287" s="9">
        <v>61</v>
      </c>
      <c r="J287" s="11">
        <v>4.3</v>
      </c>
      <c r="K287" s="9">
        <v>838</v>
      </c>
      <c r="L287" s="9">
        <v>4.1238645998654091</v>
      </c>
      <c r="M287" s="9" t="s">
        <v>89</v>
      </c>
      <c r="N287" s="9" t="s">
        <v>29</v>
      </c>
      <c r="O287" s="9">
        <v>61.5</v>
      </c>
      <c r="P287" s="9" t="s">
        <v>36</v>
      </c>
      <c r="Q287" s="9" t="b">
        <v>0</v>
      </c>
      <c r="R287" s="9" t="b">
        <v>0</v>
      </c>
      <c r="S287" s="9" t="b">
        <v>0</v>
      </c>
      <c r="T287" s="9">
        <v>1.3</v>
      </c>
      <c r="U287" s="9">
        <v>2</v>
      </c>
      <c r="V287" s="9" t="b">
        <v>1</v>
      </c>
      <c r="W287" s="9" t="s">
        <v>916</v>
      </c>
    </row>
    <row r="288" spans="1:23" ht="29" customHeight="1" x14ac:dyDescent="0.2">
      <c r="A288" s="9" t="s">
        <v>917</v>
      </c>
      <c r="B288" s="10" t="s">
        <v>918</v>
      </c>
      <c r="C288" s="9" t="s">
        <v>44</v>
      </c>
      <c r="D288" s="9" t="s">
        <v>44</v>
      </c>
      <c r="E288" s="9" t="s">
        <v>45</v>
      </c>
      <c r="F288" s="9" t="s">
        <v>133</v>
      </c>
      <c r="G288" s="9">
        <v>246</v>
      </c>
      <c r="H288" s="9">
        <v>600</v>
      </c>
      <c r="I288" s="9">
        <v>59</v>
      </c>
      <c r="J288" s="11">
        <v>4.2</v>
      </c>
      <c r="K288" s="9">
        <v>143</v>
      </c>
      <c r="L288" s="9">
        <v>4.0888590684114234</v>
      </c>
      <c r="M288" s="9" t="s">
        <v>89</v>
      </c>
      <c r="N288" s="9" t="s">
        <v>29</v>
      </c>
      <c r="O288" s="9">
        <v>60.2</v>
      </c>
      <c r="P288" s="9" t="s">
        <v>53</v>
      </c>
      <c r="Q288" s="9" t="b">
        <v>0</v>
      </c>
      <c r="R288" s="9" t="b">
        <v>0</v>
      </c>
      <c r="S288" s="9" t="b">
        <v>0</v>
      </c>
      <c r="T288" s="9">
        <v>0.72</v>
      </c>
      <c r="U288" s="9">
        <v>1</v>
      </c>
      <c r="V288" s="9" t="b">
        <v>1</v>
      </c>
      <c r="W288" s="9" t="s">
        <v>919</v>
      </c>
    </row>
    <row r="289" spans="1:23" ht="29" customHeight="1" x14ac:dyDescent="0.2">
      <c r="A289" s="9" t="s">
        <v>920</v>
      </c>
      <c r="B289" s="10" t="s">
        <v>921</v>
      </c>
      <c r="C289" s="9" t="s">
        <v>25</v>
      </c>
      <c r="D289" s="9" t="s">
        <v>25</v>
      </c>
      <c r="E289" s="9" t="s">
        <v>26</v>
      </c>
      <c r="F289" s="9" t="s">
        <v>27</v>
      </c>
      <c r="G289" s="9">
        <v>299</v>
      </c>
      <c r="H289" s="9">
        <v>799</v>
      </c>
      <c r="I289" s="9">
        <v>63</v>
      </c>
      <c r="J289" s="11">
        <v>4</v>
      </c>
      <c r="K289" s="9">
        <v>151</v>
      </c>
      <c r="L289" s="9">
        <v>4.0813693858900768</v>
      </c>
      <c r="M289" s="9" t="s">
        <v>89</v>
      </c>
      <c r="N289" s="9" t="s">
        <v>29</v>
      </c>
      <c r="O289" s="9">
        <v>51.9</v>
      </c>
      <c r="P289" s="9" t="s">
        <v>53</v>
      </c>
      <c r="Q289" s="9" t="b">
        <v>0</v>
      </c>
      <c r="R289" s="9" t="b">
        <v>0</v>
      </c>
      <c r="S289" s="9" t="b">
        <v>0</v>
      </c>
      <c r="T289" s="9">
        <v>1</v>
      </c>
      <c r="U289" s="9">
        <v>1</v>
      </c>
      <c r="V289" s="9" t="b">
        <v>1</v>
      </c>
      <c r="W289" s="9" t="s">
        <v>922</v>
      </c>
    </row>
    <row r="290" spans="1:23" ht="29" customHeight="1" x14ac:dyDescent="0.2">
      <c r="A290" s="9" t="s">
        <v>923</v>
      </c>
      <c r="B290" s="10" t="s">
        <v>924</v>
      </c>
      <c r="C290" s="9" t="s">
        <v>44</v>
      </c>
      <c r="D290" s="9" t="s">
        <v>44</v>
      </c>
      <c r="E290" s="9" t="s">
        <v>45</v>
      </c>
      <c r="F290" s="9" t="s">
        <v>133</v>
      </c>
      <c r="G290" s="9">
        <v>247</v>
      </c>
      <c r="H290" s="9">
        <v>399</v>
      </c>
      <c r="I290" s="9">
        <v>38</v>
      </c>
      <c r="J290" s="11">
        <v>3.9</v>
      </c>
      <c r="K290" s="9">
        <v>200</v>
      </c>
      <c r="L290" s="9">
        <v>4.0753158590992591</v>
      </c>
      <c r="M290" s="9" t="s">
        <v>89</v>
      </c>
      <c r="N290" s="9" t="s">
        <v>29</v>
      </c>
      <c r="O290" s="9">
        <v>45.1</v>
      </c>
      <c r="P290" s="9" t="s">
        <v>30</v>
      </c>
      <c r="Q290" s="9" t="b">
        <v>0</v>
      </c>
      <c r="R290" s="9" t="b">
        <v>0</v>
      </c>
      <c r="S290" s="9" t="b">
        <v>0</v>
      </c>
      <c r="T290" s="9">
        <v>0.72</v>
      </c>
      <c r="U290" s="9">
        <v>1</v>
      </c>
      <c r="V290" s="9" t="b">
        <v>1</v>
      </c>
      <c r="W290" s="9" t="s">
        <v>925</v>
      </c>
    </row>
    <row r="291" spans="1:23" ht="29" customHeight="1" x14ac:dyDescent="0.2">
      <c r="A291" s="9" t="s">
        <v>926</v>
      </c>
      <c r="B291" s="10" t="s">
        <v>927</v>
      </c>
      <c r="C291" s="9" t="s">
        <v>44</v>
      </c>
      <c r="D291" s="9" t="s">
        <v>44</v>
      </c>
      <c r="E291" s="9" t="s">
        <v>45</v>
      </c>
      <c r="F291" s="9" t="s">
        <v>133</v>
      </c>
      <c r="G291" s="9">
        <v>1369</v>
      </c>
      <c r="H291" s="9">
        <v>2999</v>
      </c>
      <c r="I291" s="9">
        <v>54</v>
      </c>
      <c r="J291" s="11">
        <v>3.3</v>
      </c>
      <c r="K291" s="9">
        <v>227</v>
      </c>
      <c r="L291" s="9">
        <v>4.0399897460034628</v>
      </c>
      <c r="M291" s="9" t="s">
        <v>89</v>
      </c>
      <c r="N291" s="9" t="s">
        <v>179</v>
      </c>
      <c r="O291" s="9">
        <v>38.6</v>
      </c>
      <c r="P291" s="9" t="s">
        <v>40</v>
      </c>
      <c r="Q291" s="9" t="b">
        <v>0</v>
      </c>
      <c r="R291" s="9" t="b">
        <v>1</v>
      </c>
      <c r="S291" s="9" t="b">
        <v>1</v>
      </c>
      <c r="T291" s="9">
        <v>3.98</v>
      </c>
      <c r="U291" s="9">
        <v>1</v>
      </c>
      <c r="V291" s="9" t="b">
        <v>1</v>
      </c>
      <c r="W291" s="9" t="s">
        <v>928</v>
      </c>
    </row>
    <row r="292" spans="1:23" ht="29" customHeight="1" x14ac:dyDescent="0.2">
      <c r="A292" s="9" t="s">
        <v>929</v>
      </c>
      <c r="B292" s="10" t="s">
        <v>930</v>
      </c>
      <c r="C292" s="9" t="s">
        <v>44</v>
      </c>
      <c r="D292" s="9" t="s">
        <v>44</v>
      </c>
      <c r="E292" s="9" t="s">
        <v>45</v>
      </c>
      <c r="F292" s="9" t="s">
        <v>133</v>
      </c>
      <c r="G292" s="9">
        <v>199</v>
      </c>
      <c r="H292" s="9">
        <v>499</v>
      </c>
      <c r="I292" s="9">
        <v>60</v>
      </c>
      <c r="J292" s="11">
        <v>3.8</v>
      </c>
      <c r="K292" s="9">
        <v>538</v>
      </c>
      <c r="L292" s="9">
        <v>4.0490266461297093</v>
      </c>
      <c r="M292" s="9" t="s">
        <v>89</v>
      </c>
      <c r="N292" s="9" t="s">
        <v>29</v>
      </c>
      <c r="O292" s="9">
        <v>53.5</v>
      </c>
      <c r="P292" s="9" t="s">
        <v>53</v>
      </c>
      <c r="Q292" s="9" t="b">
        <v>0</v>
      </c>
      <c r="R292" s="9" t="b">
        <v>0</v>
      </c>
      <c r="S292" s="9" t="b">
        <v>1</v>
      </c>
      <c r="T292" s="9">
        <v>0.57999999999999996</v>
      </c>
      <c r="U292" s="9">
        <v>1</v>
      </c>
      <c r="V292" s="9" t="b">
        <v>1</v>
      </c>
      <c r="W292" s="9" t="s">
        <v>931</v>
      </c>
    </row>
    <row r="293" spans="1:23" ht="29" customHeight="1" x14ac:dyDescent="0.2">
      <c r="A293" s="9" t="s">
        <v>932</v>
      </c>
      <c r="B293" s="10" t="s">
        <v>933</v>
      </c>
      <c r="C293" s="9" t="s">
        <v>44</v>
      </c>
      <c r="D293" s="9" t="s">
        <v>44</v>
      </c>
      <c r="E293" s="9" t="s">
        <v>45</v>
      </c>
      <c r="F293" s="9" t="s">
        <v>46</v>
      </c>
      <c r="G293" s="9">
        <v>299</v>
      </c>
      <c r="H293" s="9">
        <v>599</v>
      </c>
      <c r="I293" s="9">
        <v>50</v>
      </c>
      <c r="J293" s="11">
        <v>4</v>
      </c>
      <c r="K293" s="9">
        <v>171</v>
      </c>
      <c r="L293" s="9">
        <v>4.0809556607806829</v>
      </c>
      <c r="M293" s="9" t="s">
        <v>89</v>
      </c>
      <c r="N293" s="9" t="s">
        <v>29</v>
      </c>
      <c r="O293" s="9">
        <v>51.8</v>
      </c>
      <c r="P293" s="9" t="s">
        <v>53</v>
      </c>
      <c r="Q293" s="9" t="b">
        <v>0</v>
      </c>
      <c r="R293" s="9" t="b">
        <v>0</v>
      </c>
      <c r="S293" s="9" t="b">
        <v>0</v>
      </c>
      <c r="T293" s="9">
        <v>0.78</v>
      </c>
      <c r="U293" s="9">
        <v>1</v>
      </c>
      <c r="V293" s="9" t="b">
        <v>1</v>
      </c>
      <c r="W293" s="9" t="s">
        <v>934</v>
      </c>
    </row>
    <row r="294" spans="1:23" ht="29" customHeight="1" x14ac:dyDescent="0.2">
      <c r="A294" s="9" t="s">
        <v>935</v>
      </c>
      <c r="B294" s="10" t="s">
        <v>936</v>
      </c>
      <c r="C294" s="9" t="s">
        <v>44</v>
      </c>
      <c r="D294" s="9" t="s">
        <v>44</v>
      </c>
      <c r="E294" s="9" t="s">
        <v>45</v>
      </c>
      <c r="F294" s="9" t="s">
        <v>57</v>
      </c>
      <c r="G294" s="9">
        <v>14999</v>
      </c>
      <c r="H294" s="9">
        <v>14999</v>
      </c>
      <c r="I294" s="9">
        <v>0</v>
      </c>
      <c r="J294" s="11">
        <v>4.3</v>
      </c>
      <c r="K294" s="9">
        <v>27508</v>
      </c>
      <c r="L294" s="9">
        <v>4.2740870498290979</v>
      </c>
      <c r="M294" s="9" t="s">
        <v>28</v>
      </c>
      <c r="N294" s="9" t="s">
        <v>58</v>
      </c>
      <c r="O294" s="9">
        <v>45.5</v>
      </c>
      <c r="P294" s="9" t="s">
        <v>30</v>
      </c>
      <c r="Q294" s="9" t="b">
        <v>0</v>
      </c>
      <c r="R294" s="9" t="b">
        <v>0</v>
      </c>
      <c r="S294" s="9" t="b">
        <v>0</v>
      </c>
      <c r="T294" s="9">
        <v>0.79</v>
      </c>
      <c r="U294" s="9">
        <v>1</v>
      </c>
      <c r="V294" s="9" t="b">
        <v>1</v>
      </c>
      <c r="W294" s="9" t="s">
        <v>937</v>
      </c>
    </row>
    <row r="295" spans="1:23" ht="29" customHeight="1" x14ac:dyDescent="0.2">
      <c r="A295" s="9" t="s">
        <v>938</v>
      </c>
      <c r="B295" s="10" t="s">
        <v>939</v>
      </c>
      <c r="C295" s="9" t="s">
        <v>25</v>
      </c>
      <c r="D295" s="9" t="s">
        <v>25</v>
      </c>
      <c r="E295" s="9" t="s">
        <v>26</v>
      </c>
      <c r="F295" s="9" t="s">
        <v>27</v>
      </c>
      <c r="G295" s="9">
        <v>299</v>
      </c>
      <c r="H295" s="9">
        <v>699</v>
      </c>
      <c r="I295" s="9">
        <v>57</v>
      </c>
      <c r="J295" s="11">
        <v>3.9</v>
      </c>
      <c r="K295" s="9">
        <v>1454</v>
      </c>
      <c r="L295" s="9">
        <v>4.0331714927021594</v>
      </c>
      <c r="M295" s="9" t="s">
        <v>28</v>
      </c>
      <c r="N295" s="9" t="s">
        <v>29</v>
      </c>
      <c r="O295" s="9">
        <v>41.7</v>
      </c>
      <c r="P295" s="9" t="s">
        <v>30</v>
      </c>
      <c r="Q295" s="9" t="b">
        <v>0</v>
      </c>
      <c r="R295" s="9" t="b">
        <v>0</v>
      </c>
      <c r="S295" s="9" t="b">
        <v>0</v>
      </c>
      <c r="T295" s="9">
        <v>1</v>
      </c>
      <c r="U295" s="9">
        <v>1</v>
      </c>
      <c r="V295" s="9" t="b">
        <v>1</v>
      </c>
      <c r="W295" s="9" t="s">
        <v>940</v>
      </c>
    </row>
    <row r="296" spans="1:23" ht="29" customHeight="1" x14ac:dyDescent="0.2">
      <c r="A296" s="9" t="s">
        <v>941</v>
      </c>
      <c r="B296" s="10" t="s">
        <v>942</v>
      </c>
      <c r="C296" s="9" t="s">
        <v>44</v>
      </c>
      <c r="D296" s="9" t="s">
        <v>44</v>
      </c>
      <c r="E296" s="9" t="s">
        <v>45</v>
      </c>
      <c r="F296" s="9" t="s">
        <v>57</v>
      </c>
      <c r="G296" s="9">
        <v>24990</v>
      </c>
      <c r="H296" s="9">
        <v>51990</v>
      </c>
      <c r="I296" s="9">
        <v>52</v>
      </c>
      <c r="J296" s="11">
        <v>4.2</v>
      </c>
      <c r="K296" s="9">
        <v>2951</v>
      </c>
      <c r="L296" s="9">
        <v>4.1353450646727961</v>
      </c>
      <c r="M296" s="9" t="s">
        <v>28</v>
      </c>
      <c r="N296" s="9" t="s">
        <v>58</v>
      </c>
      <c r="O296" s="9">
        <v>49.3</v>
      </c>
      <c r="P296" s="9" t="s">
        <v>30</v>
      </c>
      <c r="Q296" s="9" t="b">
        <v>0</v>
      </c>
      <c r="R296" s="9" t="b">
        <v>0</v>
      </c>
      <c r="S296" s="9" t="b">
        <v>0</v>
      </c>
      <c r="T296" s="9">
        <v>1.32</v>
      </c>
      <c r="U296" s="9">
        <v>1</v>
      </c>
      <c r="V296" s="9" t="b">
        <v>1</v>
      </c>
      <c r="W296" s="9" t="s">
        <v>943</v>
      </c>
    </row>
    <row r="297" spans="1:23" ht="29" customHeight="1" x14ac:dyDescent="0.2">
      <c r="A297" s="9" t="s">
        <v>944</v>
      </c>
      <c r="B297" s="10" t="s">
        <v>945</v>
      </c>
      <c r="C297" s="9" t="s">
        <v>25</v>
      </c>
      <c r="D297" s="9" t="s">
        <v>25</v>
      </c>
      <c r="E297" s="9" t="s">
        <v>26</v>
      </c>
      <c r="F297" s="9" t="s">
        <v>27</v>
      </c>
      <c r="G297" s="9">
        <v>249</v>
      </c>
      <c r="H297" s="9">
        <v>999</v>
      </c>
      <c r="I297" s="9">
        <v>75</v>
      </c>
      <c r="J297" s="11">
        <v>5</v>
      </c>
      <c r="M297" s="9" t="s">
        <v>820</v>
      </c>
      <c r="N297" s="9" t="s">
        <v>29</v>
      </c>
      <c r="Q297" s="9" t="b">
        <v>0</v>
      </c>
      <c r="R297" s="9" t="b">
        <v>0</v>
      </c>
      <c r="S297" s="9" t="b">
        <v>0</v>
      </c>
      <c r="T297" s="9">
        <v>0.83</v>
      </c>
      <c r="U297" s="9">
        <v>1</v>
      </c>
      <c r="V297" s="9" t="b">
        <v>1</v>
      </c>
      <c r="W297" s="9" t="s">
        <v>946</v>
      </c>
    </row>
    <row r="298" spans="1:23" ht="29" customHeight="1" x14ac:dyDescent="0.2">
      <c r="A298" s="9" t="s">
        <v>947</v>
      </c>
      <c r="B298" s="10" t="s">
        <v>948</v>
      </c>
      <c r="C298" s="9" t="s">
        <v>44</v>
      </c>
      <c r="D298" s="9" t="s">
        <v>44</v>
      </c>
      <c r="E298" s="9" t="s">
        <v>45</v>
      </c>
      <c r="F298" s="9" t="s">
        <v>57</v>
      </c>
      <c r="G298" s="9">
        <v>61999</v>
      </c>
      <c r="H298" s="9">
        <v>69999</v>
      </c>
      <c r="I298" s="9">
        <v>11</v>
      </c>
      <c r="J298" s="11">
        <v>4.0999999999999996</v>
      </c>
      <c r="K298" s="9">
        <v>6753</v>
      </c>
      <c r="L298" s="9">
        <v>4.0945023148381736</v>
      </c>
      <c r="M298" s="9" t="s">
        <v>28</v>
      </c>
      <c r="N298" s="9" t="s">
        <v>58</v>
      </c>
      <c r="O298" s="9">
        <v>26.3</v>
      </c>
      <c r="P298" s="9" t="s">
        <v>40</v>
      </c>
      <c r="Q298" s="9" t="b">
        <v>0</v>
      </c>
      <c r="R298" s="9" t="b">
        <v>1</v>
      </c>
      <c r="S298" s="9" t="b">
        <v>0</v>
      </c>
      <c r="T298" s="9">
        <v>3.26</v>
      </c>
      <c r="U298" s="9">
        <v>2</v>
      </c>
      <c r="V298" s="9" t="b">
        <v>0</v>
      </c>
      <c r="W298" s="9" t="s">
        <v>949</v>
      </c>
    </row>
    <row r="299" spans="1:23" ht="29" customHeight="1" x14ac:dyDescent="0.2">
      <c r="A299" s="9" t="s">
        <v>950</v>
      </c>
      <c r="B299" s="10" t="s">
        <v>951</v>
      </c>
      <c r="C299" s="9" t="s">
        <v>44</v>
      </c>
      <c r="D299" s="9" t="s">
        <v>44</v>
      </c>
      <c r="E299" s="9" t="s">
        <v>45</v>
      </c>
      <c r="F299" s="9" t="s">
        <v>57</v>
      </c>
      <c r="G299" s="9">
        <v>24499</v>
      </c>
      <c r="H299" s="9">
        <v>50000</v>
      </c>
      <c r="I299" s="9">
        <v>51</v>
      </c>
      <c r="J299" s="11">
        <v>3.9</v>
      </c>
      <c r="K299" s="9">
        <v>3518</v>
      </c>
      <c r="L299" s="9">
        <v>3.9954177723619009</v>
      </c>
      <c r="M299" s="9" t="s">
        <v>28</v>
      </c>
      <c r="N299" s="9" t="s">
        <v>58</v>
      </c>
      <c r="O299" s="9">
        <v>23.7</v>
      </c>
      <c r="P299" s="9" t="s">
        <v>40</v>
      </c>
      <c r="Q299" s="9" t="b">
        <v>0</v>
      </c>
      <c r="R299" s="9" t="b">
        <v>0</v>
      </c>
      <c r="S299" s="9" t="b">
        <v>0</v>
      </c>
      <c r="T299" s="9">
        <v>1.29</v>
      </c>
      <c r="U299" s="9">
        <v>1</v>
      </c>
      <c r="V299" s="9" t="b">
        <v>1</v>
      </c>
      <c r="W299" s="9" t="s">
        <v>952</v>
      </c>
    </row>
    <row r="300" spans="1:23" ht="29" customHeight="1" x14ac:dyDescent="0.2">
      <c r="A300" s="9" t="s">
        <v>953</v>
      </c>
      <c r="B300" s="10" t="s">
        <v>954</v>
      </c>
      <c r="C300" s="9" t="s">
        <v>44</v>
      </c>
      <c r="D300" s="9" t="s">
        <v>44</v>
      </c>
      <c r="E300" s="9" t="s">
        <v>45</v>
      </c>
      <c r="F300" s="9" t="s">
        <v>57</v>
      </c>
      <c r="G300" s="9">
        <v>10499</v>
      </c>
      <c r="H300" s="9">
        <v>19499</v>
      </c>
      <c r="I300" s="9">
        <v>46</v>
      </c>
      <c r="J300" s="11">
        <v>4.2</v>
      </c>
      <c r="K300" s="9">
        <v>1510</v>
      </c>
      <c r="L300" s="9">
        <v>4.117674555084081</v>
      </c>
      <c r="M300" s="9" t="s">
        <v>28</v>
      </c>
      <c r="N300" s="9" t="s">
        <v>58</v>
      </c>
      <c r="O300" s="9">
        <v>45.5</v>
      </c>
      <c r="P300" s="9" t="s">
        <v>30</v>
      </c>
      <c r="Q300" s="9" t="b">
        <v>0</v>
      </c>
      <c r="R300" s="9" t="b">
        <v>0</v>
      </c>
      <c r="S300" s="9" t="b">
        <v>0</v>
      </c>
      <c r="T300" s="9">
        <v>0.55000000000000004</v>
      </c>
      <c r="U300" s="9">
        <v>2</v>
      </c>
      <c r="V300" s="9" t="b">
        <v>0</v>
      </c>
      <c r="W300" s="9" t="s">
        <v>955</v>
      </c>
    </row>
    <row r="301" spans="1:23" ht="29" customHeight="1" x14ac:dyDescent="0.2">
      <c r="A301" s="9" t="s">
        <v>956</v>
      </c>
      <c r="B301" s="10" t="s">
        <v>957</v>
      </c>
      <c r="C301" s="9" t="s">
        <v>25</v>
      </c>
      <c r="D301" s="9" t="s">
        <v>25</v>
      </c>
      <c r="E301" s="9" t="s">
        <v>26</v>
      </c>
      <c r="F301" s="9" t="s">
        <v>27</v>
      </c>
      <c r="G301" s="9">
        <v>349</v>
      </c>
      <c r="H301" s="9">
        <v>999</v>
      </c>
      <c r="I301" s="9">
        <v>65</v>
      </c>
      <c r="J301" s="11">
        <v>4.3</v>
      </c>
      <c r="K301" s="9">
        <v>838</v>
      </c>
      <c r="L301" s="9">
        <v>4.1238645998654091</v>
      </c>
      <c r="M301" s="9" t="s">
        <v>89</v>
      </c>
      <c r="N301" s="9" t="s">
        <v>29</v>
      </c>
      <c r="O301" s="9">
        <v>64.5</v>
      </c>
      <c r="P301" s="9" t="s">
        <v>36</v>
      </c>
      <c r="Q301" s="9" t="b">
        <v>0</v>
      </c>
      <c r="R301" s="9" t="b">
        <v>0</v>
      </c>
      <c r="S301" s="9" t="b">
        <v>0</v>
      </c>
      <c r="T301" s="9">
        <v>1.17</v>
      </c>
      <c r="U301" s="9">
        <v>2</v>
      </c>
      <c r="V301" s="9" t="b">
        <v>0</v>
      </c>
      <c r="W301" s="9" t="s">
        <v>958</v>
      </c>
    </row>
    <row r="302" spans="1:23" ht="29" customHeight="1" x14ac:dyDescent="0.2">
      <c r="A302" s="9" t="s">
        <v>959</v>
      </c>
      <c r="B302" s="10" t="s">
        <v>960</v>
      </c>
      <c r="C302" s="9" t="s">
        <v>44</v>
      </c>
      <c r="D302" s="9" t="s">
        <v>44</v>
      </c>
      <c r="E302" s="9" t="s">
        <v>45</v>
      </c>
      <c r="F302" s="9" t="s">
        <v>133</v>
      </c>
      <c r="G302" s="9">
        <v>197</v>
      </c>
      <c r="H302" s="9">
        <v>499</v>
      </c>
      <c r="I302" s="9">
        <v>61</v>
      </c>
      <c r="J302" s="11">
        <v>3.8</v>
      </c>
      <c r="K302" s="9">
        <v>136</v>
      </c>
      <c r="L302" s="9">
        <v>4.0747054230295792</v>
      </c>
      <c r="M302" s="9" t="s">
        <v>89</v>
      </c>
      <c r="N302" s="9" t="s">
        <v>29</v>
      </c>
      <c r="O302" s="9">
        <v>57.3</v>
      </c>
      <c r="P302" s="9" t="s">
        <v>53</v>
      </c>
      <c r="Q302" s="9" t="b">
        <v>0</v>
      </c>
      <c r="R302" s="9" t="b">
        <v>0</v>
      </c>
      <c r="S302" s="9" t="b">
        <v>1</v>
      </c>
      <c r="T302" s="9">
        <v>0.56999999999999995</v>
      </c>
      <c r="U302" s="9">
        <v>1</v>
      </c>
      <c r="V302" s="9" t="b">
        <v>1</v>
      </c>
      <c r="W302" s="9" t="s">
        <v>961</v>
      </c>
    </row>
    <row r="303" spans="1:23" ht="29" customHeight="1" x14ac:dyDescent="0.2">
      <c r="A303" s="9" t="s">
        <v>962</v>
      </c>
      <c r="B303" s="10" t="s">
        <v>963</v>
      </c>
      <c r="C303" s="9" t="s">
        <v>44</v>
      </c>
      <c r="D303" s="9" t="s">
        <v>44</v>
      </c>
      <c r="E303" s="9" t="s">
        <v>45</v>
      </c>
      <c r="F303" s="9" t="s">
        <v>640</v>
      </c>
      <c r="G303" s="9">
        <v>1299</v>
      </c>
      <c r="H303" s="9">
        <v>2499</v>
      </c>
      <c r="I303" s="9">
        <v>48</v>
      </c>
      <c r="J303" s="11">
        <v>4.3</v>
      </c>
      <c r="K303" s="9">
        <v>301</v>
      </c>
      <c r="L303" s="9">
        <v>4.1005879393825069</v>
      </c>
      <c r="M303" s="9" t="s">
        <v>89</v>
      </c>
      <c r="N303" s="9" t="s">
        <v>179</v>
      </c>
      <c r="O303" s="9">
        <v>53.5</v>
      </c>
      <c r="P303" s="9" t="s">
        <v>53</v>
      </c>
      <c r="Q303" s="9" t="b">
        <v>0</v>
      </c>
      <c r="R303" s="9" t="b">
        <v>0</v>
      </c>
      <c r="S303" s="9" t="b">
        <v>0</v>
      </c>
      <c r="U303" s="9">
        <v>1</v>
      </c>
      <c r="V303" s="9" t="b">
        <v>1</v>
      </c>
      <c r="W303" s="9" t="s">
        <v>964</v>
      </c>
    </row>
    <row r="304" spans="1:23" ht="29" customHeight="1" x14ac:dyDescent="0.2">
      <c r="A304" s="9" t="s">
        <v>965</v>
      </c>
      <c r="B304" s="10" t="s">
        <v>966</v>
      </c>
      <c r="C304" s="9" t="s">
        <v>25</v>
      </c>
      <c r="D304" s="9" t="s">
        <v>25</v>
      </c>
      <c r="E304" s="9" t="s">
        <v>26</v>
      </c>
      <c r="F304" s="9" t="s">
        <v>27</v>
      </c>
      <c r="G304" s="9">
        <v>1519</v>
      </c>
      <c r="H304" s="9">
        <v>1899</v>
      </c>
      <c r="I304" s="9">
        <v>20</v>
      </c>
      <c r="J304" s="11">
        <v>4.4000000000000004</v>
      </c>
      <c r="K304" s="9">
        <v>19763</v>
      </c>
      <c r="L304" s="9">
        <v>4.3495627762079794</v>
      </c>
      <c r="M304" s="9" t="s">
        <v>28</v>
      </c>
      <c r="N304" s="9" t="s">
        <v>179</v>
      </c>
      <c r="O304" s="9">
        <v>54</v>
      </c>
      <c r="P304" s="9" t="s">
        <v>53</v>
      </c>
      <c r="Q304" s="9" t="b">
        <v>0</v>
      </c>
      <c r="R304" s="9" t="b">
        <v>0</v>
      </c>
      <c r="S304" s="9" t="b">
        <v>0</v>
      </c>
      <c r="T304" s="9">
        <v>5.08</v>
      </c>
      <c r="U304" s="9">
        <v>1</v>
      </c>
      <c r="V304" s="9" t="b">
        <v>1</v>
      </c>
      <c r="W304" s="9" t="s">
        <v>967</v>
      </c>
    </row>
    <row r="305" spans="1:23" ht="29" customHeight="1" x14ac:dyDescent="0.2">
      <c r="A305" s="9" t="s">
        <v>968</v>
      </c>
      <c r="B305" s="10" t="s">
        <v>969</v>
      </c>
      <c r="C305" s="9" t="s">
        <v>44</v>
      </c>
      <c r="D305" s="9" t="s">
        <v>44</v>
      </c>
      <c r="E305" s="9" t="s">
        <v>45</v>
      </c>
      <c r="F305" s="9" t="s">
        <v>57</v>
      </c>
      <c r="G305" s="9">
        <v>46999</v>
      </c>
      <c r="H305" s="9">
        <v>69999</v>
      </c>
      <c r="I305" s="9">
        <v>33</v>
      </c>
      <c r="J305" s="11">
        <v>4.3</v>
      </c>
      <c r="K305" s="9">
        <v>21252</v>
      </c>
      <c r="L305" s="9">
        <v>4.2676063519830816</v>
      </c>
      <c r="M305" s="9" t="s">
        <v>28</v>
      </c>
      <c r="N305" s="9" t="s">
        <v>58</v>
      </c>
      <c r="O305" s="9">
        <v>52.1</v>
      </c>
      <c r="P305" s="9" t="s">
        <v>53</v>
      </c>
      <c r="Q305" s="9" t="b">
        <v>0</v>
      </c>
      <c r="R305" s="9" t="b">
        <v>0</v>
      </c>
      <c r="S305" s="9" t="b">
        <v>0</v>
      </c>
      <c r="T305" s="9">
        <v>2.4700000000000002</v>
      </c>
      <c r="U305" s="9">
        <v>2</v>
      </c>
      <c r="V305" s="9" t="b">
        <v>0</v>
      </c>
      <c r="W305" s="9" t="s">
        <v>970</v>
      </c>
    </row>
    <row r="306" spans="1:23" ht="29" customHeight="1" x14ac:dyDescent="0.2">
      <c r="A306" s="9" t="s">
        <v>971</v>
      </c>
      <c r="B306" s="10" t="s">
        <v>972</v>
      </c>
      <c r="C306" s="9" t="s">
        <v>25</v>
      </c>
      <c r="D306" s="9" t="s">
        <v>25</v>
      </c>
      <c r="E306" s="9" t="s">
        <v>26</v>
      </c>
      <c r="F306" s="9" t="s">
        <v>27</v>
      </c>
      <c r="G306" s="9">
        <v>299</v>
      </c>
      <c r="H306" s="9">
        <v>799</v>
      </c>
      <c r="I306" s="9">
        <v>63</v>
      </c>
      <c r="J306" s="11">
        <v>4.3</v>
      </c>
      <c r="K306" s="9">
        <v>1902</v>
      </c>
      <c r="L306" s="9">
        <v>4.1569492614848293</v>
      </c>
      <c r="M306" s="9" t="s">
        <v>28</v>
      </c>
      <c r="N306" s="9" t="s">
        <v>29</v>
      </c>
      <c r="O306" s="9">
        <v>68.2</v>
      </c>
      <c r="P306" s="9" t="s">
        <v>36</v>
      </c>
      <c r="Q306" s="9" t="b">
        <v>0</v>
      </c>
      <c r="R306" s="9" t="b">
        <v>0</v>
      </c>
      <c r="S306" s="9" t="b">
        <v>0</v>
      </c>
      <c r="T306" s="9">
        <v>1</v>
      </c>
      <c r="U306" s="9">
        <v>1</v>
      </c>
      <c r="V306" s="9" t="b">
        <v>1</v>
      </c>
      <c r="W306" s="9" t="s">
        <v>973</v>
      </c>
    </row>
    <row r="307" spans="1:23" ht="29" customHeight="1" x14ac:dyDescent="0.2">
      <c r="A307" s="9" t="s">
        <v>974</v>
      </c>
      <c r="B307" s="10" t="s">
        <v>975</v>
      </c>
      <c r="C307" s="9" t="s">
        <v>44</v>
      </c>
      <c r="D307" s="9" t="s">
        <v>44</v>
      </c>
      <c r="E307" s="9" t="s">
        <v>976</v>
      </c>
      <c r="F307" s="9" t="s">
        <v>977</v>
      </c>
      <c r="G307" s="9">
        <v>1799</v>
      </c>
      <c r="H307" s="9">
        <v>19999</v>
      </c>
      <c r="I307" s="9">
        <v>91</v>
      </c>
      <c r="J307" s="11">
        <v>4.2</v>
      </c>
      <c r="K307" s="9">
        <v>13937</v>
      </c>
      <c r="L307" s="9">
        <v>4.1754760920749643</v>
      </c>
      <c r="M307" s="9" t="s">
        <v>28</v>
      </c>
      <c r="N307" s="9" t="s">
        <v>179</v>
      </c>
      <c r="O307" s="9">
        <v>76.7</v>
      </c>
      <c r="P307" s="9" t="s">
        <v>36</v>
      </c>
      <c r="Q307" s="9" t="b">
        <v>0</v>
      </c>
      <c r="R307" s="9" t="b">
        <v>0</v>
      </c>
      <c r="S307" s="9" t="b">
        <v>0</v>
      </c>
      <c r="T307" s="9">
        <v>0.82</v>
      </c>
      <c r="U307" s="9">
        <v>5</v>
      </c>
      <c r="V307" s="9" t="b">
        <v>1</v>
      </c>
      <c r="W307" s="9" t="s">
        <v>978</v>
      </c>
    </row>
    <row r="308" spans="1:23" ht="29" customHeight="1" x14ac:dyDescent="0.2">
      <c r="A308" s="9" t="s">
        <v>979</v>
      </c>
      <c r="B308" s="10" t="s">
        <v>980</v>
      </c>
      <c r="C308" s="9" t="s">
        <v>44</v>
      </c>
      <c r="D308" s="9" t="s">
        <v>44</v>
      </c>
      <c r="E308" s="9" t="s">
        <v>981</v>
      </c>
      <c r="F308" s="9" t="s">
        <v>982</v>
      </c>
      <c r="G308" s="9">
        <v>2049</v>
      </c>
      <c r="H308" s="9">
        <v>2199</v>
      </c>
      <c r="I308" s="9">
        <v>7</v>
      </c>
      <c r="J308" s="11">
        <v>4.3</v>
      </c>
      <c r="K308" s="9">
        <v>178912</v>
      </c>
      <c r="L308" s="9">
        <v>4.2955641815999543</v>
      </c>
      <c r="M308" s="9" t="s">
        <v>28</v>
      </c>
      <c r="N308" s="9" t="s">
        <v>179</v>
      </c>
      <c r="O308" s="9">
        <v>56.4</v>
      </c>
      <c r="P308" s="9" t="s">
        <v>53</v>
      </c>
      <c r="Q308" s="9" t="b">
        <v>0</v>
      </c>
      <c r="R308" s="9" t="b">
        <v>0</v>
      </c>
      <c r="S308" s="9" t="b">
        <v>0</v>
      </c>
      <c r="U308" s="9">
        <v>3</v>
      </c>
      <c r="V308" s="9" t="b">
        <v>1</v>
      </c>
      <c r="W308" s="9" t="s">
        <v>983</v>
      </c>
    </row>
    <row r="309" spans="1:23" ht="29" customHeight="1" x14ac:dyDescent="0.2">
      <c r="A309" s="9" t="s">
        <v>984</v>
      </c>
      <c r="B309" s="10" t="s">
        <v>985</v>
      </c>
      <c r="C309" s="9" t="s">
        <v>44</v>
      </c>
      <c r="D309" s="9" t="s">
        <v>44</v>
      </c>
      <c r="E309" s="9" t="s">
        <v>981</v>
      </c>
      <c r="F309" s="9" t="s">
        <v>986</v>
      </c>
      <c r="G309" s="9">
        <v>6499</v>
      </c>
      <c r="H309" s="9">
        <v>8999</v>
      </c>
      <c r="I309" s="9">
        <v>28</v>
      </c>
      <c r="J309" s="11">
        <v>4</v>
      </c>
      <c r="K309" s="9">
        <v>7807</v>
      </c>
      <c r="L309" s="9">
        <v>4.0275240150119549</v>
      </c>
      <c r="M309" s="9" t="s">
        <v>28</v>
      </c>
      <c r="N309" s="9" t="s">
        <v>144</v>
      </c>
      <c r="O309" s="9">
        <v>20.3</v>
      </c>
      <c r="P309" s="9" t="s">
        <v>40</v>
      </c>
      <c r="Q309" s="9" t="b">
        <v>0</v>
      </c>
      <c r="R309" s="9" t="b">
        <v>0</v>
      </c>
      <c r="S309" s="9" t="b">
        <v>0</v>
      </c>
      <c r="T309" s="9">
        <v>0.48</v>
      </c>
      <c r="U309" s="9">
        <v>3</v>
      </c>
      <c r="V309" s="9" t="b">
        <v>1</v>
      </c>
      <c r="W309" s="9" t="s">
        <v>987</v>
      </c>
    </row>
    <row r="310" spans="1:23" ht="29" customHeight="1" x14ac:dyDescent="0.2">
      <c r="A310" s="9" t="s">
        <v>988</v>
      </c>
      <c r="B310" s="10" t="s">
        <v>989</v>
      </c>
      <c r="C310" s="9" t="s">
        <v>44</v>
      </c>
      <c r="D310" s="9" t="s">
        <v>44</v>
      </c>
      <c r="E310" s="9" t="s">
        <v>981</v>
      </c>
      <c r="F310" s="9" t="s">
        <v>986</v>
      </c>
      <c r="G310" s="9">
        <v>28999</v>
      </c>
      <c r="H310" s="9">
        <v>28999</v>
      </c>
      <c r="I310" s="9">
        <v>0</v>
      </c>
      <c r="J310" s="11">
        <v>4.3</v>
      </c>
      <c r="K310" s="9">
        <v>17415</v>
      </c>
      <c r="L310" s="9">
        <v>4.2617371782165421</v>
      </c>
      <c r="M310" s="9" t="s">
        <v>28</v>
      </c>
      <c r="N310" s="9" t="s">
        <v>58</v>
      </c>
      <c r="O310" s="9">
        <v>44.7</v>
      </c>
      <c r="P310" s="9" t="s">
        <v>30</v>
      </c>
      <c r="Q310" s="9" t="b">
        <v>0</v>
      </c>
      <c r="R310" s="9" t="b">
        <v>0</v>
      </c>
      <c r="S310" s="9" t="b">
        <v>0</v>
      </c>
      <c r="T310" s="9">
        <v>2.15</v>
      </c>
      <c r="U310" s="9">
        <v>3</v>
      </c>
      <c r="V310" s="9" t="b">
        <v>1</v>
      </c>
      <c r="W310" s="9" t="s">
        <v>990</v>
      </c>
    </row>
    <row r="311" spans="1:23" ht="29" customHeight="1" x14ac:dyDescent="0.2">
      <c r="A311" s="9" t="s">
        <v>991</v>
      </c>
      <c r="B311" s="10" t="s">
        <v>992</v>
      </c>
      <c r="C311" s="9" t="s">
        <v>44</v>
      </c>
      <c r="D311" s="9" t="s">
        <v>44</v>
      </c>
      <c r="E311" s="9" t="s">
        <v>981</v>
      </c>
      <c r="F311" s="9" t="s">
        <v>986</v>
      </c>
      <c r="G311" s="9">
        <v>28999</v>
      </c>
      <c r="H311" s="9">
        <v>28999</v>
      </c>
      <c r="I311" s="9">
        <v>0</v>
      </c>
      <c r="J311" s="11">
        <v>4.3</v>
      </c>
      <c r="K311" s="9">
        <v>17415</v>
      </c>
      <c r="L311" s="9">
        <v>4.2617371782165421</v>
      </c>
      <c r="M311" s="9" t="s">
        <v>28</v>
      </c>
      <c r="N311" s="9" t="s">
        <v>58</v>
      </c>
      <c r="O311" s="9">
        <v>44.7</v>
      </c>
      <c r="P311" s="9" t="s">
        <v>30</v>
      </c>
      <c r="Q311" s="9" t="b">
        <v>0</v>
      </c>
      <c r="R311" s="9" t="b">
        <v>0</v>
      </c>
      <c r="S311" s="9" t="b">
        <v>0</v>
      </c>
      <c r="T311" s="9">
        <v>2.15</v>
      </c>
      <c r="U311" s="9">
        <v>3</v>
      </c>
      <c r="V311" s="9" t="b">
        <v>0</v>
      </c>
      <c r="W311" s="9" t="s">
        <v>993</v>
      </c>
    </row>
    <row r="312" spans="1:23" ht="29" customHeight="1" x14ac:dyDescent="0.2">
      <c r="A312" s="9" t="s">
        <v>994</v>
      </c>
      <c r="B312" s="10" t="s">
        <v>995</v>
      </c>
      <c r="C312" s="9" t="s">
        <v>44</v>
      </c>
      <c r="D312" s="9" t="s">
        <v>44</v>
      </c>
      <c r="E312" s="9" t="s">
        <v>981</v>
      </c>
      <c r="F312" s="9" t="s">
        <v>986</v>
      </c>
      <c r="G312" s="9">
        <v>6499</v>
      </c>
      <c r="H312" s="9">
        <v>8999</v>
      </c>
      <c r="I312" s="9">
        <v>28</v>
      </c>
      <c r="J312" s="11">
        <v>4</v>
      </c>
      <c r="K312" s="9">
        <v>7807</v>
      </c>
      <c r="L312" s="9">
        <v>4.0275240150119549</v>
      </c>
      <c r="M312" s="9" t="s">
        <v>28</v>
      </c>
      <c r="N312" s="9" t="s">
        <v>144</v>
      </c>
      <c r="O312" s="9">
        <v>20.3</v>
      </c>
      <c r="P312" s="9" t="s">
        <v>40</v>
      </c>
      <c r="Q312" s="9" t="b">
        <v>0</v>
      </c>
      <c r="R312" s="9" t="b">
        <v>0</v>
      </c>
      <c r="S312" s="9" t="b">
        <v>0</v>
      </c>
      <c r="T312" s="9">
        <v>0.48</v>
      </c>
      <c r="U312" s="9">
        <v>3</v>
      </c>
      <c r="V312" s="9" t="b">
        <v>0</v>
      </c>
      <c r="W312" s="9" t="s">
        <v>996</v>
      </c>
    </row>
    <row r="313" spans="1:23" ht="29" customHeight="1" x14ac:dyDescent="0.2">
      <c r="A313" s="9" t="s">
        <v>997</v>
      </c>
      <c r="B313" s="10" t="s">
        <v>998</v>
      </c>
      <c r="C313" s="9" t="s">
        <v>44</v>
      </c>
      <c r="D313" s="9" t="s">
        <v>44</v>
      </c>
      <c r="E313" s="9" t="s">
        <v>981</v>
      </c>
      <c r="F313" s="9" t="s">
        <v>986</v>
      </c>
      <c r="G313" s="9">
        <v>6499</v>
      </c>
      <c r="H313" s="9">
        <v>8999</v>
      </c>
      <c r="I313" s="9">
        <v>28</v>
      </c>
      <c r="J313" s="11">
        <v>4</v>
      </c>
      <c r="K313" s="9">
        <v>7807</v>
      </c>
      <c r="L313" s="9">
        <v>4.0275240150119549</v>
      </c>
      <c r="M313" s="9" t="s">
        <v>28</v>
      </c>
      <c r="N313" s="9" t="s">
        <v>144</v>
      </c>
      <c r="O313" s="9">
        <v>20.3</v>
      </c>
      <c r="P313" s="9" t="s">
        <v>40</v>
      </c>
      <c r="Q313" s="9" t="b">
        <v>0</v>
      </c>
      <c r="R313" s="9" t="b">
        <v>0</v>
      </c>
      <c r="S313" s="9" t="b">
        <v>0</v>
      </c>
      <c r="T313" s="9">
        <v>0.48</v>
      </c>
      <c r="U313" s="9">
        <v>3</v>
      </c>
      <c r="V313" s="9" t="b">
        <v>0</v>
      </c>
      <c r="W313" s="9" t="s">
        <v>999</v>
      </c>
    </row>
    <row r="314" spans="1:23" ht="29" customHeight="1" x14ac:dyDescent="0.2">
      <c r="A314" s="9" t="s">
        <v>1000</v>
      </c>
      <c r="B314" s="10" t="s">
        <v>1001</v>
      </c>
      <c r="C314" s="9" t="s">
        <v>44</v>
      </c>
      <c r="D314" s="9" t="s">
        <v>44</v>
      </c>
      <c r="E314" s="9" t="s">
        <v>976</v>
      </c>
      <c r="F314" s="9" t="s">
        <v>977</v>
      </c>
      <c r="G314" s="9">
        <v>1898</v>
      </c>
      <c r="H314" s="9">
        <v>4999</v>
      </c>
      <c r="I314" s="9">
        <v>62</v>
      </c>
      <c r="J314" s="11">
        <v>4.0999999999999996</v>
      </c>
      <c r="K314" s="9">
        <v>10689</v>
      </c>
      <c r="L314" s="9">
        <v>4.0959996603591886</v>
      </c>
      <c r="M314" s="9" t="s">
        <v>28</v>
      </c>
      <c r="N314" s="9" t="s">
        <v>179</v>
      </c>
      <c r="O314" s="9">
        <v>58.1</v>
      </c>
      <c r="P314" s="9" t="s">
        <v>53</v>
      </c>
      <c r="Q314" s="9" t="b">
        <v>0</v>
      </c>
      <c r="R314" s="9" t="b">
        <v>0</v>
      </c>
      <c r="S314" s="9" t="b">
        <v>0</v>
      </c>
      <c r="T314" s="9">
        <v>0.86</v>
      </c>
      <c r="U314" s="9">
        <v>1</v>
      </c>
      <c r="V314" s="9" t="b">
        <v>1</v>
      </c>
      <c r="W314" s="9" t="s">
        <v>1002</v>
      </c>
    </row>
    <row r="315" spans="1:23" ht="29" customHeight="1" x14ac:dyDescent="0.2">
      <c r="A315" s="9" t="s">
        <v>1003</v>
      </c>
      <c r="B315" s="10" t="s">
        <v>1004</v>
      </c>
      <c r="C315" s="9" t="s">
        <v>44</v>
      </c>
      <c r="D315" s="9" t="s">
        <v>44</v>
      </c>
      <c r="E315" s="9" t="s">
        <v>981</v>
      </c>
      <c r="F315" s="9" t="s">
        <v>1005</v>
      </c>
      <c r="G315" s="9">
        <v>1299</v>
      </c>
      <c r="H315" s="9">
        <v>1599</v>
      </c>
      <c r="I315" s="9">
        <v>19</v>
      </c>
      <c r="J315" s="11">
        <v>4</v>
      </c>
      <c r="K315" s="9">
        <v>128311</v>
      </c>
      <c r="L315" s="9">
        <v>4.0024110748309152</v>
      </c>
      <c r="M315" s="9" t="s">
        <v>28</v>
      </c>
      <c r="N315" s="9" t="s">
        <v>179</v>
      </c>
      <c r="O315" s="9">
        <v>23.9</v>
      </c>
      <c r="P315" s="9" t="s">
        <v>40</v>
      </c>
      <c r="Q315" s="9" t="b">
        <v>0</v>
      </c>
      <c r="R315" s="9" t="b">
        <v>0</v>
      </c>
      <c r="S315" s="9" t="b">
        <v>0</v>
      </c>
      <c r="U315" s="9">
        <v>4</v>
      </c>
      <c r="V315" s="9" t="b">
        <v>1</v>
      </c>
      <c r="W315" s="9" t="s">
        <v>1006</v>
      </c>
    </row>
    <row r="316" spans="1:23" ht="29" customHeight="1" x14ac:dyDescent="0.2">
      <c r="A316" s="9" t="s">
        <v>1007</v>
      </c>
      <c r="B316" s="10" t="s">
        <v>1008</v>
      </c>
      <c r="C316" s="9" t="s">
        <v>44</v>
      </c>
      <c r="D316" s="9" t="s">
        <v>44</v>
      </c>
      <c r="E316" s="9" t="s">
        <v>1009</v>
      </c>
      <c r="F316" s="9" t="s">
        <v>1010</v>
      </c>
      <c r="G316" s="9">
        <v>599</v>
      </c>
      <c r="H316" s="9">
        <v>999</v>
      </c>
      <c r="I316" s="9">
        <v>40</v>
      </c>
      <c r="J316" s="11">
        <v>4.0999999999999996</v>
      </c>
      <c r="K316" s="9">
        <v>192590</v>
      </c>
      <c r="L316" s="9">
        <v>4.0997055758988594</v>
      </c>
      <c r="M316" s="9" t="s">
        <v>28</v>
      </c>
      <c r="N316" s="9" t="s">
        <v>93</v>
      </c>
      <c r="O316" s="9">
        <v>52.3</v>
      </c>
      <c r="P316" s="9" t="s">
        <v>53</v>
      </c>
      <c r="Q316" s="9" t="b">
        <v>0</v>
      </c>
      <c r="R316" s="9" t="b">
        <v>0</v>
      </c>
      <c r="S316" s="9" t="b">
        <v>0</v>
      </c>
      <c r="T316" s="9">
        <v>0.63</v>
      </c>
      <c r="U316" s="9">
        <v>2</v>
      </c>
      <c r="V316" s="9" t="b">
        <v>1</v>
      </c>
      <c r="W316" s="9" t="s">
        <v>1011</v>
      </c>
    </row>
    <row r="317" spans="1:23" ht="29" customHeight="1" x14ac:dyDescent="0.2">
      <c r="A317" s="9" t="s">
        <v>1012</v>
      </c>
      <c r="B317" s="10" t="s">
        <v>1013</v>
      </c>
      <c r="C317" s="9" t="s">
        <v>44</v>
      </c>
      <c r="D317" s="9" t="s">
        <v>44</v>
      </c>
      <c r="E317" s="9" t="s">
        <v>981</v>
      </c>
      <c r="F317" s="9" t="s">
        <v>986</v>
      </c>
      <c r="G317" s="9">
        <v>9499</v>
      </c>
      <c r="H317" s="9">
        <v>11999</v>
      </c>
      <c r="I317" s="9">
        <v>21</v>
      </c>
      <c r="J317" s="11">
        <v>4.2</v>
      </c>
      <c r="K317" s="9">
        <v>284</v>
      </c>
      <c r="L317" s="9">
        <v>4.09273176613884</v>
      </c>
      <c r="M317" s="9" t="s">
        <v>89</v>
      </c>
      <c r="N317" s="9" t="s">
        <v>144</v>
      </c>
      <c r="O317" s="9">
        <v>30.2</v>
      </c>
      <c r="P317" s="9" t="s">
        <v>40</v>
      </c>
      <c r="Q317" s="9" t="b">
        <v>0</v>
      </c>
      <c r="R317" s="9" t="b">
        <v>0</v>
      </c>
      <c r="S317" s="9" t="b">
        <v>0</v>
      </c>
      <c r="T317" s="9">
        <v>0.7</v>
      </c>
      <c r="U317" s="9">
        <v>3</v>
      </c>
      <c r="V317" s="9" t="b">
        <v>1</v>
      </c>
      <c r="W317" s="9" t="s">
        <v>1014</v>
      </c>
    </row>
    <row r="318" spans="1:23" ht="29" customHeight="1" x14ac:dyDescent="0.2">
      <c r="A318" s="9" t="s">
        <v>1015</v>
      </c>
      <c r="B318" s="10" t="s">
        <v>1016</v>
      </c>
      <c r="C318" s="9" t="s">
        <v>44</v>
      </c>
      <c r="D318" s="9" t="s">
        <v>44</v>
      </c>
      <c r="E318" s="9" t="s">
        <v>1009</v>
      </c>
      <c r="F318" s="9" t="s">
        <v>1010</v>
      </c>
      <c r="G318" s="9">
        <v>599</v>
      </c>
      <c r="H318" s="9">
        <v>2499</v>
      </c>
      <c r="I318" s="9">
        <v>76</v>
      </c>
      <c r="J318" s="11">
        <v>3.9</v>
      </c>
      <c r="K318" s="9">
        <v>58162</v>
      </c>
      <c r="L318" s="9">
        <v>3.9112183237923732</v>
      </c>
      <c r="M318" s="9" t="s">
        <v>28</v>
      </c>
      <c r="N318" s="9" t="s">
        <v>93</v>
      </c>
      <c r="O318" s="9">
        <v>43.3</v>
      </c>
      <c r="P318" s="9" t="s">
        <v>30</v>
      </c>
      <c r="Q318" s="9" t="b">
        <v>0</v>
      </c>
      <c r="R318" s="9" t="b">
        <v>0</v>
      </c>
      <c r="S318" s="9" t="b">
        <v>0</v>
      </c>
      <c r="T318" s="9">
        <v>0.63</v>
      </c>
      <c r="U318" s="9">
        <v>1</v>
      </c>
      <c r="V318" s="9" t="b">
        <v>1</v>
      </c>
      <c r="W318" s="9" t="s">
        <v>1017</v>
      </c>
    </row>
    <row r="319" spans="1:23" ht="29" customHeight="1" x14ac:dyDescent="0.2">
      <c r="A319" s="9" t="s">
        <v>1018</v>
      </c>
      <c r="B319" s="10" t="s">
        <v>1019</v>
      </c>
      <c r="C319" s="9" t="s">
        <v>44</v>
      </c>
      <c r="D319" s="9" t="s">
        <v>44</v>
      </c>
      <c r="E319" s="9" t="s">
        <v>981</v>
      </c>
      <c r="F319" s="9" t="s">
        <v>986</v>
      </c>
      <c r="G319" s="9">
        <v>8999</v>
      </c>
      <c r="H319" s="9">
        <v>11999</v>
      </c>
      <c r="I319" s="9">
        <v>25</v>
      </c>
      <c r="J319" s="11">
        <v>4</v>
      </c>
      <c r="K319" s="9">
        <v>12796</v>
      </c>
      <c r="L319" s="9">
        <v>4.0192311557013509</v>
      </c>
      <c r="M319" s="9" t="s">
        <v>28</v>
      </c>
      <c r="N319" s="9" t="s">
        <v>144</v>
      </c>
      <c r="O319" s="9">
        <v>17.2</v>
      </c>
      <c r="P319" s="9" t="s">
        <v>40</v>
      </c>
      <c r="Q319" s="9" t="b">
        <v>0</v>
      </c>
      <c r="R319" s="9" t="b">
        <v>0</v>
      </c>
      <c r="S319" s="9" t="b">
        <v>0</v>
      </c>
      <c r="T319" s="9">
        <v>0.67</v>
      </c>
      <c r="U319" s="9">
        <v>3</v>
      </c>
      <c r="V319" s="9" t="b">
        <v>1</v>
      </c>
      <c r="W319" s="9" t="s">
        <v>1020</v>
      </c>
    </row>
    <row r="320" spans="1:23" ht="29" customHeight="1" x14ac:dyDescent="0.2">
      <c r="A320" s="9" t="s">
        <v>1021</v>
      </c>
      <c r="B320" s="10" t="s">
        <v>1022</v>
      </c>
      <c r="C320" s="9" t="s">
        <v>44</v>
      </c>
      <c r="D320" s="9" t="s">
        <v>44</v>
      </c>
      <c r="E320" s="9" t="s">
        <v>1009</v>
      </c>
      <c r="F320" s="9" t="s">
        <v>1010</v>
      </c>
      <c r="G320" s="9">
        <v>349</v>
      </c>
      <c r="H320" s="9">
        <v>999</v>
      </c>
      <c r="I320" s="9">
        <v>65</v>
      </c>
      <c r="J320" s="11">
        <v>4.0999999999999996</v>
      </c>
      <c r="K320" s="9">
        <v>363713</v>
      </c>
      <c r="L320" s="9">
        <v>4.0998426809179964</v>
      </c>
      <c r="M320" s="9" t="s">
        <v>28</v>
      </c>
      <c r="N320" s="9" t="s">
        <v>29</v>
      </c>
      <c r="O320" s="9">
        <v>69</v>
      </c>
      <c r="P320" s="9" t="s">
        <v>36</v>
      </c>
      <c r="Q320" s="9" t="b">
        <v>0</v>
      </c>
      <c r="R320" s="9" t="b">
        <v>0</v>
      </c>
      <c r="S320" s="9" t="b">
        <v>0</v>
      </c>
      <c r="T320" s="9">
        <v>0.37</v>
      </c>
      <c r="U320" s="9">
        <v>3</v>
      </c>
      <c r="V320" s="9" t="b">
        <v>1</v>
      </c>
      <c r="W320" s="9" t="s">
        <v>1023</v>
      </c>
    </row>
    <row r="321" spans="1:23" ht="29" customHeight="1" x14ac:dyDescent="0.2">
      <c r="A321" s="9" t="s">
        <v>1024</v>
      </c>
      <c r="B321" s="10" t="s">
        <v>1025</v>
      </c>
      <c r="C321" s="9" t="s">
        <v>44</v>
      </c>
      <c r="D321" s="9" t="s">
        <v>44</v>
      </c>
      <c r="E321" s="9" t="s">
        <v>1026</v>
      </c>
      <c r="F321" s="9" t="s">
        <v>1027</v>
      </c>
      <c r="G321" s="9">
        <v>959</v>
      </c>
      <c r="H321" s="9">
        <v>1800</v>
      </c>
      <c r="I321" s="9">
        <v>47</v>
      </c>
      <c r="J321" s="11">
        <v>4.4000000000000004</v>
      </c>
      <c r="K321" s="9">
        <v>67259</v>
      </c>
      <c r="L321" s="9">
        <v>4.3832929337127604</v>
      </c>
      <c r="M321" s="9" t="s">
        <v>28</v>
      </c>
      <c r="N321" s="9" t="s">
        <v>93</v>
      </c>
      <c r="O321" s="9">
        <v>69.3</v>
      </c>
      <c r="P321" s="9" t="s">
        <v>36</v>
      </c>
      <c r="Q321" s="9" t="b">
        <v>0</v>
      </c>
      <c r="R321" s="9" t="b">
        <v>0</v>
      </c>
      <c r="S321" s="9" t="b">
        <v>0</v>
      </c>
      <c r="U321" s="9">
        <v>5</v>
      </c>
      <c r="V321" s="9" t="b">
        <v>0</v>
      </c>
      <c r="W321" s="9" t="s">
        <v>1028</v>
      </c>
    </row>
    <row r="322" spans="1:23" ht="29" customHeight="1" x14ac:dyDescent="0.2">
      <c r="A322" s="9" t="s">
        <v>1029</v>
      </c>
      <c r="B322" s="10" t="s">
        <v>1030</v>
      </c>
      <c r="C322" s="9" t="s">
        <v>44</v>
      </c>
      <c r="D322" s="9" t="s">
        <v>44</v>
      </c>
      <c r="E322" s="9" t="s">
        <v>981</v>
      </c>
      <c r="F322" s="9" t="s">
        <v>986</v>
      </c>
      <c r="G322" s="9">
        <v>9499</v>
      </c>
      <c r="H322" s="9">
        <v>11999</v>
      </c>
      <c r="I322" s="9">
        <v>21</v>
      </c>
      <c r="J322" s="11">
        <v>4.2</v>
      </c>
      <c r="K322" s="9">
        <v>284</v>
      </c>
      <c r="L322" s="9">
        <v>4.09273176613884</v>
      </c>
      <c r="M322" s="9" t="s">
        <v>89</v>
      </c>
      <c r="N322" s="9" t="s">
        <v>144</v>
      </c>
      <c r="O322" s="9">
        <v>30.2</v>
      </c>
      <c r="P322" s="9" t="s">
        <v>40</v>
      </c>
      <c r="Q322" s="9" t="b">
        <v>0</v>
      </c>
      <c r="R322" s="9" t="b">
        <v>0</v>
      </c>
      <c r="S322" s="9" t="b">
        <v>0</v>
      </c>
      <c r="T322" s="9">
        <v>0.7</v>
      </c>
      <c r="U322" s="9">
        <v>3</v>
      </c>
      <c r="V322" s="9" t="b">
        <v>0</v>
      </c>
      <c r="W322" s="9" t="s">
        <v>1031</v>
      </c>
    </row>
    <row r="323" spans="1:23" ht="29" customHeight="1" x14ac:dyDescent="0.2">
      <c r="A323" s="9" t="s">
        <v>1032</v>
      </c>
      <c r="B323" s="10" t="s">
        <v>1033</v>
      </c>
      <c r="C323" s="9" t="s">
        <v>44</v>
      </c>
      <c r="D323" s="9" t="s">
        <v>44</v>
      </c>
      <c r="E323" s="9" t="s">
        <v>981</v>
      </c>
      <c r="F323" s="9" t="s">
        <v>982</v>
      </c>
      <c r="G323" s="9">
        <v>1499</v>
      </c>
      <c r="H323" s="9">
        <v>2499</v>
      </c>
      <c r="I323" s="9">
        <v>40</v>
      </c>
      <c r="J323" s="11">
        <v>4.3</v>
      </c>
      <c r="K323" s="9">
        <v>15970</v>
      </c>
      <c r="L323" s="9">
        <v>4.2589352130587006</v>
      </c>
      <c r="M323" s="9" t="s">
        <v>28</v>
      </c>
      <c r="N323" s="9" t="s">
        <v>179</v>
      </c>
      <c r="O323" s="9">
        <v>66.5</v>
      </c>
      <c r="P323" s="9" t="s">
        <v>36</v>
      </c>
      <c r="Q323" s="9" t="b">
        <v>0</v>
      </c>
      <c r="R323" s="9" t="b">
        <v>0</v>
      </c>
      <c r="S323" s="9" t="b">
        <v>0</v>
      </c>
      <c r="U323" s="9">
        <v>1</v>
      </c>
      <c r="V323" s="9" t="b">
        <v>1</v>
      </c>
      <c r="W323" s="9" t="s">
        <v>1034</v>
      </c>
    </row>
    <row r="324" spans="1:23" ht="29" customHeight="1" x14ac:dyDescent="0.2">
      <c r="A324" s="9" t="s">
        <v>1035</v>
      </c>
      <c r="B324" s="10" t="s">
        <v>1036</v>
      </c>
      <c r="C324" s="9" t="s">
        <v>44</v>
      </c>
      <c r="D324" s="9" t="s">
        <v>44</v>
      </c>
      <c r="E324" s="9" t="s">
        <v>981</v>
      </c>
      <c r="F324" s="9" t="s">
        <v>982</v>
      </c>
      <c r="G324" s="9">
        <v>1149</v>
      </c>
      <c r="H324" s="9">
        <v>2199</v>
      </c>
      <c r="I324" s="9">
        <v>48</v>
      </c>
      <c r="J324" s="11">
        <v>4.3</v>
      </c>
      <c r="K324" s="9">
        <v>178912</v>
      </c>
      <c r="L324" s="9">
        <v>4.2955641815999543</v>
      </c>
      <c r="M324" s="9" t="s">
        <v>28</v>
      </c>
      <c r="N324" s="9" t="s">
        <v>179</v>
      </c>
      <c r="O324" s="9">
        <v>74.599999999999994</v>
      </c>
      <c r="P324" s="9" t="s">
        <v>36</v>
      </c>
      <c r="Q324" s="9" t="b">
        <v>0</v>
      </c>
      <c r="R324" s="9" t="b">
        <v>0</v>
      </c>
      <c r="S324" s="9" t="b">
        <v>0</v>
      </c>
      <c r="U324" s="9">
        <v>3</v>
      </c>
      <c r="V324" s="9" t="b">
        <v>0</v>
      </c>
      <c r="W324" s="9" t="s">
        <v>1037</v>
      </c>
    </row>
    <row r="325" spans="1:23" ht="29" customHeight="1" x14ac:dyDescent="0.2">
      <c r="A325" s="9" t="s">
        <v>1038</v>
      </c>
      <c r="B325" s="10" t="s">
        <v>1039</v>
      </c>
      <c r="C325" s="9" t="s">
        <v>44</v>
      </c>
      <c r="D325" s="9" t="s">
        <v>44</v>
      </c>
      <c r="E325" s="9" t="s">
        <v>981</v>
      </c>
      <c r="F325" s="9" t="s">
        <v>1040</v>
      </c>
      <c r="G325" s="9">
        <v>349</v>
      </c>
      <c r="H325" s="9">
        <v>999</v>
      </c>
      <c r="I325" s="9">
        <v>65</v>
      </c>
      <c r="J325" s="11">
        <v>3.9</v>
      </c>
      <c r="K325" s="9">
        <v>46399</v>
      </c>
      <c r="L325" s="9">
        <v>3.9138490494040412</v>
      </c>
      <c r="M325" s="9" t="s">
        <v>28</v>
      </c>
      <c r="N325" s="9" t="s">
        <v>29</v>
      </c>
      <c r="O325" s="9">
        <v>45.9</v>
      </c>
      <c r="P325" s="9" t="s">
        <v>30</v>
      </c>
      <c r="Q325" s="9" t="b">
        <v>0</v>
      </c>
      <c r="R325" s="9" t="b">
        <v>0</v>
      </c>
      <c r="S325" s="9" t="b">
        <v>0</v>
      </c>
      <c r="U325" s="9">
        <v>1</v>
      </c>
      <c r="V325" s="9" t="b">
        <v>1</v>
      </c>
      <c r="W325" s="9" t="s">
        <v>1041</v>
      </c>
    </row>
    <row r="326" spans="1:23" ht="29" customHeight="1" x14ac:dyDescent="0.2">
      <c r="A326" s="9" t="s">
        <v>1042</v>
      </c>
      <c r="B326" s="10" t="s">
        <v>1043</v>
      </c>
      <c r="C326" s="9" t="s">
        <v>44</v>
      </c>
      <c r="D326" s="9" t="s">
        <v>44</v>
      </c>
      <c r="E326" s="9" t="s">
        <v>981</v>
      </c>
      <c r="F326" s="9" t="s">
        <v>1044</v>
      </c>
      <c r="G326" s="9">
        <v>1219</v>
      </c>
      <c r="H326" s="9">
        <v>1699</v>
      </c>
      <c r="I326" s="9">
        <v>28</v>
      </c>
      <c r="J326" s="11">
        <v>4.4000000000000004</v>
      </c>
      <c r="K326" s="9">
        <v>8891</v>
      </c>
      <c r="L326" s="9">
        <v>4.3062266639017519</v>
      </c>
      <c r="M326" s="9" t="s">
        <v>28</v>
      </c>
      <c r="N326" s="9" t="s">
        <v>179</v>
      </c>
      <c r="O326" s="9">
        <v>66.400000000000006</v>
      </c>
      <c r="P326" s="9" t="s">
        <v>36</v>
      </c>
      <c r="Q326" s="9" t="b">
        <v>0</v>
      </c>
      <c r="R326" s="9" t="b">
        <v>0</v>
      </c>
      <c r="S326" s="9" t="b">
        <v>0</v>
      </c>
      <c r="T326" s="9">
        <v>2.44</v>
      </c>
      <c r="U326" s="9">
        <v>1</v>
      </c>
      <c r="V326" s="9" t="b">
        <v>1</v>
      </c>
      <c r="W326" s="9" t="s">
        <v>1045</v>
      </c>
    </row>
    <row r="327" spans="1:23" ht="29" customHeight="1" x14ac:dyDescent="0.2">
      <c r="A327" s="9" t="s">
        <v>1046</v>
      </c>
      <c r="B327" s="10" t="s">
        <v>1047</v>
      </c>
      <c r="C327" s="9" t="s">
        <v>44</v>
      </c>
      <c r="D327" s="9" t="s">
        <v>44</v>
      </c>
      <c r="E327" s="9" t="s">
        <v>976</v>
      </c>
      <c r="F327" s="9" t="s">
        <v>977</v>
      </c>
      <c r="G327" s="9">
        <v>1599</v>
      </c>
      <c r="H327" s="9">
        <v>3999</v>
      </c>
      <c r="I327" s="9">
        <v>60</v>
      </c>
      <c r="J327" s="11">
        <v>4</v>
      </c>
      <c r="K327" s="9">
        <v>30254</v>
      </c>
      <c r="L327" s="9">
        <v>4.0093613126477097</v>
      </c>
      <c r="M327" s="9" t="s">
        <v>28</v>
      </c>
      <c r="N327" s="9" t="s">
        <v>179</v>
      </c>
      <c r="O327" s="9">
        <v>40.6</v>
      </c>
      <c r="P327" s="9" t="s">
        <v>30</v>
      </c>
      <c r="Q327" s="9" t="b">
        <v>0</v>
      </c>
      <c r="R327" s="9" t="b">
        <v>0</v>
      </c>
      <c r="S327" s="9" t="b">
        <v>0</v>
      </c>
      <c r="T327" s="9">
        <v>0.73</v>
      </c>
      <c r="U327" s="9">
        <v>3</v>
      </c>
      <c r="V327" s="9" t="b">
        <v>1</v>
      </c>
      <c r="W327" s="9" t="s">
        <v>1048</v>
      </c>
    </row>
    <row r="328" spans="1:23" ht="29" customHeight="1" x14ac:dyDescent="0.2">
      <c r="A328" s="9" t="s">
        <v>1049</v>
      </c>
      <c r="B328" s="10" t="s">
        <v>1050</v>
      </c>
      <c r="C328" s="9" t="s">
        <v>44</v>
      </c>
      <c r="D328" s="9" t="s">
        <v>44</v>
      </c>
      <c r="E328" s="9" t="s">
        <v>981</v>
      </c>
      <c r="F328" s="9" t="s">
        <v>986</v>
      </c>
      <c r="G328" s="9">
        <v>18499</v>
      </c>
      <c r="H328" s="9">
        <v>25999</v>
      </c>
      <c r="I328" s="9">
        <v>29</v>
      </c>
      <c r="J328" s="11">
        <v>4.0999999999999996</v>
      </c>
      <c r="K328" s="9">
        <v>22318</v>
      </c>
      <c r="L328" s="9">
        <v>4.0977833665643226</v>
      </c>
      <c r="M328" s="9" t="s">
        <v>28</v>
      </c>
      <c r="N328" s="9" t="s">
        <v>58</v>
      </c>
      <c r="O328" s="9">
        <v>35</v>
      </c>
      <c r="P328" s="9" t="s">
        <v>40</v>
      </c>
      <c r="Q328" s="9" t="b">
        <v>0</v>
      </c>
      <c r="R328" s="9" t="b">
        <v>0</v>
      </c>
      <c r="S328" s="9" t="b">
        <v>0</v>
      </c>
      <c r="T328" s="9">
        <v>1.37</v>
      </c>
      <c r="U328" s="9">
        <v>3</v>
      </c>
      <c r="V328" s="9" t="b">
        <v>1</v>
      </c>
      <c r="W328" s="9" t="s">
        <v>1051</v>
      </c>
    </row>
    <row r="329" spans="1:23" ht="29" customHeight="1" x14ac:dyDescent="0.2">
      <c r="A329" s="9" t="s">
        <v>1052</v>
      </c>
      <c r="B329" s="10" t="s">
        <v>1053</v>
      </c>
      <c r="C329" s="9" t="s">
        <v>44</v>
      </c>
      <c r="D329" s="9" t="s">
        <v>44</v>
      </c>
      <c r="E329" s="9" t="s">
        <v>1026</v>
      </c>
      <c r="F329" s="9" t="s">
        <v>1027</v>
      </c>
      <c r="G329" s="9">
        <v>369</v>
      </c>
      <c r="H329" s="9">
        <v>700</v>
      </c>
      <c r="I329" s="9">
        <v>47</v>
      </c>
      <c r="J329" s="11">
        <v>4.4000000000000004</v>
      </c>
      <c r="K329" s="9">
        <v>67259</v>
      </c>
      <c r="L329" s="9">
        <v>4.3832929337127604</v>
      </c>
      <c r="M329" s="9" t="s">
        <v>28</v>
      </c>
      <c r="N329" s="9" t="s">
        <v>29</v>
      </c>
      <c r="O329" s="9">
        <v>76.900000000000006</v>
      </c>
      <c r="P329" s="9" t="s">
        <v>36</v>
      </c>
      <c r="Q329" s="9" t="b">
        <v>0</v>
      </c>
      <c r="R329" s="9" t="b">
        <v>0</v>
      </c>
      <c r="S329" s="9" t="b">
        <v>0</v>
      </c>
      <c r="U329" s="9">
        <v>5</v>
      </c>
      <c r="V329" s="9" t="b">
        <v>0</v>
      </c>
      <c r="W329" s="9" t="s">
        <v>1054</v>
      </c>
    </row>
    <row r="330" spans="1:23" ht="29" customHeight="1" x14ac:dyDescent="0.2">
      <c r="A330" s="9" t="s">
        <v>1055</v>
      </c>
      <c r="B330" s="10" t="s">
        <v>1056</v>
      </c>
      <c r="C330" s="9" t="s">
        <v>44</v>
      </c>
      <c r="D330" s="9" t="s">
        <v>44</v>
      </c>
      <c r="E330" s="9" t="s">
        <v>981</v>
      </c>
      <c r="F330" s="9" t="s">
        <v>986</v>
      </c>
      <c r="G330" s="9">
        <v>12999</v>
      </c>
      <c r="H330" s="9">
        <v>17999</v>
      </c>
      <c r="I330" s="9">
        <v>28</v>
      </c>
      <c r="J330" s="11">
        <v>4.0999999999999996</v>
      </c>
      <c r="K330" s="9">
        <v>18998</v>
      </c>
      <c r="L330" s="9">
        <v>4.0974600334650297</v>
      </c>
      <c r="M330" s="9" t="s">
        <v>28</v>
      </c>
      <c r="N330" s="9" t="s">
        <v>58</v>
      </c>
      <c r="O330" s="9">
        <v>34.799999999999997</v>
      </c>
      <c r="P330" s="9" t="s">
        <v>40</v>
      </c>
      <c r="Q330" s="9" t="b">
        <v>0</v>
      </c>
      <c r="R330" s="9" t="b">
        <v>0</v>
      </c>
      <c r="S330" s="9" t="b">
        <v>0</v>
      </c>
      <c r="T330" s="9">
        <v>0.96</v>
      </c>
      <c r="U330" s="9">
        <v>8</v>
      </c>
      <c r="V330" s="9" t="b">
        <v>1</v>
      </c>
      <c r="W330" s="9" t="s">
        <v>1057</v>
      </c>
    </row>
    <row r="331" spans="1:23" ht="29" customHeight="1" x14ac:dyDescent="0.2">
      <c r="A331" s="9" t="s">
        <v>1058</v>
      </c>
      <c r="B331" s="10" t="s">
        <v>975</v>
      </c>
      <c r="C331" s="9" t="s">
        <v>44</v>
      </c>
      <c r="D331" s="9" t="s">
        <v>44</v>
      </c>
      <c r="E331" s="9" t="s">
        <v>976</v>
      </c>
      <c r="F331" s="9" t="s">
        <v>977</v>
      </c>
      <c r="G331" s="9">
        <v>1799</v>
      </c>
      <c r="H331" s="9">
        <v>19999</v>
      </c>
      <c r="I331" s="9">
        <v>91</v>
      </c>
      <c r="J331" s="11">
        <v>4.2</v>
      </c>
      <c r="K331" s="9">
        <v>13937</v>
      </c>
      <c r="L331" s="9">
        <v>4.1754760920749643</v>
      </c>
      <c r="M331" s="9" t="s">
        <v>28</v>
      </c>
      <c r="N331" s="9" t="s">
        <v>179</v>
      </c>
      <c r="O331" s="9">
        <v>76.7</v>
      </c>
      <c r="P331" s="9" t="s">
        <v>36</v>
      </c>
      <c r="Q331" s="9" t="b">
        <v>0</v>
      </c>
      <c r="R331" s="9" t="b">
        <v>0</v>
      </c>
      <c r="S331" s="9" t="b">
        <v>0</v>
      </c>
      <c r="T331" s="9">
        <v>0.82</v>
      </c>
      <c r="U331" s="9">
        <v>5</v>
      </c>
      <c r="V331" s="9" t="b">
        <v>0</v>
      </c>
      <c r="W331" s="9" t="s">
        <v>1059</v>
      </c>
    </row>
    <row r="332" spans="1:23" ht="29" customHeight="1" x14ac:dyDescent="0.2">
      <c r="A332" s="9" t="s">
        <v>1060</v>
      </c>
      <c r="B332" s="10" t="s">
        <v>1061</v>
      </c>
      <c r="C332" s="9" t="s">
        <v>44</v>
      </c>
      <c r="D332" s="9" t="s">
        <v>44</v>
      </c>
      <c r="E332" s="9" t="s">
        <v>981</v>
      </c>
      <c r="F332" s="9" t="s">
        <v>986</v>
      </c>
      <c r="G332" s="9">
        <v>16999</v>
      </c>
      <c r="H332" s="9">
        <v>24999</v>
      </c>
      <c r="I332" s="9">
        <v>32</v>
      </c>
      <c r="J332" s="11">
        <v>4.0999999999999996</v>
      </c>
      <c r="K332" s="9">
        <v>22318</v>
      </c>
      <c r="L332" s="9">
        <v>4.0977833665643226</v>
      </c>
      <c r="M332" s="9" t="s">
        <v>28</v>
      </c>
      <c r="N332" s="9" t="s">
        <v>58</v>
      </c>
      <c r="O332" s="9">
        <v>36</v>
      </c>
      <c r="P332" s="9" t="s">
        <v>40</v>
      </c>
      <c r="Q332" s="9" t="b">
        <v>0</v>
      </c>
      <c r="R332" s="9" t="b">
        <v>0</v>
      </c>
      <c r="S332" s="9" t="b">
        <v>0</v>
      </c>
      <c r="T332" s="9">
        <v>1.26</v>
      </c>
      <c r="U332" s="9">
        <v>3</v>
      </c>
      <c r="V332" s="9" t="b">
        <v>0</v>
      </c>
      <c r="W332" s="9" t="s">
        <v>1062</v>
      </c>
    </row>
    <row r="333" spans="1:23" ht="29" customHeight="1" x14ac:dyDescent="0.2">
      <c r="A333" s="9" t="s">
        <v>1063</v>
      </c>
      <c r="B333" s="10" t="s">
        <v>1064</v>
      </c>
      <c r="C333" s="9" t="s">
        <v>44</v>
      </c>
      <c r="D333" s="9" t="s">
        <v>44</v>
      </c>
      <c r="E333" s="9" t="s">
        <v>981</v>
      </c>
      <c r="F333" s="9" t="s">
        <v>986</v>
      </c>
      <c r="G333" s="9">
        <v>16499</v>
      </c>
      <c r="H333" s="9">
        <v>20999</v>
      </c>
      <c r="I333" s="9">
        <v>21</v>
      </c>
      <c r="J333" s="11">
        <v>4</v>
      </c>
      <c r="K333" s="9">
        <v>21350</v>
      </c>
      <c r="L333" s="9">
        <v>4.0126805014108839</v>
      </c>
      <c r="M333" s="9" t="s">
        <v>28</v>
      </c>
      <c r="N333" s="9" t="s">
        <v>58</v>
      </c>
      <c r="O333" s="9">
        <v>13.3</v>
      </c>
      <c r="P333" s="9" t="s">
        <v>40</v>
      </c>
      <c r="Q333" s="9" t="b">
        <v>0</v>
      </c>
      <c r="R333" s="9" t="b">
        <v>0</v>
      </c>
      <c r="S333" s="9" t="b">
        <v>0</v>
      </c>
      <c r="T333" s="9">
        <v>1.22</v>
      </c>
      <c r="U333" s="9">
        <v>3</v>
      </c>
      <c r="V333" s="9" t="b">
        <v>1</v>
      </c>
      <c r="W333" s="9" t="s">
        <v>1065</v>
      </c>
    </row>
    <row r="334" spans="1:23" ht="29" customHeight="1" x14ac:dyDescent="0.2">
      <c r="A334" s="9" t="s">
        <v>1066</v>
      </c>
      <c r="B334" s="10" t="s">
        <v>975</v>
      </c>
      <c r="C334" s="9" t="s">
        <v>44</v>
      </c>
      <c r="D334" s="9" t="s">
        <v>44</v>
      </c>
      <c r="E334" s="9" t="s">
        <v>976</v>
      </c>
      <c r="F334" s="9" t="s">
        <v>977</v>
      </c>
      <c r="G334" s="9">
        <v>1799</v>
      </c>
      <c r="H334" s="9">
        <v>19999</v>
      </c>
      <c r="I334" s="9">
        <v>91</v>
      </c>
      <c r="J334" s="11">
        <v>4.2</v>
      </c>
      <c r="K334" s="9">
        <v>13937</v>
      </c>
      <c r="L334" s="9">
        <v>4.1754760920749643</v>
      </c>
      <c r="M334" s="9" t="s">
        <v>28</v>
      </c>
      <c r="N334" s="9" t="s">
        <v>179</v>
      </c>
      <c r="O334" s="9">
        <v>76.7</v>
      </c>
      <c r="P334" s="9" t="s">
        <v>36</v>
      </c>
      <c r="Q334" s="9" t="b">
        <v>0</v>
      </c>
      <c r="R334" s="9" t="b">
        <v>0</v>
      </c>
      <c r="S334" s="9" t="b">
        <v>0</v>
      </c>
      <c r="T334" s="9">
        <v>0.82</v>
      </c>
      <c r="U334" s="9">
        <v>5</v>
      </c>
      <c r="V334" s="9" t="b">
        <v>0</v>
      </c>
      <c r="W334" s="9" t="s">
        <v>1067</v>
      </c>
    </row>
    <row r="335" spans="1:23" ht="29" customHeight="1" x14ac:dyDescent="0.2">
      <c r="A335" s="9" t="s">
        <v>1068</v>
      </c>
      <c r="B335" s="10" t="s">
        <v>1069</v>
      </c>
      <c r="C335" s="9" t="s">
        <v>25</v>
      </c>
      <c r="D335" s="9" t="s">
        <v>25</v>
      </c>
      <c r="E335" s="9" t="s">
        <v>26</v>
      </c>
      <c r="F335" s="9" t="s">
        <v>27</v>
      </c>
      <c r="G335" s="9">
        <v>399</v>
      </c>
      <c r="H335" s="9">
        <v>1099</v>
      </c>
      <c r="I335" s="9">
        <v>64</v>
      </c>
      <c r="J335" s="11">
        <v>4.2</v>
      </c>
      <c r="K335" s="9">
        <v>24270</v>
      </c>
      <c r="L335" s="9">
        <v>4.1845157974380029</v>
      </c>
      <c r="M335" s="9" t="s">
        <v>28</v>
      </c>
      <c r="N335" s="9" t="s">
        <v>29</v>
      </c>
      <c r="O335" s="9">
        <v>69.2</v>
      </c>
      <c r="P335" s="9" t="s">
        <v>36</v>
      </c>
      <c r="Q335" s="9" t="b">
        <v>0</v>
      </c>
      <c r="R335" s="9" t="b">
        <v>0</v>
      </c>
      <c r="S335" s="9" t="b">
        <v>0</v>
      </c>
      <c r="T335" s="9">
        <v>1.33</v>
      </c>
      <c r="U335" s="9">
        <v>6</v>
      </c>
      <c r="V335" s="9" t="b">
        <v>1</v>
      </c>
      <c r="W335" s="9" t="s">
        <v>1070</v>
      </c>
    </row>
    <row r="336" spans="1:23" ht="29" customHeight="1" x14ac:dyDescent="0.2">
      <c r="A336" s="9" t="s">
        <v>1071</v>
      </c>
      <c r="B336" s="10" t="s">
        <v>1072</v>
      </c>
      <c r="C336" s="9" t="s">
        <v>44</v>
      </c>
      <c r="D336" s="9" t="s">
        <v>44</v>
      </c>
      <c r="E336" s="9" t="s">
        <v>981</v>
      </c>
      <c r="F336" s="9" t="s">
        <v>986</v>
      </c>
      <c r="G336" s="9">
        <v>8499</v>
      </c>
      <c r="H336" s="9">
        <v>10999</v>
      </c>
      <c r="I336" s="9">
        <v>23</v>
      </c>
      <c r="J336" s="11">
        <v>4.0999999999999996</v>
      </c>
      <c r="K336" s="9">
        <v>313836</v>
      </c>
      <c r="L336" s="9">
        <v>4.0998179748697829</v>
      </c>
      <c r="M336" s="9" t="s">
        <v>28</v>
      </c>
      <c r="N336" s="9" t="s">
        <v>144</v>
      </c>
      <c r="O336" s="9">
        <v>36.4</v>
      </c>
      <c r="P336" s="9" t="s">
        <v>40</v>
      </c>
      <c r="Q336" s="9" t="b">
        <v>0</v>
      </c>
      <c r="R336" s="9" t="b">
        <v>0</v>
      </c>
      <c r="S336" s="9" t="b">
        <v>0</v>
      </c>
      <c r="T336" s="9">
        <v>0.63</v>
      </c>
      <c r="U336" s="9">
        <v>4</v>
      </c>
      <c r="V336" s="9" t="b">
        <v>1</v>
      </c>
      <c r="W336" s="9" t="s">
        <v>1073</v>
      </c>
    </row>
    <row r="337" spans="1:23" ht="29" customHeight="1" x14ac:dyDescent="0.2">
      <c r="A337" s="9" t="s">
        <v>1074</v>
      </c>
      <c r="B337" s="10" t="s">
        <v>1075</v>
      </c>
      <c r="C337" s="9" t="s">
        <v>44</v>
      </c>
      <c r="D337" s="9" t="s">
        <v>44</v>
      </c>
      <c r="E337" s="9" t="s">
        <v>981</v>
      </c>
      <c r="F337" s="9" t="s">
        <v>986</v>
      </c>
      <c r="G337" s="9">
        <v>6499</v>
      </c>
      <c r="H337" s="9">
        <v>8499</v>
      </c>
      <c r="I337" s="9">
        <v>24</v>
      </c>
      <c r="J337" s="11">
        <v>4.0999999999999996</v>
      </c>
      <c r="K337" s="9">
        <v>313836</v>
      </c>
      <c r="L337" s="9">
        <v>4.0998179748697829</v>
      </c>
      <c r="M337" s="9" t="s">
        <v>28</v>
      </c>
      <c r="N337" s="9" t="s">
        <v>144</v>
      </c>
      <c r="O337" s="9">
        <v>37.299999999999997</v>
      </c>
      <c r="P337" s="9" t="s">
        <v>40</v>
      </c>
      <c r="Q337" s="9" t="b">
        <v>0</v>
      </c>
      <c r="R337" s="9" t="b">
        <v>0</v>
      </c>
      <c r="S337" s="9" t="b">
        <v>0</v>
      </c>
      <c r="T337" s="9">
        <v>0.48</v>
      </c>
      <c r="U337" s="9">
        <v>4</v>
      </c>
      <c r="V337" s="9" t="b">
        <v>0</v>
      </c>
      <c r="W337" s="9" t="s">
        <v>1076</v>
      </c>
    </row>
    <row r="338" spans="1:23" ht="29" customHeight="1" x14ac:dyDescent="0.2">
      <c r="A338" s="9" t="s">
        <v>1077</v>
      </c>
      <c r="B338" s="10" t="s">
        <v>975</v>
      </c>
      <c r="C338" s="9" t="s">
        <v>44</v>
      </c>
      <c r="D338" s="9" t="s">
        <v>44</v>
      </c>
      <c r="E338" s="9" t="s">
        <v>976</v>
      </c>
      <c r="F338" s="9" t="s">
        <v>977</v>
      </c>
      <c r="G338" s="9">
        <v>1799</v>
      </c>
      <c r="H338" s="9">
        <v>19999</v>
      </c>
      <c r="I338" s="9">
        <v>91</v>
      </c>
      <c r="J338" s="11">
        <v>4.2</v>
      </c>
      <c r="K338" s="9">
        <v>13937</v>
      </c>
      <c r="L338" s="9">
        <v>4.1754760920749643</v>
      </c>
      <c r="M338" s="9" t="s">
        <v>28</v>
      </c>
      <c r="N338" s="9" t="s">
        <v>179</v>
      </c>
      <c r="O338" s="9">
        <v>76.7</v>
      </c>
      <c r="P338" s="9" t="s">
        <v>36</v>
      </c>
      <c r="Q338" s="9" t="b">
        <v>0</v>
      </c>
      <c r="R338" s="9" t="b">
        <v>0</v>
      </c>
      <c r="S338" s="9" t="b">
        <v>0</v>
      </c>
      <c r="T338" s="9">
        <v>0.82</v>
      </c>
      <c r="U338" s="9">
        <v>5</v>
      </c>
      <c r="V338" s="9" t="b">
        <v>0</v>
      </c>
      <c r="W338" s="9" t="s">
        <v>1078</v>
      </c>
    </row>
    <row r="339" spans="1:23" ht="29" customHeight="1" x14ac:dyDescent="0.2">
      <c r="A339" s="9" t="s">
        <v>1079</v>
      </c>
      <c r="B339" s="10" t="s">
        <v>1080</v>
      </c>
      <c r="C339" s="9" t="s">
        <v>44</v>
      </c>
      <c r="D339" s="9" t="s">
        <v>44</v>
      </c>
      <c r="E339" s="9" t="s">
        <v>981</v>
      </c>
      <c r="F339" s="9" t="s">
        <v>986</v>
      </c>
      <c r="G339" s="9">
        <v>8999</v>
      </c>
      <c r="H339" s="9">
        <v>11999</v>
      </c>
      <c r="I339" s="9">
        <v>25</v>
      </c>
      <c r="J339" s="11">
        <v>4</v>
      </c>
      <c r="K339" s="9">
        <v>12796</v>
      </c>
      <c r="L339" s="9">
        <v>4.0192311557013509</v>
      </c>
      <c r="M339" s="9" t="s">
        <v>28</v>
      </c>
      <c r="N339" s="9" t="s">
        <v>144</v>
      </c>
      <c r="O339" s="9">
        <v>17.2</v>
      </c>
      <c r="P339" s="9" t="s">
        <v>40</v>
      </c>
      <c r="Q339" s="9" t="b">
        <v>0</v>
      </c>
      <c r="R339" s="9" t="b">
        <v>0</v>
      </c>
      <c r="S339" s="9" t="b">
        <v>0</v>
      </c>
      <c r="T339" s="9">
        <v>0.67</v>
      </c>
      <c r="U339" s="9">
        <v>3</v>
      </c>
      <c r="V339" s="9" t="b">
        <v>0</v>
      </c>
      <c r="W339" s="9" t="s">
        <v>1081</v>
      </c>
    </row>
    <row r="340" spans="1:23" ht="29" customHeight="1" x14ac:dyDescent="0.2">
      <c r="A340" s="9" t="s">
        <v>1082</v>
      </c>
      <c r="B340" s="10" t="s">
        <v>1083</v>
      </c>
      <c r="C340" s="9" t="s">
        <v>44</v>
      </c>
      <c r="D340" s="9" t="s">
        <v>44</v>
      </c>
      <c r="E340" s="9" t="s">
        <v>981</v>
      </c>
      <c r="F340" s="9" t="s">
        <v>1084</v>
      </c>
      <c r="G340" s="9">
        <v>139</v>
      </c>
      <c r="H340" s="9">
        <v>495</v>
      </c>
      <c r="I340" s="9">
        <v>72</v>
      </c>
      <c r="J340" s="11">
        <v>4.3</v>
      </c>
      <c r="K340" s="9">
        <v>14185</v>
      </c>
      <c r="L340" s="9">
        <v>4.2548510428572683</v>
      </c>
      <c r="M340" s="9" t="s">
        <v>28</v>
      </c>
      <c r="N340" s="9" t="s">
        <v>29</v>
      </c>
      <c r="O340" s="9">
        <v>88.6</v>
      </c>
      <c r="P340" s="9" t="s">
        <v>36</v>
      </c>
      <c r="Q340" s="9" t="b">
        <v>1</v>
      </c>
      <c r="R340" s="9" t="b">
        <v>0</v>
      </c>
      <c r="S340" s="9" t="b">
        <v>0</v>
      </c>
      <c r="U340" s="9">
        <v>2</v>
      </c>
      <c r="V340" s="9" t="b">
        <v>1</v>
      </c>
      <c r="W340" s="9" t="s">
        <v>1085</v>
      </c>
    </row>
    <row r="341" spans="1:23" ht="29" customHeight="1" x14ac:dyDescent="0.2">
      <c r="A341" s="9" t="s">
        <v>1086</v>
      </c>
      <c r="B341" s="10" t="s">
        <v>1087</v>
      </c>
      <c r="C341" s="9" t="s">
        <v>44</v>
      </c>
      <c r="D341" s="9" t="s">
        <v>44</v>
      </c>
      <c r="E341" s="9" t="s">
        <v>981</v>
      </c>
      <c r="F341" s="9" t="s">
        <v>986</v>
      </c>
      <c r="G341" s="9">
        <v>15499</v>
      </c>
      <c r="H341" s="9">
        <v>18999</v>
      </c>
      <c r="I341" s="9">
        <v>18</v>
      </c>
      <c r="J341" s="11">
        <v>4.0999999999999996</v>
      </c>
      <c r="K341" s="9">
        <v>19252</v>
      </c>
      <c r="L341" s="9">
        <v>4.0974880658576467</v>
      </c>
      <c r="M341" s="9" t="s">
        <v>28</v>
      </c>
      <c r="N341" s="9" t="s">
        <v>58</v>
      </c>
      <c r="O341" s="9">
        <v>31.3</v>
      </c>
      <c r="P341" s="9" t="s">
        <v>40</v>
      </c>
      <c r="Q341" s="9" t="b">
        <v>0</v>
      </c>
      <c r="R341" s="9" t="b">
        <v>0</v>
      </c>
      <c r="S341" s="9" t="b">
        <v>0</v>
      </c>
      <c r="T341" s="9">
        <v>1.1499999999999999</v>
      </c>
      <c r="U341" s="9">
        <v>6</v>
      </c>
      <c r="V341" s="9" t="b">
        <v>0</v>
      </c>
      <c r="W341" s="9" t="s">
        <v>1088</v>
      </c>
    </row>
    <row r="342" spans="1:23" ht="29" customHeight="1" x14ac:dyDescent="0.2">
      <c r="A342" s="9" t="s">
        <v>1089</v>
      </c>
      <c r="B342" s="10" t="s">
        <v>1090</v>
      </c>
      <c r="C342" s="9" t="s">
        <v>25</v>
      </c>
      <c r="D342" s="9" t="s">
        <v>25</v>
      </c>
      <c r="E342" s="9" t="s">
        <v>26</v>
      </c>
      <c r="F342" s="9" t="s">
        <v>27</v>
      </c>
      <c r="G342" s="9">
        <v>199</v>
      </c>
      <c r="H342" s="9">
        <v>999</v>
      </c>
      <c r="I342" s="9">
        <v>80</v>
      </c>
      <c r="J342" s="11">
        <v>3.9</v>
      </c>
      <c r="K342" s="9">
        <v>7928</v>
      </c>
      <c r="L342" s="9">
        <v>3.9594233857987948</v>
      </c>
      <c r="M342" s="9" t="s">
        <v>28</v>
      </c>
      <c r="N342" s="9" t="s">
        <v>29</v>
      </c>
      <c r="O342" s="9">
        <v>48.5</v>
      </c>
      <c r="P342" s="9" t="s">
        <v>30</v>
      </c>
      <c r="Q342" s="9" t="b">
        <v>0</v>
      </c>
      <c r="R342" s="9" t="b">
        <v>0</v>
      </c>
      <c r="S342" s="9" t="b">
        <v>0</v>
      </c>
      <c r="T342" s="9">
        <v>0.67</v>
      </c>
      <c r="U342" s="9">
        <v>1</v>
      </c>
      <c r="V342" s="9" t="b">
        <v>1</v>
      </c>
      <c r="W342" s="9" t="s">
        <v>1091</v>
      </c>
    </row>
    <row r="343" spans="1:23" ht="29" customHeight="1" x14ac:dyDescent="0.2">
      <c r="A343" s="9" t="s">
        <v>1092</v>
      </c>
      <c r="B343" s="10" t="s">
        <v>975</v>
      </c>
      <c r="C343" s="9" t="s">
        <v>44</v>
      </c>
      <c r="D343" s="9" t="s">
        <v>44</v>
      </c>
      <c r="E343" s="9" t="s">
        <v>976</v>
      </c>
      <c r="F343" s="9" t="s">
        <v>977</v>
      </c>
      <c r="G343" s="9">
        <v>1799</v>
      </c>
      <c r="H343" s="9">
        <v>19999</v>
      </c>
      <c r="I343" s="9">
        <v>91</v>
      </c>
      <c r="J343" s="11">
        <v>4.2</v>
      </c>
      <c r="K343" s="9">
        <v>13937</v>
      </c>
      <c r="L343" s="9">
        <v>4.1754760920749643</v>
      </c>
      <c r="M343" s="9" t="s">
        <v>28</v>
      </c>
      <c r="N343" s="9" t="s">
        <v>179</v>
      </c>
      <c r="O343" s="9">
        <v>76.7</v>
      </c>
      <c r="P343" s="9" t="s">
        <v>36</v>
      </c>
      <c r="Q343" s="9" t="b">
        <v>0</v>
      </c>
      <c r="R343" s="9" t="b">
        <v>0</v>
      </c>
      <c r="S343" s="9" t="b">
        <v>0</v>
      </c>
      <c r="T343" s="9">
        <v>0.82</v>
      </c>
      <c r="U343" s="9">
        <v>5</v>
      </c>
      <c r="V343" s="9" t="b">
        <v>0</v>
      </c>
      <c r="W343" s="9" t="s">
        <v>1093</v>
      </c>
    </row>
    <row r="344" spans="1:23" ht="29" customHeight="1" x14ac:dyDescent="0.2">
      <c r="A344" s="9" t="s">
        <v>1094</v>
      </c>
      <c r="B344" s="10" t="s">
        <v>1095</v>
      </c>
      <c r="C344" s="9" t="s">
        <v>44</v>
      </c>
      <c r="D344" s="9" t="s">
        <v>44</v>
      </c>
      <c r="E344" s="9" t="s">
        <v>981</v>
      </c>
      <c r="F344" s="9" t="s">
        <v>986</v>
      </c>
      <c r="G344" s="9">
        <v>8999</v>
      </c>
      <c r="H344" s="9">
        <v>11999</v>
      </c>
      <c r="I344" s="9">
        <v>25</v>
      </c>
      <c r="J344" s="11">
        <v>4</v>
      </c>
      <c r="K344" s="9">
        <v>12796</v>
      </c>
      <c r="L344" s="9">
        <v>4.0192311557013509</v>
      </c>
      <c r="M344" s="9" t="s">
        <v>28</v>
      </c>
      <c r="N344" s="9" t="s">
        <v>144</v>
      </c>
      <c r="O344" s="9">
        <v>17.2</v>
      </c>
      <c r="P344" s="9" t="s">
        <v>40</v>
      </c>
      <c r="Q344" s="9" t="b">
        <v>0</v>
      </c>
      <c r="R344" s="9" t="b">
        <v>0</v>
      </c>
      <c r="S344" s="9" t="b">
        <v>0</v>
      </c>
      <c r="T344" s="9">
        <v>0.67</v>
      </c>
      <c r="U344" s="9">
        <v>3</v>
      </c>
      <c r="V344" s="9" t="b">
        <v>0</v>
      </c>
      <c r="W344" s="9" t="s">
        <v>1096</v>
      </c>
    </row>
    <row r="345" spans="1:23" ht="29" customHeight="1" x14ac:dyDescent="0.2">
      <c r="A345" s="9" t="s">
        <v>1097</v>
      </c>
      <c r="B345" s="10" t="s">
        <v>1098</v>
      </c>
      <c r="C345" s="9" t="s">
        <v>44</v>
      </c>
      <c r="D345" s="9" t="s">
        <v>44</v>
      </c>
      <c r="E345" s="9" t="s">
        <v>981</v>
      </c>
      <c r="F345" s="9" t="s">
        <v>1099</v>
      </c>
      <c r="G345" s="9">
        <v>873</v>
      </c>
      <c r="H345" s="9">
        <v>1699</v>
      </c>
      <c r="I345" s="9">
        <v>49</v>
      </c>
      <c r="J345" s="11">
        <v>4.4000000000000004</v>
      </c>
      <c r="K345" s="9">
        <v>1680</v>
      </c>
      <c r="L345" s="9">
        <v>4.1819823778926626</v>
      </c>
      <c r="M345" s="9" t="s">
        <v>28</v>
      </c>
      <c r="N345" s="9" t="s">
        <v>93</v>
      </c>
      <c r="O345" s="9">
        <v>67.900000000000006</v>
      </c>
      <c r="P345" s="9" t="s">
        <v>36</v>
      </c>
      <c r="Q345" s="9" t="b">
        <v>0</v>
      </c>
      <c r="R345" s="9" t="b">
        <v>0</v>
      </c>
      <c r="S345" s="9" t="b">
        <v>0</v>
      </c>
      <c r="U345" s="9">
        <v>1</v>
      </c>
      <c r="V345" s="9" t="b">
        <v>1</v>
      </c>
      <c r="W345" s="9" t="s">
        <v>1100</v>
      </c>
    </row>
    <row r="346" spans="1:23" ht="29" customHeight="1" x14ac:dyDescent="0.2">
      <c r="A346" s="9" t="s">
        <v>1101</v>
      </c>
      <c r="B346" s="10" t="s">
        <v>1102</v>
      </c>
      <c r="C346" s="9" t="s">
        <v>44</v>
      </c>
      <c r="D346" s="9" t="s">
        <v>44</v>
      </c>
      <c r="E346" s="9" t="s">
        <v>981</v>
      </c>
      <c r="F346" s="9" t="s">
        <v>986</v>
      </c>
      <c r="G346" s="9">
        <v>12999</v>
      </c>
      <c r="H346" s="9">
        <v>15999</v>
      </c>
      <c r="I346" s="9">
        <v>19</v>
      </c>
      <c r="J346" s="11">
        <v>4.2</v>
      </c>
      <c r="K346" s="9">
        <v>13246</v>
      </c>
      <c r="L346" s="9">
        <v>4.1744797655102337</v>
      </c>
      <c r="M346" s="9" t="s">
        <v>28</v>
      </c>
      <c r="N346" s="9" t="s">
        <v>58</v>
      </c>
      <c r="O346" s="9">
        <v>41.1</v>
      </c>
      <c r="P346" s="9" t="s">
        <v>30</v>
      </c>
      <c r="Q346" s="9" t="b">
        <v>0</v>
      </c>
      <c r="R346" s="9" t="b">
        <v>0</v>
      </c>
      <c r="S346" s="9" t="b">
        <v>0</v>
      </c>
      <c r="T346" s="9">
        <v>0.96</v>
      </c>
      <c r="U346" s="9">
        <v>1</v>
      </c>
      <c r="V346" s="9" t="b">
        <v>1</v>
      </c>
      <c r="W346" s="9" t="s">
        <v>1103</v>
      </c>
    </row>
    <row r="347" spans="1:23" ht="29" customHeight="1" x14ac:dyDescent="0.2">
      <c r="A347" s="9" t="s">
        <v>1104</v>
      </c>
      <c r="B347" s="10" t="s">
        <v>1105</v>
      </c>
      <c r="C347" s="9" t="s">
        <v>44</v>
      </c>
      <c r="D347" s="9" t="s">
        <v>44</v>
      </c>
      <c r="E347" s="9" t="s">
        <v>981</v>
      </c>
      <c r="F347" s="9" t="s">
        <v>1106</v>
      </c>
      <c r="G347" s="9">
        <v>539</v>
      </c>
      <c r="H347" s="9">
        <v>1599</v>
      </c>
      <c r="I347" s="9">
        <v>66</v>
      </c>
      <c r="J347" s="11">
        <v>3.8</v>
      </c>
      <c r="K347" s="9">
        <v>14648</v>
      </c>
      <c r="L347" s="9">
        <v>3.85817001665793</v>
      </c>
      <c r="M347" s="9" t="s">
        <v>28</v>
      </c>
      <c r="N347" s="9" t="s">
        <v>93</v>
      </c>
      <c r="O347" s="9">
        <v>44.2</v>
      </c>
      <c r="P347" s="9" t="s">
        <v>30</v>
      </c>
      <c r="Q347" s="9" t="b">
        <v>0</v>
      </c>
      <c r="R347" s="9" t="b">
        <v>0</v>
      </c>
      <c r="S347" s="9" t="b">
        <v>1</v>
      </c>
      <c r="U347" s="9">
        <v>1</v>
      </c>
      <c r="V347" s="9" t="b">
        <v>1</v>
      </c>
      <c r="W347" s="9" t="s">
        <v>1107</v>
      </c>
    </row>
    <row r="348" spans="1:23" ht="29" customHeight="1" x14ac:dyDescent="0.2">
      <c r="A348" s="9" t="s">
        <v>1108</v>
      </c>
      <c r="B348" s="10" t="s">
        <v>1109</v>
      </c>
      <c r="C348" s="9" t="s">
        <v>44</v>
      </c>
      <c r="D348" s="9" t="s">
        <v>44</v>
      </c>
      <c r="E348" s="9" t="s">
        <v>976</v>
      </c>
      <c r="F348" s="9" t="s">
        <v>977</v>
      </c>
      <c r="G348" s="9">
        <v>1999</v>
      </c>
      <c r="H348" s="9">
        <v>9999</v>
      </c>
      <c r="I348" s="9">
        <v>80</v>
      </c>
      <c r="J348" s="11">
        <v>4.3</v>
      </c>
      <c r="K348" s="9">
        <v>27696</v>
      </c>
      <c r="L348" s="9">
        <v>4.2742419089174879</v>
      </c>
      <c r="M348" s="9" t="s">
        <v>28</v>
      </c>
      <c r="N348" s="9" t="s">
        <v>179</v>
      </c>
      <c r="O348" s="9">
        <v>82.6</v>
      </c>
      <c r="P348" s="9" t="s">
        <v>36</v>
      </c>
      <c r="Q348" s="9" t="b">
        <v>0</v>
      </c>
      <c r="R348" s="9" t="b">
        <v>0</v>
      </c>
      <c r="S348" s="9" t="b">
        <v>0</v>
      </c>
      <c r="T348" s="9">
        <v>0.91</v>
      </c>
      <c r="U348" s="9">
        <v>3</v>
      </c>
      <c r="V348" s="9" t="b">
        <v>0</v>
      </c>
      <c r="W348" s="9" t="s">
        <v>1110</v>
      </c>
    </row>
    <row r="349" spans="1:23" ht="29" customHeight="1" x14ac:dyDescent="0.2">
      <c r="A349" s="9" t="s">
        <v>1111</v>
      </c>
      <c r="B349" s="10" t="s">
        <v>1112</v>
      </c>
      <c r="C349" s="9" t="s">
        <v>44</v>
      </c>
      <c r="D349" s="9" t="s">
        <v>44</v>
      </c>
      <c r="E349" s="9" t="s">
        <v>981</v>
      </c>
      <c r="F349" s="9" t="s">
        <v>986</v>
      </c>
      <c r="G349" s="9">
        <v>15490</v>
      </c>
      <c r="H349" s="9">
        <v>20990</v>
      </c>
      <c r="I349" s="9">
        <v>26</v>
      </c>
      <c r="J349" s="11">
        <v>4.2</v>
      </c>
      <c r="K349" s="9">
        <v>32916</v>
      </c>
      <c r="L349" s="9">
        <v>4.1881657944485413</v>
      </c>
      <c r="M349" s="9" t="s">
        <v>28</v>
      </c>
      <c r="N349" s="9" t="s">
        <v>58</v>
      </c>
      <c r="O349" s="9">
        <v>45.3</v>
      </c>
      <c r="P349" s="9" t="s">
        <v>30</v>
      </c>
      <c r="Q349" s="9" t="b">
        <v>0</v>
      </c>
      <c r="R349" s="9" t="b">
        <v>0</v>
      </c>
      <c r="S349" s="9" t="b">
        <v>0</v>
      </c>
      <c r="T349" s="9">
        <v>1.1499999999999999</v>
      </c>
      <c r="U349" s="9">
        <v>2</v>
      </c>
      <c r="V349" s="9" t="b">
        <v>1</v>
      </c>
      <c r="W349" s="9" t="s">
        <v>1113</v>
      </c>
    </row>
    <row r="350" spans="1:23" ht="29" customHeight="1" x14ac:dyDescent="0.2">
      <c r="A350" s="9" t="s">
        <v>1114</v>
      </c>
      <c r="B350" s="10" t="s">
        <v>1115</v>
      </c>
      <c r="C350" s="9" t="s">
        <v>44</v>
      </c>
      <c r="D350" s="9" t="s">
        <v>44</v>
      </c>
      <c r="E350" s="9" t="s">
        <v>981</v>
      </c>
      <c r="F350" s="9" t="s">
        <v>986</v>
      </c>
      <c r="G350" s="9">
        <v>19999</v>
      </c>
      <c r="H350" s="9">
        <v>24999</v>
      </c>
      <c r="I350" s="9">
        <v>20</v>
      </c>
      <c r="J350" s="11">
        <v>3.9</v>
      </c>
      <c r="K350" s="9">
        <v>25824</v>
      </c>
      <c r="L350" s="9">
        <v>3.9234799348243561</v>
      </c>
      <c r="M350" s="9" t="s">
        <v>28</v>
      </c>
      <c r="N350" s="9" t="s">
        <v>58</v>
      </c>
      <c r="O350" s="9">
        <v>8.3000000000000007</v>
      </c>
      <c r="P350" s="9" t="s">
        <v>40</v>
      </c>
      <c r="Q350" s="9" t="b">
        <v>0</v>
      </c>
      <c r="R350" s="9" t="b">
        <v>0</v>
      </c>
      <c r="S350" s="9" t="b">
        <v>0</v>
      </c>
      <c r="T350" s="9">
        <v>1.48</v>
      </c>
      <c r="U350" s="9">
        <v>3</v>
      </c>
      <c r="V350" s="9" t="b">
        <v>1</v>
      </c>
      <c r="W350" s="9" t="s">
        <v>1116</v>
      </c>
    </row>
    <row r="351" spans="1:23" ht="29" customHeight="1" x14ac:dyDescent="0.2">
      <c r="A351" s="9" t="s">
        <v>1117</v>
      </c>
      <c r="B351" s="10" t="s">
        <v>1118</v>
      </c>
      <c r="C351" s="9" t="s">
        <v>44</v>
      </c>
      <c r="D351" s="9" t="s">
        <v>44</v>
      </c>
      <c r="E351" s="9" t="s">
        <v>981</v>
      </c>
      <c r="F351" s="9" t="s">
        <v>1044</v>
      </c>
      <c r="G351" s="9">
        <v>1075</v>
      </c>
      <c r="H351" s="9">
        <v>1699</v>
      </c>
      <c r="I351" s="9">
        <v>37</v>
      </c>
      <c r="J351" s="11">
        <v>4.4000000000000004</v>
      </c>
      <c r="K351" s="9">
        <v>7462</v>
      </c>
      <c r="L351" s="9">
        <v>4.2942883060876493</v>
      </c>
      <c r="M351" s="9" t="s">
        <v>28</v>
      </c>
      <c r="N351" s="9" t="s">
        <v>179</v>
      </c>
      <c r="O351" s="9">
        <v>69.7</v>
      </c>
      <c r="P351" s="9" t="s">
        <v>36</v>
      </c>
      <c r="Q351" s="9" t="b">
        <v>0</v>
      </c>
      <c r="R351" s="9" t="b">
        <v>0</v>
      </c>
      <c r="S351" s="9" t="b">
        <v>0</v>
      </c>
      <c r="T351" s="9">
        <v>2.15</v>
      </c>
      <c r="U351" s="9">
        <v>1</v>
      </c>
      <c r="V351" s="9" t="b">
        <v>1</v>
      </c>
      <c r="W351" s="9" t="s">
        <v>1119</v>
      </c>
    </row>
    <row r="352" spans="1:23" ht="29" customHeight="1" x14ac:dyDescent="0.2">
      <c r="A352" s="9" t="s">
        <v>1120</v>
      </c>
      <c r="B352" s="10" t="s">
        <v>1121</v>
      </c>
      <c r="C352" s="9" t="s">
        <v>44</v>
      </c>
      <c r="D352" s="9" t="s">
        <v>44</v>
      </c>
      <c r="E352" s="9" t="s">
        <v>1009</v>
      </c>
      <c r="F352" s="9" t="s">
        <v>1010</v>
      </c>
      <c r="G352" s="9">
        <v>399</v>
      </c>
      <c r="H352" s="9">
        <v>699</v>
      </c>
      <c r="I352" s="9">
        <v>43</v>
      </c>
      <c r="J352" s="11">
        <v>4</v>
      </c>
      <c r="K352" s="9">
        <v>37817</v>
      </c>
      <c r="L352" s="9">
        <v>4.0076585599076662</v>
      </c>
      <c r="M352" s="9" t="s">
        <v>28</v>
      </c>
      <c r="N352" s="9" t="s">
        <v>29</v>
      </c>
      <c r="O352" s="9">
        <v>35.299999999999997</v>
      </c>
      <c r="P352" s="9" t="s">
        <v>40</v>
      </c>
      <c r="Q352" s="9" t="b">
        <v>0</v>
      </c>
      <c r="R352" s="9" t="b">
        <v>0</v>
      </c>
      <c r="S352" s="9" t="b">
        <v>0</v>
      </c>
      <c r="T352" s="9">
        <v>0.42</v>
      </c>
      <c r="U352" s="9">
        <v>1</v>
      </c>
      <c r="V352" s="9" t="b">
        <v>1</v>
      </c>
      <c r="W352" s="9" t="s">
        <v>1122</v>
      </c>
    </row>
    <row r="353" spans="1:23" ht="29" customHeight="1" x14ac:dyDescent="0.2">
      <c r="A353" s="9" t="s">
        <v>1123</v>
      </c>
      <c r="B353" s="10" t="s">
        <v>1124</v>
      </c>
      <c r="C353" s="9" t="s">
        <v>44</v>
      </c>
      <c r="D353" s="9" t="s">
        <v>44</v>
      </c>
      <c r="E353" s="9" t="s">
        <v>976</v>
      </c>
      <c r="F353" s="9" t="s">
        <v>977</v>
      </c>
      <c r="G353" s="9">
        <v>1999</v>
      </c>
      <c r="H353" s="9">
        <v>3990</v>
      </c>
      <c r="I353" s="9">
        <v>50</v>
      </c>
      <c r="J353" s="11">
        <v>4</v>
      </c>
      <c r="K353" s="9">
        <v>30254</v>
      </c>
      <c r="L353" s="9">
        <v>4.0093613126477097</v>
      </c>
      <c r="M353" s="9" t="s">
        <v>28</v>
      </c>
      <c r="N353" s="9" t="s">
        <v>179</v>
      </c>
      <c r="O353" s="9">
        <v>33.4</v>
      </c>
      <c r="P353" s="9" t="s">
        <v>40</v>
      </c>
      <c r="Q353" s="9" t="b">
        <v>0</v>
      </c>
      <c r="R353" s="9" t="b">
        <v>0</v>
      </c>
      <c r="S353" s="9" t="b">
        <v>0</v>
      </c>
      <c r="T353" s="9">
        <v>0.91</v>
      </c>
      <c r="U353" s="9">
        <v>3</v>
      </c>
      <c r="V353" s="9" t="b">
        <v>0</v>
      </c>
      <c r="W353" s="9" t="s">
        <v>1125</v>
      </c>
    </row>
    <row r="354" spans="1:23" ht="29" customHeight="1" x14ac:dyDescent="0.2">
      <c r="A354" s="9" t="s">
        <v>1126</v>
      </c>
      <c r="B354" s="10" t="s">
        <v>1127</v>
      </c>
      <c r="C354" s="9" t="s">
        <v>44</v>
      </c>
      <c r="D354" s="9" t="s">
        <v>44</v>
      </c>
      <c r="E354" s="9" t="s">
        <v>976</v>
      </c>
      <c r="F354" s="9" t="s">
        <v>977</v>
      </c>
      <c r="G354" s="9">
        <v>1999</v>
      </c>
      <c r="H354" s="9">
        <v>7990</v>
      </c>
      <c r="I354" s="9">
        <v>75</v>
      </c>
      <c r="J354" s="11">
        <v>3.8</v>
      </c>
      <c r="K354" s="9">
        <v>17831</v>
      </c>
      <c r="L354" s="9">
        <v>3.8495954380568609</v>
      </c>
      <c r="M354" s="9" t="s">
        <v>28</v>
      </c>
      <c r="N354" s="9" t="s">
        <v>179</v>
      </c>
      <c r="O354" s="9">
        <v>38.700000000000003</v>
      </c>
      <c r="P354" s="9" t="s">
        <v>30</v>
      </c>
      <c r="Q354" s="9" t="b">
        <v>0</v>
      </c>
      <c r="R354" s="9" t="b">
        <v>0</v>
      </c>
      <c r="S354" s="9" t="b">
        <v>1</v>
      </c>
      <c r="T354" s="9">
        <v>0.91</v>
      </c>
      <c r="U354" s="9">
        <v>4</v>
      </c>
      <c r="V354" s="9" t="b">
        <v>0</v>
      </c>
      <c r="W354" s="9" t="s">
        <v>1128</v>
      </c>
    </row>
    <row r="355" spans="1:23" ht="29" customHeight="1" x14ac:dyDescent="0.2">
      <c r="A355" s="9" t="s">
        <v>1129</v>
      </c>
      <c r="B355" s="10" t="s">
        <v>1130</v>
      </c>
      <c r="C355" s="9" t="s">
        <v>25</v>
      </c>
      <c r="D355" s="9" t="s">
        <v>25</v>
      </c>
      <c r="E355" s="9" t="s">
        <v>26</v>
      </c>
      <c r="F355" s="9" t="s">
        <v>27</v>
      </c>
      <c r="G355" s="9">
        <v>154</v>
      </c>
      <c r="H355" s="9">
        <v>399</v>
      </c>
      <c r="I355" s="9">
        <v>61</v>
      </c>
      <c r="J355" s="11">
        <v>4.2</v>
      </c>
      <c r="K355" s="9">
        <v>16905</v>
      </c>
      <c r="L355" s="9">
        <v>4.1789978996821491</v>
      </c>
      <c r="M355" s="9" t="s">
        <v>28</v>
      </c>
      <c r="N355" s="9" t="s">
        <v>29</v>
      </c>
      <c r="O355" s="9">
        <v>74</v>
      </c>
      <c r="P355" s="9" t="s">
        <v>36</v>
      </c>
      <c r="Q355" s="9" t="b">
        <v>0</v>
      </c>
      <c r="R355" s="9" t="b">
        <v>0</v>
      </c>
      <c r="S355" s="9" t="b">
        <v>0</v>
      </c>
      <c r="T355" s="9">
        <v>0.52</v>
      </c>
      <c r="U355" s="9">
        <v>1</v>
      </c>
      <c r="V355" s="9" t="b">
        <v>1</v>
      </c>
      <c r="W355" s="9" t="s">
        <v>1131</v>
      </c>
    </row>
    <row r="356" spans="1:23" ht="29" customHeight="1" x14ac:dyDescent="0.2">
      <c r="A356" s="9" t="s">
        <v>1132</v>
      </c>
      <c r="B356" s="10" t="s">
        <v>1133</v>
      </c>
      <c r="C356" s="9" t="s">
        <v>44</v>
      </c>
      <c r="D356" s="9" t="s">
        <v>44</v>
      </c>
      <c r="E356" s="9" t="s">
        <v>981</v>
      </c>
      <c r="F356" s="9" t="s">
        <v>986</v>
      </c>
      <c r="G356" s="9">
        <v>28999</v>
      </c>
      <c r="H356" s="9">
        <v>34999</v>
      </c>
      <c r="I356" s="9">
        <v>17</v>
      </c>
      <c r="J356" s="11">
        <v>4.4000000000000004</v>
      </c>
      <c r="K356" s="9">
        <v>20311</v>
      </c>
      <c r="L356" s="9">
        <v>4.350710909991518</v>
      </c>
      <c r="M356" s="9" t="s">
        <v>28</v>
      </c>
      <c r="N356" s="9" t="s">
        <v>58</v>
      </c>
      <c r="O356" s="9">
        <v>51.1</v>
      </c>
      <c r="P356" s="9" t="s">
        <v>53</v>
      </c>
      <c r="Q356" s="9" t="b">
        <v>0</v>
      </c>
      <c r="R356" s="9" t="b">
        <v>0</v>
      </c>
      <c r="S356" s="9" t="b">
        <v>0</v>
      </c>
      <c r="T356" s="9">
        <v>2.15</v>
      </c>
      <c r="U356" s="9">
        <v>1</v>
      </c>
      <c r="V356" s="9" t="b">
        <v>1</v>
      </c>
      <c r="W356" s="9" t="s">
        <v>1134</v>
      </c>
    </row>
    <row r="357" spans="1:23" ht="29" customHeight="1" x14ac:dyDescent="0.2">
      <c r="A357" s="9" t="s">
        <v>1135</v>
      </c>
      <c r="B357" s="10" t="s">
        <v>1136</v>
      </c>
      <c r="C357" s="9" t="s">
        <v>44</v>
      </c>
      <c r="D357" s="9" t="s">
        <v>44</v>
      </c>
      <c r="E357" s="9" t="s">
        <v>976</v>
      </c>
      <c r="F357" s="9" t="s">
        <v>977</v>
      </c>
      <c r="G357" s="9">
        <v>2299</v>
      </c>
      <c r="H357" s="9">
        <v>7990</v>
      </c>
      <c r="I357" s="9">
        <v>71</v>
      </c>
      <c r="J357" s="11">
        <v>4.2</v>
      </c>
      <c r="K357" s="9">
        <v>69622</v>
      </c>
      <c r="L357" s="9">
        <v>4.1940851145906954</v>
      </c>
      <c r="M357" s="9" t="s">
        <v>28</v>
      </c>
      <c r="N357" s="9" t="s">
        <v>179</v>
      </c>
      <c r="O357" s="9">
        <v>73.400000000000006</v>
      </c>
      <c r="P357" s="9" t="s">
        <v>36</v>
      </c>
      <c r="Q357" s="9" t="b">
        <v>0</v>
      </c>
      <c r="R357" s="9" t="b">
        <v>0</v>
      </c>
      <c r="S357" s="9" t="b">
        <v>0</v>
      </c>
      <c r="T357" s="9">
        <v>1.05</v>
      </c>
      <c r="U357" s="9">
        <v>1</v>
      </c>
      <c r="V357" s="9" t="b">
        <v>1</v>
      </c>
      <c r="W357" s="9" t="s">
        <v>1137</v>
      </c>
    </row>
    <row r="358" spans="1:23" ht="29" customHeight="1" x14ac:dyDescent="0.2">
      <c r="A358" s="9" t="s">
        <v>1138</v>
      </c>
      <c r="B358" s="10" t="s">
        <v>1139</v>
      </c>
      <c r="C358" s="9" t="s">
        <v>44</v>
      </c>
      <c r="D358" s="9" t="s">
        <v>44</v>
      </c>
      <c r="E358" s="9" t="s">
        <v>1026</v>
      </c>
      <c r="F358" s="9" t="s">
        <v>1027</v>
      </c>
      <c r="G358" s="9">
        <v>1149</v>
      </c>
      <c r="H358" s="9">
        <v>3999</v>
      </c>
      <c r="I358" s="9">
        <v>71</v>
      </c>
      <c r="J358" s="11">
        <v>4.3</v>
      </c>
      <c r="K358" s="9">
        <v>140036</v>
      </c>
      <c r="L358" s="9">
        <v>4.2943649557657473</v>
      </c>
      <c r="M358" s="9" t="s">
        <v>28</v>
      </c>
      <c r="N358" s="9" t="s">
        <v>179</v>
      </c>
      <c r="O358" s="9">
        <v>77.099999999999994</v>
      </c>
      <c r="P358" s="9" t="s">
        <v>36</v>
      </c>
      <c r="Q358" s="9" t="b">
        <v>0</v>
      </c>
      <c r="R358" s="9" t="b">
        <v>0</v>
      </c>
      <c r="S358" s="9" t="b">
        <v>0</v>
      </c>
      <c r="U358" s="9">
        <v>2</v>
      </c>
      <c r="V358" s="9" t="b">
        <v>1</v>
      </c>
      <c r="W358" s="9" t="s">
        <v>1140</v>
      </c>
    </row>
    <row r="359" spans="1:23" ht="29" customHeight="1" x14ac:dyDescent="0.2">
      <c r="A359" s="9" t="s">
        <v>1141</v>
      </c>
      <c r="B359" s="10" t="s">
        <v>1142</v>
      </c>
      <c r="C359" s="9" t="s">
        <v>44</v>
      </c>
      <c r="D359" s="9" t="s">
        <v>44</v>
      </c>
      <c r="E359" s="9" t="s">
        <v>981</v>
      </c>
      <c r="F359" s="9" t="s">
        <v>1044</v>
      </c>
      <c r="G359" s="9">
        <v>529</v>
      </c>
      <c r="H359" s="9">
        <v>1499</v>
      </c>
      <c r="I359" s="9">
        <v>65</v>
      </c>
      <c r="J359" s="11">
        <v>4.0999999999999996</v>
      </c>
      <c r="K359" s="9">
        <v>8599</v>
      </c>
      <c r="L359" s="9">
        <v>4.0953233096048862</v>
      </c>
      <c r="M359" s="9" t="s">
        <v>28</v>
      </c>
      <c r="N359" s="9" t="s">
        <v>93</v>
      </c>
      <c r="O359" s="9">
        <v>66.400000000000006</v>
      </c>
      <c r="P359" s="9" t="s">
        <v>36</v>
      </c>
      <c r="Q359" s="9" t="b">
        <v>0</v>
      </c>
      <c r="R359" s="9" t="b">
        <v>0</v>
      </c>
      <c r="S359" s="9" t="b">
        <v>0</v>
      </c>
      <c r="T359" s="9">
        <v>1.06</v>
      </c>
      <c r="U359" s="9">
        <v>1</v>
      </c>
      <c r="V359" s="9" t="b">
        <v>1</v>
      </c>
      <c r="W359" s="9" t="s">
        <v>1143</v>
      </c>
    </row>
    <row r="360" spans="1:23" ht="29" customHeight="1" x14ac:dyDescent="0.2">
      <c r="A360" s="9" t="s">
        <v>1144</v>
      </c>
      <c r="B360" s="10" t="s">
        <v>1145</v>
      </c>
      <c r="C360" s="9" t="s">
        <v>44</v>
      </c>
      <c r="D360" s="9" t="s">
        <v>44</v>
      </c>
      <c r="E360" s="9" t="s">
        <v>981</v>
      </c>
      <c r="F360" s="9" t="s">
        <v>986</v>
      </c>
      <c r="G360" s="9">
        <v>13999</v>
      </c>
      <c r="H360" s="9">
        <v>19499</v>
      </c>
      <c r="I360" s="9">
        <v>28</v>
      </c>
      <c r="J360" s="11">
        <v>4.0999999999999996</v>
      </c>
      <c r="K360" s="9">
        <v>18998</v>
      </c>
      <c r="L360" s="9">
        <v>4.0974600334650297</v>
      </c>
      <c r="M360" s="9" t="s">
        <v>28</v>
      </c>
      <c r="N360" s="9" t="s">
        <v>58</v>
      </c>
      <c r="O360" s="9">
        <v>34.6</v>
      </c>
      <c r="P360" s="9" t="s">
        <v>40</v>
      </c>
      <c r="Q360" s="9" t="b">
        <v>0</v>
      </c>
      <c r="R360" s="9" t="b">
        <v>0</v>
      </c>
      <c r="S360" s="9" t="b">
        <v>0</v>
      </c>
      <c r="T360" s="9">
        <v>1.04</v>
      </c>
      <c r="U360" s="9">
        <v>8</v>
      </c>
      <c r="V360" s="9" t="b">
        <v>0</v>
      </c>
      <c r="W360" s="9" t="s">
        <v>1146</v>
      </c>
    </row>
    <row r="361" spans="1:23" ht="29" customHeight="1" x14ac:dyDescent="0.2">
      <c r="A361" s="9" t="s">
        <v>1147</v>
      </c>
      <c r="B361" s="10" t="s">
        <v>1148</v>
      </c>
      <c r="C361" s="9" t="s">
        <v>44</v>
      </c>
      <c r="D361" s="9" t="s">
        <v>44</v>
      </c>
      <c r="E361" s="9" t="s">
        <v>1009</v>
      </c>
      <c r="F361" s="9" t="s">
        <v>1010</v>
      </c>
      <c r="G361" s="9">
        <v>379</v>
      </c>
      <c r="H361" s="9">
        <v>999</v>
      </c>
      <c r="I361" s="9">
        <v>62</v>
      </c>
      <c r="J361" s="11">
        <v>4.0999999999999996</v>
      </c>
      <c r="K361" s="9">
        <v>363713</v>
      </c>
      <c r="L361" s="9">
        <v>4.0998426809179964</v>
      </c>
      <c r="M361" s="9" t="s">
        <v>28</v>
      </c>
      <c r="N361" s="9" t="s">
        <v>29</v>
      </c>
      <c r="O361" s="9">
        <v>66.900000000000006</v>
      </c>
      <c r="P361" s="9" t="s">
        <v>36</v>
      </c>
      <c r="Q361" s="9" t="b">
        <v>0</v>
      </c>
      <c r="R361" s="9" t="b">
        <v>0</v>
      </c>
      <c r="S361" s="9" t="b">
        <v>0</v>
      </c>
      <c r="T361" s="9">
        <v>0.4</v>
      </c>
      <c r="U361" s="9">
        <v>3</v>
      </c>
      <c r="V361" s="9" t="b">
        <v>0</v>
      </c>
      <c r="W361" s="9" t="s">
        <v>1149</v>
      </c>
    </row>
    <row r="362" spans="1:23" ht="29" customHeight="1" x14ac:dyDescent="0.2">
      <c r="A362" s="9" t="s">
        <v>1150</v>
      </c>
      <c r="B362" s="10" t="s">
        <v>1151</v>
      </c>
      <c r="C362" s="9" t="s">
        <v>44</v>
      </c>
      <c r="D362" s="9" t="s">
        <v>44</v>
      </c>
      <c r="E362" s="9" t="s">
        <v>981</v>
      </c>
      <c r="F362" s="9" t="s">
        <v>986</v>
      </c>
      <c r="G362" s="9">
        <v>13999</v>
      </c>
      <c r="H362" s="9">
        <v>19999</v>
      </c>
      <c r="I362" s="9">
        <v>30</v>
      </c>
      <c r="J362" s="11">
        <v>4.0999999999999996</v>
      </c>
      <c r="K362" s="9">
        <v>19252</v>
      </c>
      <c r="L362" s="9">
        <v>4.0974880658576467</v>
      </c>
      <c r="M362" s="9" t="s">
        <v>28</v>
      </c>
      <c r="N362" s="9" t="s">
        <v>58</v>
      </c>
      <c r="O362" s="9">
        <v>35.700000000000003</v>
      </c>
      <c r="P362" s="9" t="s">
        <v>40</v>
      </c>
      <c r="Q362" s="9" t="b">
        <v>0</v>
      </c>
      <c r="R362" s="9" t="b">
        <v>0</v>
      </c>
      <c r="S362" s="9" t="b">
        <v>0</v>
      </c>
      <c r="T362" s="9">
        <v>1.04</v>
      </c>
      <c r="U362" s="9">
        <v>6</v>
      </c>
      <c r="V362" s="9" t="b">
        <v>0</v>
      </c>
      <c r="W362" s="9" t="s">
        <v>1152</v>
      </c>
    </row>
    <row r="363" spans="1:23" ht="29" customHeight="1" x14ac:dyDescent="0.2">
      <c r="A363" s="9" t="s">
        <v>1153</v>
      </c>
      <c r="B363" s="10" t="s">
        <v>1154</v>
      </c>
      <c r="C363" s="9" t="s">
        <v>44</v>
      </c>
      <c r="D363" s="9" t="s">
        <v>44</v>
      </c>
      <c r="E363" s="9" t="s">
        <v>976</v>
      </c>
      <c r="F363" s="9" t="s">
        <v>977</v>
      </c>
      <c r="G363" s="9">
        <v>3999</v>
      </c>
      <c r="H363" s="9">
        <v>9999</v>
      </c>
      <c r="I363" s="9">
        <v>60</v>
      </c>
      <c r="J363" s="11">
        <v>4.4000000000000004</v>
      </c>
      <c r="K363" s="9">
        <v>73</v>
      </c>
      <c r="L363" s="9">
        <v>4.0906372289612341</v>
      </c>
      <c r="M363" s="9" t="s">
        <v>204</v>
      </c>
      <c r="N363" s="9" t="s">
        <v>144</v>
      </c>
      <c r="O363" s="9">
        <v>48.6</v>
      </c>
      <c r="P363" s="9" t="s">
        <v>30</v>
      </c>
      <c r="Q363" s="9" t="b">
        <v>0</v>
      </c>
      <c r="R363" s="9" t="b">
        <v>0</v>
      </c>
      <c r="S363" s="9" t="b">
        <v>0</v>
      </c>
      <c r="T363" s="9">
        <v>1.82</v>
      </c>
      <c r="U363" s="9">
        <v>1</v>
      </c>
      <c r="V363" s="9" t="b">
        <v>1</v>
      </c>
      <c r="W363" s="9" t="s">
        <v>1155</v>
      </c>
    </row>
    <row r="364" spans="1:23" ht="29" customHeight="1" x14ac:dyDescent="0.2">
      <c r="A364" s="9" t="s">
        <v>1156</v>
      </c>
      <c r="B364" s="10" t="s">
        <v>1157</v>
      </c>
      <c r="C364" s="9" t="s">
        <v>44</v>
      </c>
      <c r="D364" s="9" t="s">
        <v>44</v>
      </c>
      <c r="E364" s="9" t="s">
        <v>981</v>
      </c>
      <c r="F364" s="9" t="s">
        <v>1158</v>
      </c>
      <c r="G364" s="9">
        <v>99</v>
      </c>
      <c r="H364" s="9">
        <v>499</v>
      </c>
      <c r="I364" s="9">
        <v>80</v>
      </c>
      <c r="J364" s="11">
        <v>4.3</v>
      </c>
      <c r="K364" s="9">
        <v>42641</v>
      </c>
      <c r="L364" s="9">
        <v>4.2825377200357906</v>
      </c>
      <c r="M364" s="9" t="s">
        <v>28</v>
      </c>
      <c r="N364" s="9" t="s">
        <v>29</v>
      </c>
      <c r="O364" s="9">
        <v>93.2</v>
      </c>
      <c r="P364" s="9" t="s">
        <v>36</v>
      </c>
      <c r="Q364" s="9" t="b">
        <v>1</v>
      </c>
      <c r="R364" s="9" t="b">
        <v>0</v>
      </c>
      <c r="S364" s="9" t="b">
        <v>0</v>
      </c>
      <c r="U364" s="9">
        <v>1</v>
      </c>
      <c r="V364" s="9" t="b">
        <v>1</v>
      </c>
      <c r="W364" s="9" t="s">
        <v>1159</v>
      </c>
    </row>
    <row r="365" spans="1:23" ht="29" customHeight="1" x14ac:dyDescent="0.2">
      <c r="A365" s="9" t="s">
        <v>1160</v>
      </c>
      <c r="B365" s="10" t="s">
        <v>1161</v>
      </c>
      <c r="C365" s="9" t="s">
        <v>44</v>
      </c>
      <c r="D365" s="9" t="s">
        <v>44</v>
      </c>
      <c r="E365" s="9" t="s">
        <v>1009</v>
      </c>
      <c r="F365" s="9" t="s">
        <v>1010</v>
      </c>
      <c r="G365" s="9">
        <v>4790</v>
      </c>
      <c r="H365" s="9">
        <v>15990</v>
      </c>
      <c r="I365" s="9">
        <v>70</v>
      </c>
      <c r="J365" s="11">
        <v>4</v>
      </c>
      <c r="K365" s="9">
        <v>4390</v>
      </c>
      <c r="L365" s="9">
        <v>4.039060299500866</v>
      </c>
      <c r="M365" s="9" t="s">
        <v>28</v>
      </c>
      <c r="N365" s="9" t="s">
        <v>144</v>
      </c>
      <c r="O365" s="9">
        <v>39.4</v>
      </c>
      <c r="P365" s="9" t="s">
        <v>30</v>
      </c>
      <c r="Q365" s="9" t="b">
        <v>0</v>
      </c>
      <c r="R365" s="9" t="b">
        <v>0</v>
      </c>
      <c r="S365" s="9" t="b">
        <v>0</v>
      </c>
      <c r="T365" s="9">
        <v>5.05</v>
      </c>
      <c r="U365" s="9">
        <v>1</v>
      </c>
      <c r="V365" s="9" t="b">
        <v>1</v>
      </c>
      <c r="W365" s="9" t="s">
        <v>1162</v>
      </c>
    </row>
    <row r="366" spans="1:23" ht="29" customHeight="1" x14ac:dyDescent="0.2">
      <c r="A366" s="9" t="s">
        <v>1163</v>
      </c>
      <c r="B366" s="10" t="s">
        <v>1164</v>
      </c>
      <c r="C366" s="9" t="s">
        <v>44</v>
      </c>
      <c r="D366" s="9" t="s">
        <v>44</v>
      </c>
      <c r="E366" s="9" t="s">
        <v>981</v>
      </c>
      <c r="F366" s="9" t="s">
        <v>986</v>
      </c>
      <c r="G366" s="9">
        <v>33999</v>
      </c>
      <c r="H366" s="9">
        <v>33999</v>
      </c>
      <c r="I366" s="9">
        <v>0</v>
      </c>
      <c r="J366" s="11">
        <v>4.3</v>
      </c>
      <c r="K366" s="9">
        <v>17415</v>
      </c>
      <c r="L366" s="9">
        <v>4.2617371782165421</v>
      </c>
      <c r="M366" s="9" t="s">
        <v>28</v>
      </c>
      <c r="N366" s="9" t="s">
        <v>58</v>
      </c>
      <c r="O366" s="9">
        <v>44.5</v>
      </c>
      <c r="P366" s="9" t="s">
        <v>30</v>
      </c>
      <c r="Q366" s="9" t="b">
        <v>0</v>
      </c>
      <c r="R366" s="9" t="b">
        <v>0</v>
      </c>
      <c r="S366" s="9" t="b">
        <v>0</v>
      </c>
      <c r="T366" s="9">
        <v>2.52</v>
      </c>
      <c r="U366" s="9">
        <v>3</v>
      </c>
      <c r="V366" s="9" t="b">
        <v>0</v>
      </c>
      <c r="W366" s="9" t="s">
        <v>1165</v>
      </c>
    </row>
    <row r="367" spans="1:23" ht="29" customHeight="1" x14ac:dyDescent="0.2">
      <c r="A367" s="9" t="s">
        <v>1166</v>
      </c>
      <c r="B367" s="10" t="s">
        <v>1167</v>
      </c>
      <c r="C367" s="9" t="s">
        <v>25</v>
      </c>
      <c r="D367" s="9" t="s">
        <v>25</v>
      </c>
      <c r="E367" s="9" t="s">
        <v>26</v>
      </c>
      <c r="F367" s="9" t="s">
        <v>1168</v>
      </c>
      <c r="G367" s="9">
        <v>99</v>
      </c>
      <c r="H367" s="9">
        <v>999</v>
      </c>
      <c r="I367" s="9">
        <v>90</v>
      </c>
      <c r="J367" s="11">
        <v>4</v>
      </c>
      <c r="K367" s="9">
        <v>1396</v>
      </c>
      <c r="L367" s="9">
        <v>4.061730947306545</v>
      </c>
      <c r="M367" s="9" t="s">
        <v>28</v>
      </c>
      <c r="N367" s="9" t="s">
        <v>29</v>
      </c>
      <c r="O367" s="9">
        <v>61.8</v>
      </c>
      <c r="P367" s="9" t="s">
        <v>36</v>
      </c>
      <c r="Q367" s="9" t="b">
        <v>0</v>
      </c>
      <c r="R367" s="9" t="b">
        <v>0</v>
      </c>
      <c r="S367" s="9" t="b">
        <v>0</v>
      </c>
      <c r="U367" s="9">
        <v>1</v>
      </c>
      <c r="V367" s="9" t="b">
        <v>1</v>
      </c>
      <c r="W367" s="9" t="s">
        <v>1169</v>
      </c>
    </row>
    <row r="368" spans="1:23" ht="29" customHeight="1" x14ac:dyDescent="0.2">
      <c r="A368" s="9" t="s">
        <v>1170</v>
      </c>
      <c r="B368" s="10" t="s">
        <v>1171</v>
      </c>
      <c r="C368" s="9" t="s">
        <v>44</v>
      </c>
      <c r="D368" s="9" t="s">
        <v>44</v>
      </c>
      <c r="E368" s="9" t="s">
        <v>1009</v>
      </c>
      <c r="F368" s="9" t="s">
        <v>1010</v>
      </c>
      <c r="G368" s="9">
        <v>299</v>
      </c>
      <c r="H368" s="9">
        <v>1900</v>
      </c>
      <c r="I368" s="9">
        <v>84</v>
      </c>
      <c r="J368" s="11">
        <v>3.6</v>
      </c>
      <c r="K368" s="9">
        <v>18202</v>
      </c>
      <c r="L368" s="9">
        <v>3.6830175552223281</v>
      </c>
      <c r="M368" s="9" t="s">
        <v>28</v>
      </c>
      <c r="N368" s="9" t="s">
        <v>29</v>
      </c>
      <c r="O368" s="9">
        <v>47</v>
      </c>
      <c r="P368" s="9" t="s">
        <v>30</v>
      </c>
      <c r="Q368" s="9" t="b">
        <v>0</v>
      </c>
      <c r="R368" s="9" t="b">
        <v>0</v>
      </c>
      <c r="S368" s="9" t="b">
        <v>1</v>
      </c>
      <c r="T368" s="9">
        <v>0.32</v>
      </c>
      <c r="U368" s="9">
        <v>1</v>
      </c>
      <c r="V368" s="9" t="b">
        <v>1</v>
      </c>
      <c r="W368" s="9" t="s">
        <v>1172</v>
      </c>
    </row>
    <row r="369" spans="1:23" ht="29" customHeight="1" x14ac:dyDescent="0.2">
      <c r="A369" s="9" t="s">
        <v>1173</v>
      </c>
      <c r="B369" s="10" t="s">
        <v>1174</v>
      </c>
      <c r="C369" s="9" t="s">
        <v>44</v>
      </c>
      <c r="D369" s="9" t="s">
        <v>44</v>
      </c>
      <c r="E369" s="9" t="s">
        <v>981</v>
      </c>
      <c r="F369" s="9" t="s">
        <v>986</v>
      </c>
      <c r="G369" s="9">
        <v>10999</v>
      </c>
      <c r="H369" s="9">
        <v>14999</v>
      </c>
      <c r="I369" s="9">
        <v>27</v>
      </c>
      <c r="J369" s="11">
        <v>4.0999999999999996</v>
      </c>
      <c r="K369" s="9">
        <v>18998</v>
      </c>
      <c r="L369" s="9">
        <v>4.0974600334650297</v>
      </c>
      <c r="M369" s="9" t="s">
        <v>28</v>
      </c>
      <c r="N369" s="9" t="s">
        <v>58</v>
      </c>
      <c r="O369" s="9">
        <v>34.700000000000003</v>
      </c>
      <c r="P369" s="9" t="s">
        <v>40</v>
      </c>
      <c r="Q369" s="9" t="b">
        <v>0</v>
      </c>
      <c r="R369" s="9" t="b">
        <v>0</v>
      </c>
      <c r="S369" s="9" t="b">
        <v>0</v>
      </c>
      <c r="T369" s="9">
        <v>0.81</v>
      </c>
      <c r="U369" s="9">
        <v>8</v>
      </c>
      <c r="V369" s="9" t="b">
        <v>0</v>
      </c>
      <c r="W369" s="9" t="s">
        <v>1175</v>
      </c>
    </row>
    <row r="370" spans="1:23" ht="29" customHeight="1" x14ac:dyDescent="0.2">
      <c r="A370" s="9" t="s">
        <v>1176</v>
      </c>
      <c r="B370" s="10" t="s">
        <v>1177</v>
      </c>
      <c r="C370" s="9" t="s">
        <v>44</v>
      </c>
      <c r="D370" s="9" t="s">
        <v>44</v>
      </c>
      <c r="E370" s="9" t="s">
        <v>981</v>
      </c>
      <c r="F370" s="9" t="s">
        <v>986</v>
      </c>
      <c r="G370" s="9">
        <v>34999</v>
      </c>
      <c r="H370" s="9">
        <v>38999</v>
      </c>
      <c r="I370" s="9">
        <v>10</v>
      </c>
      <c r="J370" s="11">
        <v>4.2</v>
      </c>
      <c r="K370" s="9">
        <v>11029</v>
      </c>
      <c r="L370" s="9">
        <v>4.1706547065328614</v>
      </c>
      <c r="M370" s="9" t="s">
        <v>28</v>
      </c>
      <c r="N370" s="9" t="s">
        <v>58</v>
      </c>
      <c r="O370" s="9">
        <v>37.200000000000003</v>
      </c>
      <c r="P370" s="9" t="s">
        <v>40</v>
      </c>
      <c r="Q370" s="9" t="b">
        <v>0</v>
      </c>
      <c r="R370" s="9" t="b">
        <v>0</v>
      </c>
      <c r="S370" s="9" t="b">
        <v>0</v>
      </c>
      <c r="T370" s="9">
        <v>2.59</v>
      </c>
      <c r="U370" s="9">
        <v>1</v>
      </c>
      <c r="V370" s="9" t="b">
        <v>1</v>
      </c>
      <c r="W370" s="9" t="s">
        <v>1178</v>
      </c>
    </row>
    <row r="371" spans="1:23" ht="29" customHeight="1" x14ac:dyDescent="0.2">
      <c r="A371" s="9" t="s">
        <v>1179</v>
      </c>
      <c r="B371" s="10" t="s">
        <v>1061</v>
      </c>
      <c r="C371" s="9" t="s">
        <v>44</v>
      </c>
      <c r="D371" s="9" t="s">
        <v>44</v>
      </c>
      <c r="E371" s="9" t="s">
        <v>981</v>
      </c>
      <c r="F371" s="9" t="s">
        <v>986</v>
      </c>
      <c r="G371" s="9">
        <v>16999</v>
      </c>
      <c r="H371" s="9">
        <v>24999</v>
      </c>
      <c r="I371" s="9">
        <v>32</v>
      </c>
      <c r="J371" s="11">
        <v>4.0999999999999996</v>
      </c>
      <c r="K371" s="9">
        <v>22318</v>
      </c>
      <c r="L371" s="9">
        <v>4.0977833665643226</v>
      </c>
      <c r="M371" s="9" t="s">
        <v>28</v>
      </c>
      <c r="N371" s="9" t="s">
        <v>58</v>
      </c>
      <c r="O371" s="9">
        <v>36</v>
      </c>
      <c r="P371" s="9" t="s">
        <v>40</v>
      </c>
      <c r="Q371" s="9" t="b">
        <v>0</v>
      </c>
      <c r="R371" s="9" t="b">
        <v>0</v>
      </c>
      <c r="S371" s="9" t="b">
        <v>0</v>
      </c>
      <c r="T371" s="9">
        <v>1.26</v>
      </c>
      <c r="U371" s="9">
        <v>3</v>
      </c>
      <c r="V371" s="9" t="b">
        <v>0</v>
      </c>
      <c r="W371" s="9" t="s">
        <v>1180</v>
      </c>
    </row>
    <row r="372" spans="1:23" ht="29" customHeight="1" x14ac:dyDescent="0.2">
      <c r="A372" s="9" t="s">
        <v>1181</v>
      </c>
      <c r="B372" s="10" t="s">
        <v>1182</v>
      </c>
      <c r="C372" s="9" t="s">
        <v>44</v>
      </c>
      <c r="D372" s="9" t="s">
        <v>44</v>
      </c>
      <c r="E372" s="9" t="s">
        <v>981</v>
      </c>
      <c r="F372" s="9" t="s">
        <v>1158</v>
      </c>
      <c r="G372" s="9">
        <v>199</v>
      </c>
      <c r="H372" s="9">
        <v>499</v>
      </c>
      <c r="I372" s="9">
        <v>60</v>
      </c>
      <c r="J372" s="11">
        <v>4.0999999999999996</v>
      </c>
      <c r="K372" s="9">
        <v>1786</v>
      </c>
      <c r="L372" s="9">
        <v>4.0895808041237842</v>
      </c>
      <c r="M372" s="9" t="s">
        <v>28</v>
      </c>
      <c r="N372" s="9" t="s">
        <v>29</v>
      </c>
      <c r="O372" s="9">
        <v>62.8</v>
      </c>
      <c r="P372" s="9" t="s">
        <v>36</v>
      </c>
      <c r="Q372" s="9" t="b">
        <v>0</v>
      </c>
      <c r="R372" s="9" t="b">
        <v>0</v>
      </c>
      <c r="S372" s="9" t="b">
        <v>0</v>
      </c>
      <c r="U372" s="9">
        <v>1</v>
      </c>
      <c r="V372" s="9" t="b">
        <v>1</v>
      </c>
      <c r="W372" s="9" t="s">
        <v>1183</v>
      </c>
    </row>
    <row r="373" spans="1:23" ht="29" customHeight="1" x14ac:dyDescent="0.2">
      <c r="A373" s="9" t="s">
        <v>1184</v>
      </c>
      <c r="B373" s="10" t="s">
        <v>1185</v>
      </c>
      <c r="C373" s="9" t="s">
        <v>44</v>
      </c>
      <c r="D373" s="9" t="s">
        <v>44</v>
      </c>
      <c r="E373" s="9" t="s">
        <v>981</v>
      </c>
      <c r="F373" s="9" t="s">
        <v>982</v>
      </c>
      <c r="G373" s="9">
        <v>999</v>
      </c>
      <c r="H373" s="9">
        <v>1599</v>
      </c>
      <c r="I373" s="9">
        <v>38</v>
      </c>
      <c r="J373" s="11">
        <v>4</v>
      </c>
      <c r="K373" s="9">
        <v>7222</v>
      </c>
      <c r="L373" s="9">
        <v>4.028989857679532</v>
      </c>
      <c r="M373" s="9" t="s">
        <v>28</v>
      </c>
      <c r="N373" s="9" t="s">
        <v>93</v>
      </c>
      <c r="O373" s="9">
        <v>36</v>
      </c>
      <c r="P373" s="9" t="s">
        <v>40</v>
      </c>
      <c r="Q373" s="9" t="b">
        <v>0</v>
      </c>
      <c r="R373" s="9" t="b">
        <v>0</v>
      </c>
      <c r="S373" s="9" t="b">
        <v>0</v>
      </c>
      <c r="U373" s="9">
        <v>2</v>
      </c>
      <c r="V373" s="9" t="b">
        <v>1</v>
      </c>
      <c r="W373" s="9" t="s">
        <v>1186</v>
      </c>
    </row>
    <row r="374" spans="1:23" ht="29" customHeight="1" x14ac:dyDescent="0.2">
      <c r="A374" s="9" t="s">
        <v>1187</v>
      </c>
      <c r="B374" s="10" t="s">
        <v>1188</v>
      </c>
      <c r="C374" s="9" t="s">
        <v>44</v>
      </c>
      <c r="D374" s="9" t="s">
        <v>44</v>
      </c>
      <c r="E374" s="9" t="s">
        <v>981</v>
      </c>
      <c r="F374" s="9" t="s">
        <v>1005</v>
      </c>
      <c r="G374" s="9">
        <v>1299</v>
      </c>
      <c r="H374" s="9">
        <v>1599</v>
      </c>
      <c r="I374" s="9">
        <v>19</v>
      </c>
      <c r="J374" s="11">
        <v>4</v>
      </c>
      <c r="K374" s="9">
        <v>128311</v>
      </c>
      <c r="L374" s="9">
        <v>4.0024110748309152</v>
      </c>
      <c r="M374" s="9" t="s">
        <v>28</v>
      </c>
      <c r="N374" s="9" t="s">
        <v>179</v>
      </c>
      <c r="O374" s="9">
        <v>23.9</v>
      </c>
      <c r="P374" s="9" t="s">
        <v>40</v>
      </c>
      <c r="Q374" s="9" t="b">
        <v>0</v>
      </c>
      <c r="R374" s="9" t="b">
        <v>0</v>
      </c>
      <c r="S374" s="9" t="b">
        <v>0</v>
      </c>
      <c r="U374" s="9">
        <v>4</v>
      </c>
      <c r="V374" s="9" t="b">
        <v>0</v>
      </c>
      <c r="W374" s="9" t="s">
        <v>1189</v>
      </c>
    </row>
    <row r="375" spans="1:23" ht="29" customHeight="1" x14ac:dyDescent="0.2">
      <c r="A375" s="9" t="s">
        <v>1190</v>
      </c>
      <c r="B375" s="10" t="s">
        <v>1191</v>
      </c>
      <c r="C375" s="9" t="s">
        <v>44</v>
      </c>
      <c r="D375" s="9" t="s">
        <v>44</v>
      </c>
      <c r="E375" s="9" t="s">
        <v>1009</v>
      </c>
      <c r="F375" s="9" t="s">
        <v>1010</v>
      </c>
      <c r="G375" s="9">
        <v>599</v>
      </c>
      <c r="H375" s="9">
        <v>1800</v>
      </c>
      <c r="I375" s="9">
        <v>67</v>
      </c>
      <c r="J375" s="11">
        <v>3.5</v>
      </c>
      <c r="K375" s="9">
        <v>83996</v>
      </c>
      <c r="L375" s="9">
        <v>3.525065253983156</v>
      </c>
      <c r="M375" s="9" t="s">
        <v>28</v>
      </c>
      <c r="N375" s="9" t="s">
        <v>93</v>
      </c>
      <c r="O375" s="9">
        <v>37.6</v>
      </c>
      <c r="P375" s="9" t="s">
        <v>40</v>
      </c>
      <c r="Q375" s="9" t="b">
        <v>0</v>
      </c>
      <c r="R375" s="9" t="b">
        <v>0</v>
      </c>
      <c r="S375" s="9" t="b">
        <v>1</v>
      </c>
      <c r="T375" s="9">
        <v>0.63</v>
      </c>
      <c r="U375" s="9">
        <v>1</v>
      </c>
      <c r="V375" s="9" t="b">
        <v>1</v>
      </c>
      <c r="W375" s="9" t="s">
        <v>1192</v>
      </c>
    </row>
    <row r="376" spans="1:23" ht="29" customHeight="1" x14ac:dyDescent="0.2">
      <c r="A376" s="9" t="s">
        <v>1193</v>
      </c>
      <c r="B376" s="10" t="s">
        <v>1194</v>
      </c>
      <c r="C376" s="9" t="s">
        <v>44</v>
      </c>
      <c r="D376" s="9" t="s">
        <v>44</v>
      </c>
      <c r="E376" s="9" t="s">
        <v>1026</v>
      </c>
      <c r="F376" s="9" t="s">
        <v>1027</v>
      </c>
      <c r="G376" s="9">
        <v>599</v>
      </c>
      <c r="H376" s="9">
        <v>1899</v>
      </c>
      <c r="I376" s="9">
        <v>68</v>
      </c>
      <c r="J376" s="11">
        <v>4.3</v>
      </c>
      <c r="K376" s="9">
        <v>140036</v>
      </c>
      <c r="L376" s="9">
        <v>4.2943649557657473</v>
      </c>
      <c r="M376" s="9" t="s">
        <v>28</v>
      </c>
      <c r="N376" s="9" t="s">
        <v>93</v>
      </c>
      <c r="O376" s="9">
        <v>81.2</v>
      </c>
      <c r="P376" s="9" t="s">
        <v>36</v>
      </c>
      <c r="Q376" s="9" t="b">
        <v>0</v>
      </c>
      <c r="R376" s="9" t="b">
        <v>0</v>
      </c>
      <c r="S376" s="9" t="b">
        <v>0</v>
      </c>
      <c r="U376" s="9">
        <v>2</v>
      </c>
      <c r="V376" s="9" t="b">
        <v>0</v>
      </c>
      <c r="W376" s="9" t="s">
        <v>1195</v>
      </c>
    </row>
    <row r="377" spans="1:23" ht="29" customHeight="1" x14ac:dyDescent="0.2">
      <c r="A377" s="9" t="s">
        <v>1196</v>
      </c>
      <c r="B377" s="10" t="s">
        <v>1197</v>
      </c>
      <c r="C377" s="9" t="s">
        <v>44</v>
      </c>
      <c r="D377" s="9" t="s">
        <v>44</v>
      </c>
      <c r="E377" s="9" t="s">
        <v>981</v>
      </c>
      <c r="F377" s="9" t="s">
        <v>982</v>
      </c>
      <c r="G377" s="9">
        <v>1799</v>
      </c>
      <c r="H377" s="9">
        <v>2499</v>
      </c>
      <c r="I377" s="9">
        <v>28</v>
      </c>
      <c r="J377" s="11">
        <v>4.0999999999999996</v>
      </c>
      <c r="K377" s="9">
        <v>18678</v>
      </c>
      <c r="L377" s="9">
        <v>4.0974238137154169</v>
      </c>
      <c r="M377" s="9" t="s">
        <v>28</v>
      </c>
      <c r="N377" s="9" t="s">
        <v>179</v>
      </c>
      <c r="O377" s="9">
        <v>43.7</v>
      </c>
      <c r="P377" s="9" t="s">
        <v>30</v>
      </c>
      <c r="Q377" s="9" t="b">
        <v>0</v>
      </c>
      <c r="R377" s="9" t="b">
        <v>0</v>
      </c>
      <c r="S377" s="9" t="b">
        <v>0</v>
      </c>
      <c r="U377" s="9">
        <v>1</v>
      </c>
      <c r="V377" s="9" t="b">
        <v>1</v>
      </c>
      <c r="W377" s="9" t="s">
        <v>1198</v>
      </c>
    </row>
    <row r="378" spans="1:23" ht="29" customHeight="1" x14ac:dyDescent="0.2">
      <c r="A378" s="9" t="s">
        <v>1199</v>
      </c>
      <c r="B378" s="10" t="s">
        <v>1200</v>
      </c>
      <c r="C378" s="9" t="s">
        <v>44</v>
      </c>
      <c r="D378" s="9" t="s">
        <v>44</v>
      </c>
      <c r="E378" s="9" t="s">
        <v>981</v>
      </c>
      <c r="F378" s="9" t="s">
        <v>986</v>
      </c>
      <c r="G378" s="9">
        <v>10999</v>
      </c>
      <c r="H378" s="9">
        <v>14999</v>
      </c>
      <c r="I378" s="9">
        <v>27</v>
      </c>
      <c r="J378" s="11">
        <v>4.0999999999999996</v>
      </c>
      <c r="K378" s="9">
        <v>18998</v>
      </c>
      <c r="L378" s="9">
        <v>4.0974600334650297</v>
      </c>
      <c r="M378" s="9" t="s">
        <v>28</v>
      </c>
      <c r="N378" s="9" t="s">
        <v>58</v>
      </c>
      <c r="O378" s="9">
        <v>34.700000000000003</v>
      </c>
      <c r="P378" s="9" t="s">
        <v>40</v>
      </c>
      <c r="Q378" s="9" t="b">
        <v>0</v>
      </c>
      <c r="R378" s="9" t="b">
        <v>0</v>
      </c>
      <c r="S378" s="9" t="b">
        <v>0</v>
      </c>
      <c r="T378" s="9">
        <v>0.81</v>
      </c>
      <c r="U378" s="9">
        <v>8</v>
      </c>
      <c r="V378" s="9" t="b">
        <v>0</v>
      </c>
      <c r="W378" s="9" t="s">
        <v>1201</v>
      </c>
    </row>
    <row r="379" spans="1:23" ht="29" customHeight="1" x14ac:dyDescent="0.2">
      <c r="A379" s="9" t="s">
        <v>1202</v>
      </c>
      <c r="B379" s="10" t="s">
        <v>1203</v>
      </c>
      <c r="C379" s="9" t="s">
        <v>44</v>
      </c>
      <c r="D379" s="9" t="s">
        <v>44</v>
      </c>
      <c r="E379" s="9" t="s">
        <v>976</v>
      </c>
      <c r="F379" s="9" t="s">
        <v>977</v>
      </c>
      <c r="G379" s="9">
        <v>2999</v>
      </c>
      <c r="H379" s="9">
        <v>7990</v>
      </c>
      <c r="I379" s="9">
        <v>62</v>
      </c>
      <c r="J379" s="11">
        <v>4.0999999999999996</v>
      </c>
      <c r="K379" s="9">
        <v>48449</v>
      </c>
      <c r="L379" s="9">
        <v>4.0988927552681078</v>
      </c>
      <c r="M379" s="9" t="s">
        <v>28</v>
      </c>
      <c r="N379" s="9" t="s">
        <v>144</v>
      </c>
      <c r="O379" s="9">
        <v>56.6</v>
      </c>
      <c r="P379" s="9" t="s">
        <v>53</v>
      </c>
      <c r="Q379" s="9" t="b">
        <v>0</v>
      </c>
      <c r="R379" s="9" t="b">
        <v>0</v>
      </c>
      <c r="S379" s="9" t="b">
        <v>0</v>
      </c>
      <c r="T379" s="9">
        <v>1.36</v>
      </c>
      <c r="U379" s="9">
        <v>1</v>
      </c>
      <c r="V379" s="9" t="b">
        <v>1</v>
      </c>
      <c r="W379" s="9" t="s">
        <v>1204</v>
      </c>
    </row>
    <row r="380" spans="1:23" ht="29" customHeight="1" x14ac:dyDescent="0.2">
      <c r="A380" s="9" t="s">
        <v>1205</v>
      </c>
      <c r="B380" s="10" t="s">
        <v>1206</v>
      </c>
      <c r="C380" s="9" t="s">
        <v>44</v>
      </c>
      <c r="D380" s="9" t="s">
        <v>44</v>
      </c>
      <c r="E380" s="9" t="s">
        <v>976</v>
      </c>
      <c r="F380" s="9" t="s">
        <v>977</v>
      </c>
      <c r="G380" s="9">
        <v>1999</v>
      </c>
      <c r="H380" s="9">
        <v>7990</v>
      </c>
      <c r="I380" s="9">
        <v>75</v>
      </c>
      <c r="J380" s="11">
        <v>3.8</v>
      </c>
      <c r="K380" s="9">
        <v>17831</v>
      </c>
      <c r="L380" s="9">
        <v>3.8495954380568609</v>
      </c>
      <c r="M380" s="9" t="s">
        <v>28</v>
      </c>
      <c r="N380" s="9" t="s">
        <v>179</v>
      </c>
      <c r="O380" s="9">
        <v>38.700000000000003</v>
      </c>
      <c r="P380" s="9" t="s">
        <v>30</v>
      </c>
      <c r="Q380" s="9" t="b">
        <v>0</v>
      </c>
      <c r="R380" s="9" t="b">
        <v>0</v>
      </c>
      <c r="S380" s="9" t="b">
        <v>1</v>
      </c>
      <c r="T380" s="9">
        <v>0.91</v>
      </c>
      <c r="U380" s="9">
        <v>4</v>
      </c>
      <c r="V380" s="9" t="b">
        <v>0</v>
      </c>
      <c r="W380" s="9" t="s">
        <v>1207</v>
      </c>
    </row>
    <row r="381" spans="1:23" ht="29" customHeight="1" x14ac:dyDescent="0.2">
      <c r="A381" s="9" t="s">
        <v>1208</v>
      </c>
      <c r="B381" s="10" t="s">
        <v>1209</v>
      </c>
      <c r="C381" s="9" t="s">
        <v>44</v>
      </c>
      <c r="D381" s="9" t="s">
        <v>44</v>
      </c>
      <c r="E381" s="9" t="s">
        <v>981</v>
      </c>
      <c r="F381" s="9" t="s">
        <v>1044</v>
      </c>
      <c r="G381" s="9">
        <v>649</v>
      </c>
      <c r="H381" s="9">
        <v>999</v>
      </c>
      <c r="I381" s="9">
        <v>35</v>
      </c>
      <c r="J381" s="11">
        <v>4.2</v>
      </c>
      <c r="K381" s="9">
        <v>1315</v>
      </c>
      <c r="L381" s="9">
        <v>4.1145128688686983</v>
      </c>
      <c r="M381" s="9" t="s">
        <v>28</v>
      </c>
      <c r="N381" s="9" t="s">
        <v>93</v>
      </c>
      <c r="O381" s="9">
        <v>56.3</v>
      </c>
      <c r="P381" s="9" t="s">
        <v>53</v>
      </c>
      <c r="Q381" s="9" t="b">
        <v>0</v>
      </c>
      <c r="R381" s="9" t="b">
        <v>0</v>
      </c>
      <c r="S381" s="9" t="b">
        <v>0</v>
      </c>
      <c r="T381" s="9">
        <v>1.3</v>
      </c>
      <c r="U381" s="9">
        <v>1</v>
      </c>
      <c r="V381" s="9" t="b">
        <v>1</v>
      </c>
      <c r="W381" s="9" t="s">
        <v>1210</v>
      </c>
    </row>
    <row r="382" spans="1:23" ht="29" customHeight="1" x14ac:dyDescent="0.2">
      <c r="A382" s="9" t="s">
        <v>1211</v>
      </c>
      <c r="B382" s="10" t="s">
        <v>1145</v>
      </c>
      <c r="C382" s="9" t="s">
        <v>44</v>
      </c>
      <c r="D382" s="9" t="s">
        <v>44</v>
      </c>
      <c r="E382" s="9" t="s">
        <v>981</v>
      </c>
      <c r="F382" s="9" t="s">
        <v>986</v>
      </c>
      <c r="G382" s="9">
        <v>13999</v>
      </c>
      <c r="H382" s="9">
        <v>19499</v>
      </c>
      <c r="I382" s="9">
        <v>28</v>
      </c>
      <c r="J382" s="11">
        <v>4.0999999999999996</v>
      </c>
      <c r="K382" s="9">
        <v>18998</v>
      </c>
      <c r="L382" s="9">
        <v>4.0974600334650297</v>
      </c>
      <c r="M382" s="9" t="s">
        <v>28</v>
      </c>
      <c r="N382" s="9" t="s">
        <v>58</v>
      </c>
      <c r="O382" s="9">
        <v>34.6</v>
      </c>
      <c r="P382" s="9" t="s">
        <v>40</v>
      </c>
      <c r="Q382" s="9" t="b">
        <v>0</v>
      </c>
      <c r="R382" s="9" t="b">
        <v>0</v>
      </c>
      <c r="S382" s="9" t="b">
        <v>0</v>
      </c>
      <c r="T382" s="9">
        <v>1.04</v>
      </c>
      <c r="U382" s="9">
        <v>8</v>
      </c>
      <c r="V382" s="9" t="b">
        <v>0</v>
      </c>
      <c r="W382" s="9" t="s">
        <v>1212</v>
      </c>
    </row>
    <row r="383" spans="1:23" ht="29" customHeight="1" x14ac:dyDescent="0.2">
      <c r="A383" s="9" t="s">
        <v>1213</v>
      </c>
      <c r="B383" s="10" t="s">
        <v>1214</v>
      </c>
      <c r="C383" s="9" t="s">
        <v>44</v>
      </c>
      <c r="D383" s="9" t="s">
        <v>44</v>
      </c>
      <c r="E383" s="9" t="s">
        <v>981</v>
      </c>
      <c r="F383" s="9" t="s">
        <v>986</v>
      </c>
      <c r="G383" s="9">
        <v>12999</v>
      </c>
      <c r="H383" s="9">
        <v>17999</v>
      </c>
      <c r="I383" s="9">
        <v>28</v>
      </c>
      <c r="J383" s="11">
        <v>4.0999999999999996</v>
      </c>
      <c r="K383" s="9">
        <v>50772</v>
      </c>
      <c r="L383" s="9">
        <v>4.0989399204481716</v>
      </c>
      <c r="M383" s="9" t="s">
        <v>28</v>
      </c>
      <c r="N383" s="9" t="s">
        <v>58</v>
      </c>
      <c r="O383" s="9">
        <v>36.200000000000003</v>
      </c>
      <c r="P383" s="9" t="s">
        <v>40</v>
      </c>
      <c r="Q383" s="9" t="b">
        <v>0</v>
      </c>
      <c r="R383" s="9" t="b">
        <v>0</v>
      </c>
      <c r="S383" s="9" t="b">
        <v>0</v>
      </c>
      <c r="T383" s="9">
        <v>0.96</v>
      </c>
      <c r="U383" s="9">
        <v>4</v>
      </c>
      <c r="V383" s="9" t="b">
        <v>1</v>
      </c>
      <c r="W383" s="9" t="s">
        <v>1215</v>
      </c>
    </row>
    <row r="384" spans="1:23" ht="29" customHeight="1" x14ac:dyDescent="0.2">
      <c r="A384" s="9" t="s">
        <v>1216</v>
      </c>
      <c r="B384" s="10" t="s">
        <v>1217</v>
      </c>
      <c r="C384" s="9" t="s">
        <v>44</v>
      </c>
      <c r="D384" s="9" t="s">
        <v>44</v>
      </c>
      <c r="E384" s="9" t="s">
        <v>981</v>
      </c>
      <c r="F384" s="9" t="s">
        <v>986</v>
      </c>
      <c r="G384" s="9">
        <v>20999</v>
      </c>
      <c r="H384" s="9">
        <v>26999</v>
      </c>
      <c r="I384" s="9">
        <v>22</v>
      </c>
      <c r="J384" s="11">
        <v>3.9</v>
      </c>
      <c r="K384" s="9">
        <v>25824</v>
      </c>
      <c r="L384" s="9">
        <v>3.9234799348243561</v>
      </c>
      <c r="M384" s="9" t="s">
        <v>28</v>
      </c>
      <c r="N384" s="9" t="s">
        <v>58</v>
      </c>
      <c r="O384" s="9">
        <v>8.9</v>
      </c>
      <c r="P384" s="9" t="s">
        <v>40</v>
      </c>
      <c r="Q384" s="9" t="b">
        <v>0</v>
      </c>
      <c r="R384" s="9" t="b">
        <v>0</v>
      </c>
      <c r="S384" s="9" t="b">
        <v>0</v>
      </c>
      <c r="T384" s="9">
        <v>1.56</v>
      </c>
      <c r="U384" s="9">
        <v>3</v>
      </c>
      <c r="V384" s="9" t="b">
        <v>0</v>
      </c>
      <c r="W384" s="9" t="s">
        <v>1218</v>
      </c>
    </row>
    <row r="385" spans="1:23" ht="29" customHeight="1" x14ac:dyDescent="0.2">
      <c r="A385" s="9" t="s">
        <v>1219</v>
      </c>
      <c r="B385" s="10" t="s">
        <v>1220</v>
      </c>
      <c r="C385" s="9" t="s">
        <v>44</v>
      </c>
      <c r="D385" s="9" t="s">
        <v>44</v>
      </c>
      <c r="E385" s="9" t="s">
        <v>981</v>
      </c>
      <c r="F385" s="9" t="s">
        <v>1044</v>
      </c>
      <c r="G385" s="9">
        <v>249</v>
      </c>
      <c r="H385" s="9">
        <v>649</v>
      </c>
      <c r="I385" s="9">
        <v>62</v>
      </c>
      <c r="J385" s="11">
        <v>4</v>
      </c>
      <c r="K385" s="9">
        <v>14404</v>
      </c>
      <c r="L385" s="9">
        <v>4.0175289181559917</v>
      </c>
      <c r="M385" s="9" t="s">
        <v>28</v>
      </c>
      <c r="N385" s="9" t="s">
        <v>29</v>
      </c>
      <c r="O385" s="9">
        <v>50.4</v>
      </c>
      <c r="P385" s="9" t="s">
        <v>30</v>
      </c>
      <c r="Q385" s="9" t="b">
        <v>0</v>
      </c>
      <c r="R385" s="9" t="b">
        <v>0</v>
      </c>
      <c r="S385" s="9" t="b">
        <v>0</v>
      </c>
      <c r="T385" s="9">
        <v>0.5</v>
      </c>
      <c r="U385" s="9">
        <v>2</v>
      </c>
      <c r="V385" s="9" t="b">
        <v>1</v>
      </c>
      <c r="W385" s="9" t="s">
        <v>1221</v>
      </c>
    </row>
    <row r="386" spans="1:23" ht="29" customHeight="1" x14ac:dyDescent="0.2">
      <c r="A386" s="9" t="s">
        <v>1222</v>
      </c>
      <c r="B386" s="10" t="s">
        <v>1223</v>
      </c>
      <c r="C386" s="9" t="s">
        <v>44</v>
      </c>
      <c r="D386" s="9" t="s">
        <v>44</v>
      </c>
      <c r="E386" s="9" t="s">
        <v>981</v>
      </c>
      <c r="F386" s="9" t="s">
        <v>1044</v>
      </c>
      <c r="G386" s="9">
        <v>99</v>
      </c>
      <c r="H386" s="9">
        <v>171</v>
      </c>
      <c r="I386" s="9">
        <v>42</v>
      </c>
      <c r="J386" s="11">
        <v>4.5</v>
      </c>
      <c r="K386" s="9">
        <v>11339</v>
      </c>
      <c r="L386" s="9">
        <v>4.3965128690316071</v>
      </c>
      <c r="M386" s="9" t="s">
        <v>28</v>
      </c>
      <c r="N386" s="9" t="s">
        <v>29</v>
      </c>
      <c r="O386" s="9">
        <v>80.400000000000006</v>
      </c>
      <c r="P386" s="9" t="s">
        <v>36</v>
      </c>
      <c r="Q386" s="9" t="b">
        <v>0</v>
      </c>
      <c r="R386" s="9" t="b">
        <v>0</v>
      </c>
      <c r="S386" s="9" t="b">
        <v>0</v>
      </c>
      <c r="T386" s="9">
        <v>0.2</v>
      </c>
      <c r="U386" s="9">
        <v>1</v>
      </c>
      <c r="V386" s="9" t="b">
        <v>1</v>
      </c>
      <c r="W386" s="9" t="s">
        <v>1224</v>
      </c>
    </row>
    <row r="387" spans="1:23" ht="29" customHeight="1" x14ac:dyDescent="0.2">
      <c r="A387" s="9" t="s">
        <v>1225</v>
      </c>
      <c r="B387" s="10" t="s">
        <v>1226</v>
      </c>
      <c r="C387" s="9" t="s">
        <v>44</v>
      </c>
      <c r="D387" s="9" t="s">
        <v>44</v>
      </c>
      <c r="E387" s="9" t="s">
        <v>981</v>
      </c>
      <c r="F387" s="9" t="s">
        <v>1040</v>
      </c>
      <c r="G387" s="9">
        <v>489</v>
      </c>
      <c r="H387" s="9">
        <v>1999</v>
      </c>
      <c r="I387" s="9">
        <v>76</v>
      </c>
      <c r="J387" s="11">
        <v>4</v>
      </c>
      <c r="K387" s="9">
        <v>3626</v>
      </c>
      <c r="L387" s="9">
        <v>4.0430992883103221</v>
      </c>
      <c r="M387" s="9" t="s">
        <v>28</v>
      </c>
      <c r="N387" s="9" t="s">
        <v>29</v>
      </c>
      <c r="O387" s="9">
        <v>57.4</v>
      </c>
      <c r="P387" s="9" t="s">
        <v>53</v>
      </c>
      <c r="Q387" s="9" t="b">
        <v>0</v>
      </c>
      <c r="R387" s="9" t="b">
        <v>0</v>
      </c>
      <c r="S387" s="9" t="b">
        <v>0</v>
      </c>
      <c r="U387" s="9">
        <v>1</v>
      </c>
      <c r="V387" s="9" t="b">
        <v>1</v>
      </c>
      <c r="W387" s="9" t="s">
        <v>1227</v>
      </c>
    </row>
    <row r="388" spans="1:23" ht="29" customHeight="1" x14ac:dyDescent="0.2">
      <c r="A388" s="9" t="s">
        <v>1228</v>
      </c>
      <c r="B388" s="10" t="s">
        <v>1229</v>
      </c>
      <c r="C388" s="9" t="s">
        <v>44</v>
      </c>
      <c r="D388" s="9" t="s">
        <v>44</v>
      </c>
      <c r="E388" s="9" t="s">
        <v>1026</v>
      </c>
      <c r="F388" s="9" t="s">
        <v>1027</v>
      </c>
      <c r="G388" s="9">
        <v>369</v>
      </c>
      <c r="H388" s="9">
        <v>1600</v>
      </c>
      <c r="I388" s="9">
        <v>77</v>
      </c>
      <c r="J388" s="11">
        <v>4</v>
      </c>
      <c r="K388" s="9">
        <v>32625</v>
      </c>
      <c r="L388" s="9">
        <v>4.0087513319596244</v>
      </c>
      <c r="M388" s="9" t="s">
        <v>28</v>
      </c>
      <c r="N388" s="9" t="s">
        <v>29</v>
      </c>
      <c r="O388" s="9">
        <v>49.4</v>
      </c>
      <c r="P388" s="9" t="s">
        <v>30</v>
      </c>
      <c r="Q388" s="9" t="b">
        <v>0</v>
      </c>
      <c r="R388" s="9" t="b">
        <v>0</v>
      </c>
      <c r="S388" s="9" t="b">
        <v>0</v>
      </c>
      <c r="U388" s="9">
        <v>1</v>
      </c>
      <c r="V388" s="9" t="b">
        <v>1</v>
      </c>
      <c r="W388" s="9" t="s">
        <v>1230</v>
      </c>
    </row>
    <row r="389" spans="1:23" ht="29" customHeight="1" x14ac:dyDescent="0.2">
      <c r="A389" s="9" t="s">
        <v>1231</v>
      </c>
      <c r="B389" s="10" t="s">
        <v>1232</v>
      </c>
      <c r="C389" s="9" t="s">
        <v>44</v>
      </c>
      <c r="D389" s="9" t="s">
        <v>44</v>
      </c>
      <c r="E389" s="9" t="s">
        <v>981</v>
      </c>
      <c r="F389" s="9" t="s">
        <v>986</v>
      </c>
      <c r="G389" s="9">
        <v>15499</v>
      </c>
      <c r="H389" s="9">
        <v>20999</v>
      </c>
      <c r="I389" s="9">
        <v>26</v>
      </c>
      <c r="J389" s="11">
        <v>4.0999999999999996</v>
      </c>
      <c r="K389" s="9">
        <v>19252</v>
      </c>
      <c r="L389" s="9">
        <v>4.0974880658576467</v>
      </c>
      <c r="M389" s="9" t="s">
        <v>28</v>
      </c>
      <c r="N389" s="9" t="s">
        <v>58</v>
      </c>
      <c r="O389" s="9">
        <v>33.700000000000003</v>
      </c>
      <c r="P389" s="9" t="s">
        <v>40</v>
      </c>
      <c r="Q389" s="9" t="b">
        <v>0</v>
      </c>
      <c r="R389" s="9" t="b">
        <v>0</v>
      </c>
      <c r="S389" s="9" t="b">
        <v>0</v>
      </c>
      <c r="T389" s="9">
        <v>1.1499999999999999</v>
      </c>
      <c r="U389" s="9">
        <v>6</v>
      </c>
      <c r="V389" s="9" t="b">
        <v>0</v>
      </c>
      <c r="W389" s="9" t="s">
        <v>1233</v>
      </c>
    </row>
    <row r="390" spans="1:23" ht="29" customHeight="1" x14ac:dyDescent="0.2">
      <c r="A390" s="9" t="s">
        <v>1234</v>
      </c>
      <c r="B390" s="10" t="s">
        <v>1235</v>
      </c>
      <c r="C390" s="9" t="s">
        <v>44</v>
      </c>
      <c r="D390" s="9" t="s">
        <v>44</v>
      </c>
      <c r="E390" s="9" t="s">
        <v>981</v>
      </c>
      <c r="F390" s="9" t="s">
        <v>986</v>
      </c>
      <c r="G390" s="9">
        <v>15499</v>
      </c>
      <c r="H390" s="9">
        <v>18999</v>
      </c>
      <c r="I390" s="9">
        <v>18</v>
      </c>
      <c r="J390" s="11">
        <v>4.0999999999999996</v>
      </c>
      <c r="K390" s="9">
        <v>19252</v>
      </c>
      <c r="L390" s="9">
        <v>4.0974880658576467</v>
      </c>
      <c r="M390" s="9" t="s">
        <v>28</v>
      </c>
      <c r="N390" s="9" t="s">
        <v>58</v>
      </c>
      <c r="O390" s="9">
        <v>31.3</v>
      </c>
      <c r="P390" s="9" t="s">
        <v>40</v>
      </c>
      <c r="Q390" s="9" t="b">
        <v>0</v>
      </c>
      <c r="R390" s="9" t="b">
        <v>0</v>
      </c>
      <c r="S390" s="9" t="b">
        <v>0</v>
      </c>
      <c r="T390" s="9">
        <v>1.1499999999999999</v>
      </c>
      <c r="U390" s="9">
        <v>6</v>
      </c>
      <c r="V390" s="9" t="b">
        <v>0</v>
      </c>
      <c r="W390" s="9" t="s">
        <v>1236</v>
      </c>
    </row>
    <row r="391" spans="1:23" ht="29" customHeight="1" x14ac:dyDescent="0.2">
      <c r="A391" s="9" t="s">
        <v>1237</v>
      </c>
      <c r="B391" s="10" t="s">
        <v>1238</v>
      </c>
      <c r="C391" s="9" t="s">
        <v>44</v>
      </c>
      <c r="D391" s="9" t="s">
        <v>44</v>
      </c>
      <c r="E391" s="9" t="s">
        <v>981</v>
      </c>
      <c r="F391" s="9" t="s">
        <v>986</v>
      </c>
      <c r="G391" s="9">
        <v>22999</v>
      </c>
      <c r="H391" s="9">
        <v>28999</v>
      </c>
      <c r="I391" s="9">
        <v>21</v>
      </c>
      <c r="J391" s="11">
        <v>3.9</v>
      </c>
      <c r="K391" s="9">
        <v>25824</v>
      </c>
      <c r="L391" s="9">
        <v>3.9234799348243561</v>
      </c>
      <c r="M391" s="9" t="s">
        <v>28</v>
      </c>
      <c r="N391" s="9" t="s">
        <v>58</v>
      </c>
      <c r="O391" s="9">
        <v>8.5</v>
      </c>
      <c r="P391" s="9" t="s">
        <v>40</v>
      </c>
      <c r="Q391" s="9" t="b">
        <v>0</v>
      </c>
      <c r="R391" s="9" t="b">
        <v>0</v>
      </c>
      <c r="S391" s="9" t="b">
        <v>0</v>
      </c>
      <c r="T391" s="9">
        <v>1.7</v>
      </c>
      <c r="U391" s="9">
        <v>3</v>
      </c>
      <c r="V391" s="9" t="b">
        <v>0</v>
      </c>
      <c r="W391" s="9" t="s">
        <v>1239</v>
      </c>
    </row>
    <row r="392" spans="1:23" ht="29" customHeight="1" x14ac:dyDescent="0.2">
      <c r="A392" s="9" t="s">
        <v>1240</v>
      </c>
      <c r="B392" s="10" t="s">
        <v>1241</v>
      </c>
      <c r="C392" s="9" t="s">
        <v>44</v>
      </c>
      <c r="D392" s="9" t="s">
        <v>44</v>
      </c>
      <c r="E392" s="9" t="s">
        <v>1009</v>
      </c>
      <c r="F392" s="9" t="s">
        <v>1010</v>
      </c>
      <c r="G392" s="9">
        <v>599</v>
      </c>
      <c r="H392" s="9">
        <v>1490</v>
      </c>
      <c r="I392" s="9">
        <v>60</v>
      </c>
      <c r="J392" s="11">
        <v>4.0999999999999996</v>
      </c>
      <c r="K392" s="9">
        <v>161679</v>
      </c>
      <c r="L392" s="9">
        <v>4.0996505658597187</v>
      </c>
      <c r="M392" s="9" t="s">
        <v>28</v>
      </c>
      <c r="N392" s="9" t="s">
        <v>93</v>
      </c>
      <c r="O392" s="9">
        <v>62.4</v>
      </c>
      <c r="P392" s="9" t="s">
        <v>36</v>
      </c>
      <c r="Q392" s="9" t="b">
        <v>0</v>
      </c>
      <c r="R392" s="9" t="b">
        <v>0</v>
      </c>
      <c r="S392" s="9" t="b">
        <v>0</v>
      </c>
      <c r="T392" s="9">
        <v>0.63</v>
      </c>
      <c r="U392" s="9">
        <v>2</v>
      </c>
      <c r="V392" s="9" t="b">
        <v>1</v>
      </c>
      <c r="W392" s="9" t="s">
        <v>1242</v>
      </c>
    </row>
    <row r="393" spans="1:23" ht="29" customHeight="1" x14ac:dyDescent="0.2">
      <c r="A393" s="9" t="s">
        <v>1243</v>
      </c>
      <c r="B393" s="10" t="s">
        <v>1244</v>
      </c>
      <c r="C393" s="9" t="s">
        <v>44</v>
      </c>
      <c r="D393" s="9" t="s">
        <v>44</v>
      </c>
      <c r="E393" s="9" t="s">
        <v>981</v>
      </c>
      <c r="F393" s="9" t="s">
        <v>1158</v>
      </c>
      <c r="G393" s="9">
        <v>134</v>
      </c>
      <c r="H393" s="9">
        <v>699</v>
      </c>
      <c r="I393" s="9">
        <v>81</v>
      </c>
      <c r="J393" s="11">
        <v>4.0999999999999996</v>
      </c>
      <c r="K393" s="9">
        <v>16685</v>
      </c>
      <c r="L393" s="9">
        <v>4.0971727150840351</v>
      </c>
      <c r="M393" s="9" t="s">
        <v>28</v>
      </c>
      <c r="N393" s="9" t="s">
        <v>29</v>
      </c>
      <c r="O393" s="9">
        <v>74.7</v>
      </c>
      <c r="P393" s="9" t="s">
        <v>36</v>
      </c>
      <c r="Q393" s="9" t="b">
        <v>0</v>
      </c>
      <c r="R393" s="9" t="b">
        <v>0</v>
      </c>
      <c r="S393" s="9" t="b">
        <v>0</v>
      </c>
      <c r="U393" s="9">
        <v>1</v>
      </c>
      <c r="V393" s="9" t="b">
        <v>1</v>
      </c>
      <c r="W393" s="9" t="s">
        <v>1245</v>
      </c>
    </row>
    <row r="394" spans="1:23" ht="29" customHeight="1" x14ac:dyDescent="0.2">
      <c r="A394" s="9" t="s">
        <v>1246</v>
      </c>
      <c r="B394" s="10" t="s">
        <v>1247</v>
      </c>
      <c r="C394" s="9" t="s">
        <v>44</v>
      </c>
      <c r="D394" s="9" t="s">
        <v>44</v>
      </c>
      <c r="E394" s="9" t="s">
        <v>981</v>
      </c>
      <c r="F394" s="9" t="s">
        <v>986</v>
      </c>
      <c r="G394" s="9">
        <v>7499</v>
      </c>
      <c r="H394" s="9">
        <v>7999</v>
      </c>
      <c r="I394" s="9">
        <v>6</v>
      </c>
      <c r="J394" s="11">
        <v>4</v>
      </c>
      <c r="K394" s="9">
        <v>30907</v>
      </c>
      <c r="L394" s="9">
        <v>4.0091849923327656</v>
      </c>
      <c r="M394" s="9" t="s">
        <v>28</v>
      </c>
      <c r="N394" s="9" t="s">
        <v>144</v>
      </c>
      <c r="O394" s="9">
        <v>12.3</v>
      </c>
      <c r="P394" s="9" t="s">
        <v>40</v>
      </c>
      <c r="Q394" s="9" t="b">
        <v>0</v>
      </c>
      <c r="R394" s="9" t="b">
        <v>0</v>
      </c>
      <c r="S394" s="9" t="b">
        <v>0</v>
      </c>
      <c r="T394" s="9">
        <v>0.56000000000000005</v>
      </c>
      <c r="U394" s="9">
        <v>1</v>
      </c>
      <c r="V394" s="9" t="b">
        <v>1</v>
      </c>
      <c r="W394" s="9" t="s">
        <v>1248</v>
      </c>
    </row>
    <row r="395" spans="1:23" ht="29" customHeight="1" x14ac:dyDescent="0.2">
      <c r="A395" s="9" t="s">
        <v>1249</v>
      </c>
      <c r="B395" s="10" t="s">
        <v>1250</v>
      </c>
      <c r="C395" s="9" t="s">
        <v>44</v>
      </c>
      <c r="D395" s="9" t="s">
        <v>44</v>
      </c>
      <c r="E395" s="9" t="s">
        <v>981</v>
      </c>
      <c r="F395" s="9" t="s">
        <v>982</v>
      </c>
      <c r="G395" s="9">
        <v>1149</v>
      </c>
      <c r="H395" s="9">
        <v>2199</v>
      </c>
      <c r="I395" s="9">
        <v>48</v>
      </c>
      <c r="J395" s="11">
        <v>4.3</v>
      </c>
      <c r="K395" s="9">
        <v>178912</v>
      </c>
      <c r="L395" s="9">
        <v>4.2955641815999543</v>
      </c>
      <c r="M395" s="9" t="s">
        <v>28</v>
      </c>
      <c r="N395" s="9" t="s">
        <v>179</v>
      </c>
      <c r="O395" s="9">
        <v>74.599999999999994</v>
      </c>
      <c r="P395" s="9" t="s">
        <v>36</v>
      </c>
      <c r="Q395" s="9" t="b">
        <v>0</v>
      </c>
      <c r="R395" s="9" t="b">
        <v>0</v>
      </c>
      <c r="S395" s="9" t="b">
        <v>0</v>
      </c>
      <c r="U395" s="9">
        <v>3</v>
      </c>
      <c r="V395" s="9" t="b">
        <v>0</v>
      </c>
      <c r="W395" s="9" t="s">
        <v>1251</v>
      </c>
    </row>
    <row r="396" spans="1:23" ht="29" customHeight="1" x14ac:dyDescent="0.2">
      <c r="A396" s="9" t="s">
        <v>1252</v>
      </c>
      <c r="B396" s="10" t="s">
        <v>1253</v>
      </c>
      <c r="C396" s="9" t="s">
        <v>44</v>
      </c>
      <c r="D396" s="9" t="s">
        <v>44</v>
      </c>
      <c r="E396" s="9" t="s">
        <v>981</v>
      </c>
      <c r="F396" s="9" t="s">
        <v>1005</v>
      </c>
      <c r="G396" s="9">
        <v>1324</v>
      </c>
      <c r="H396" s="9">
        <v>1699</v>
      </c>
      <c r="I396" s="9">
        <v>22</v>
      </c>
      <c r="J396" s="11">
        <v>4</v>
      </c>
      <c r="K396" s="9">
        <v>128311</v>
      </c>
      <c r="L396" s="9">
        <v>4.0024110748309152</v>
      </c>
      <c r="M396" s="9" t="s">
        <v>28</v>
      </c>
      <c r="N396" s="9" t="s">
        <v>179</v>
      </c>
      <c r="O396" s="9">
        <v>24.7</v>
      </c>
      <c r="P396" s="9" t="s">
        <v>40</v>
      </c>
      <c r="Q396" s="9" t="b">
        <v>0</v>
      </c>
      <c r="R396" s="9" t="b">
        <v>0</v>
      </c>
      <c r="S396" s="9" t="b">
        <v>0</v>
      </c>
      <c r="U396" s="9">
        <v>4</v>
      </c>
      <c r="V396" s="9" t="b">
        <v>0</v>
      </c>
      <c r="W396" s="9" t="s">
        <v>1254</v>
      </c>
    </row>
    <row r="397" spans="1:23" ht="29" customHeight="1" x14ac:dyDescent="0.2">
      <c r="A397" s="9" t="s">
        <v>1255</v>
      </c>
      <c r="B397" s="10" t="s">
        <v>1256</v>
      </c>
      <c r="C397" s="9" t="s">
        <v>44</v>
      </c>
      <c r="D397" s="9" t="s">
        <v>44</v>
      </c>
      <c r="E397" s="9" t="s">
        <v>981</v>
      </c>
      <c r="F397" s="9" t="s">
        <v>986</v>
      </c>
      <c r="G397" s="9">
        <v>13999</v>
      </c>
      <c r="H397" s="9">
        <v>19999</v>
      </c>
      <c r="I397" s="9">
        <v>30</v>
      </c>
      <c r="J397" s="11">
        <v>4.0999999999999996</v>
      </c>
      <c r="K397" s="9">
        <v>19252</v>
      </c>
      <c r="L397" s="9">
        <v>4.0974880658576467</v>
      </c>
      <c r="M397" s="9" t="s">
        <v>28</v>
      </c>
      <c r="N397" s="9" t="s">
        <v>58</v>
      </c>
      <c r="O397" s="9">
        <v>35.700000000000003</v>
      </c>
      <c r="P397" s="9" t="s">
        <v>40</v>
      </c>
      <c r="Q397" s="9" t="b">
        <v>0</v>
      </c>
      <c r="R397" s="9" t="b">
        <v>0</v>
      </c>
      <c r="S397" s="9" t="b">
        <v>0</v>
      </c>
      <c r="T397" s="9">
        <v>1.04</v>
      </c>
      <c r="U397" s="9">
        <v>6</v>
      </c>
      <c r="V397" s="9" t="b">
        <v>0</v>
      </c>
      <c r="W397" s="9" t="s">
        <v>1257</v>
      </c>
    </row>
    <row r="398" spans="1:23" ht="29" customHeight="1" x14ac:dyDescent="0.2">
      <c r="A398" s="9" t="s">
        <v>1258</v>
      </c>
      <c r="B398" s="10" t="s">
        <v>1259</v>
      </c>
      <c r="C398" s="9" t="s">
        <v>25</v>
      </c>
      <c r="D398" s="9" t="s">
        <v>25</v>
      </c>
      <c r="E398" s="9" t="s">
        <v>26</v>
      </c>
      <c r="F398" s="9" t="s">
        <v>27</v>
      </c>
      <c r="G398" s="9">
        <v>299</v>
      </c>
      <c r="H398" s="9">
        <v>799</v>
      </c>
      <c r="I398" s="9">
        <v>63</v>
      </c>
      <c r="J398" s="11">
        <v>4.2</v>
      </c>
      <c r="K398" s="9">
        <v>94364</v>
      </c>
      <c r="L398" s="9">
        <v>4.1955765169620944</v>
      </c>
      <c r="M398" s="9" t="s">
        <v>28</v>
      </c>
      <c r="N398" s="9" t="s">
        <v>29</v>
      </c>
      <c r="O398" s="9">
        <v>73.7</v>
      </c>
      <c r="P398" s="9" t="s">
        <v>36</v>
      </c>
      <c r="Q398" s="9" t="b">
        <v>0</v>
      </c>
      <c r="R398" s="9" t="b">
        <v>0</v>
      </c>
      <c r="S398" s="9" t="b">
        <v>0</v>
      </c>
      <c r="T398" s="9">
        <v>1</v>
      </c>
      <c r="U398" s="9">
        <v>4</v>
      </c>
      <c r="V398" s="9" t="b">
        <v>1</v>
      </c>
      <c r="W398" s="9" t="s">
        <v>1260</v>
      </c>
    </row>
    <row r="399" spans="1:23" ht="29" customHeight="1" x14ac:dyDescent="0.2">
      <c r="A399" s="9" t="s">
        <v>1261</v>
      </c>
      <c r="B399" s="10" t="s">
        <v>1262</v>
      </c>
      <c r="C399" s="9" t="s">
        <v>44</v>
      </c>
      <c r="D399" s="9" t="s">
        <v>44</v>
      </c>
      <c r="E399" s="9" t="s">
        <v>981</v>
      </c>
      <c r="F399" s="9" t="s">
        <v>982</v>
      </c>
      <c r="G399" s="9">
        <v>999</v>
      </c>
      <c r="H399" s="9">
        <v>1599</v>
      </c>
      <c r="I399" s="9">
        <v>38</v>
      </c>
      <c r="J399" s="11">
        <v>4</v>
      </c>
      <c r="K399" s="9">
        <v>7222</v>
      </c>
      <c r="L399" s="9">
        <v>4.028989857679532</v>
      </c>
      <c r="M399" s="9" t="s">
        <v>28</v>
      </c>
      <c r="N399" s="9" t="s">
        <v>93</v>
      </c>
      <c r="O399" s="9">
        <v>36</v>
      </c>
      <c r="P399" s="9" t="s">
        <v>40</v>
      </c>
      <c r="Q399" s="9" t="b">
        <v>0</v>
      </c>
      <c r="R399" s="9" t="b">
        <v>0</v>
      </c>
      <c r="S399" s="9" t="b">
        <v>0</v>
      </c>
      <c r="U399" s="9">
        <v>2</v>
      </c>
      <c r="V399" s="9" t="b">
        <v>0</v>
      </c>
      <c r="W399" s="9" t="s">
        <v>1263</v>
      </c>
    </row>
    <row r="400" spans="1:23" ht="29" customHeight="1" x14ac:dyDescent="0.2">
      <c r="A400" s="9" t="s">
        <v>1264</v>
      </c>
      <c r="B400" s="10" t="s">
        <v>1265</v>
      </c>
      <c r="C400" s="9" t="s">
        <v>44</v>
      </c>
      <c r="D400" s="9" t="s">
        <v>44</v>
      </c>
      <c r="E400" s="9" t="s">
        <v>981</v>
      </c>
      <c r="F400" s="9" t="s">
        <v>986</v>
      </c>
      <c r="G400" s="9">
        <v>12999</v>
      </c>
      <c r="H400" s="9">
        <v>17999</v>
      </c>
      <c r="I400" s="9">
        <v>28</v>
      </c>
      <c r="J400" s="11">
        <v>4.0999999999999996</v>
      </c>
      <c r="K400" s="9">
        <v>18998</v>
      </c>
      <c r="L400" s="9">
        <v>4.0974600334650297</v>
      </c>
      <c r="M400" s="9" t="s">
        <v>28</v>
      </c>
      <c r="N400" s="9" t="s">
        <v>58</v>
      </c>
      <c r="O400" s="9">
        <v>34.799999999999997</v>
      </c>
      <c r="P400" s="9" t="s">
        <v>40</v>
      </c>
      <c r="Q400" s="9" t="b">
        <v>0</v>
      </c>
      <c r="R400" s="9" t="b">
        <v>0</v>
      </c>
      <c r="S400" s="9" t="b">
        <v>0</v>
      </c>
      <c r="T400" s="9">
        <v>0.96</v>
      </c>
      <c r="U400" s="9">
        <v>8</v>
      </c>
      <c r="V400" s="9" t="b">
        <v>0</v>
      </c>
      <c r="W400" s="9" t="s">
        <v>1266</v>
      </c>
    </row>
    <row r="401" spans="1:23" ht="29" customHeight="1" x14ac:dyDescent="0.2">
      <c r="A401" s="9" t="s">
        <v>1267</v>
      </c>
      <c r="B401" s="10" t="s">
        <v>1268</v>
      </c>
      <c r="C401" s="9" t="s">
        <v>44</v>
      </c>
      <c r="D401" s="9" t="s">
        <v>44</v>
      </c>
      <c r="E401" s="9" t="s">
        <v>981</v>
      </c>
      <c r="F401" s="9" t="s">
        <v>986</v>
      </c>
      <c r="G401" s="9">
        <v>15490</v>
      </c>
      <c r="H401" s="9">
        <v>20990</v>
      </c>
      <c r="I401" s="9">
        <v>26</v>
      </c>
      <c r="J401" s="11">
        <v>4.2</v>
      </c>
      <c r="K401" s="9">
        <v>32916</v>
      </c>
      <c r="L401" s="9">
        <v>4.1881657944485413</v>
      </c>
      <c r="M401" s="9" t="s">
        <v>28</v>
      </c>
      <c r="N401" s="9" t="s">
        <v>58</v>
      </c>
      <c r="O401" s="9">
        <v>45.3</v>
      </c>
      <c r="P401" s="9" t="s">
        <v>30</v>
      </c>
      <c r="Q401" s="9" t="b">
        <v>0</v>
      </c>
      <c r="R401" s="9" t="b">
        <v>0</v>
      </c>
      <c r="S401" s="9" t="b">
        <v>0</v>
      </c>
      <c r="T401" s="9">
        <v>1.1499999999999999</v>
      </c>
      <c r="U401" s="9">
        <v>2</v>
      </c>
      <c r="V401" s="9" t="b">
        <v>0</v>
      </c>
      <c r="W401" s="9" t="s">
        <v>1269</v>
      </c>
    </row>
    <row r="402" spans="1:23" ht="29" customHeight="1" x14ac:dyDescent="0.2">
      <c r="A402" s="9" t="s">
        <v>1270</v>
      </c>
      <c r="B402" s="10" t="s">
        <v>1271</v>
      </c>
      <c r="C402" s="9" t="s">
        <v>44</v>
      </c>
      <c r="D402" s="9" t="s">
        <v>44</v>
      </c>
      <c r="E402" s="9" t="s">
        <v>981</v>
      </c>
      <c r="F402" s="9" t="s">
        <v>1272</v>
      </c>
      <c r="G402" s="9">
        <v>999</v>
      </c>
      <c r="H402" s="9">
        <v>2899</v>
      </c>
      <c r="I402" s="9">
        <v>66</v>
      </c>
      <c r="J402" s="11">
        <v>4.5999999999999996</v>
      </c>
      <c r="K402" s="9">
        <v>26603</v>
      </c>
      <c r="L402" s="9">
        <v>4.5361426319896214</v>
      </c>
      <c r="M402" s="9" t="s">
        <v>28</v>
      </c>
      <c r="N402" s="9" t="s">
        <v>93</v>
      </c>
      <c r="O402" s="9">
        <v>89.7</v>
      </c>
      <c r="P402" s="9" t="s">
        <v>36</v>
      </c>
      <c r="Q402" s="9" t="b">
        <v>1</v>
      </c>
      <c r="R402" s="9" t="b">
        <v>0</v>
      </c>
      <c r="S402" s="9" t="b">
        <v>0</v>
      </c>
      <c r="T402" s="9">
        <v>2.57</v>
      </c>
      <c r="U402" s="9">
        <v>1</v>
      </c>
      <c r="V402" s="9" t="b">
        <v>1</v>
      </c>
      <c r="W402" s="9" t="s">
        <v>1273</v>
      </c>
    </row>
    <row r="403" spans="1:23" ht="29" customHeight="1" x14ac:dyDescent="0.2">
      <c r="A403" s="9" t="s">
        <v>1274</v>
      </c>
      <c r="B403" s="10" t="s">
        <v>1275</v>
      </c>
      <c r="C403" s="9" t="s">
        <v>44</v>
      </c>
      <c r="D403" s="9" t="s">
        <v>44</v>
      </c>
      <c r="E403" s="9" t="s">
        <v>981</v>
      </c>
      <c r="F403" s="9" t="s">
        <v>1005</v>
      </c>
      <c r="G403" s="9">
        <v>1324</v>
      </c>
      <c r="H403" s="9">
        <v>1699</v>
      </c>
      <c r="I403" s="9">
        <v>22</v>
      </c>
      <c r="J403" s="11">
        <v>4</v>
      </c>
      <c r="K403" s="9">
        <v>128311</v>
      </c>
      <c r="L403" s="9">
        <v>4.0024110748309152</v>
      </c>
      <c r="M403" s="9" t="s">
        <v>28</v>
      </c>
      <c r="N403" s="9" t="s">
        <v>179</v>
      </c>
      <c r="O403" s="9">
        <v>24.7</v>
      </c>
      <c r="P403" s="9" t="s">
        <v>40</v>
      </c>
      <c r="Q403" s="9" t="b">
        <v>0</v>
      </c>
      <c r="R403" s="9" t="b">
        <v>0</v>
      </c>
      <c r="S403" s="9" t="b">
        <v>0</v>
      </c>
      <c r="U403" s="9">
        <v>4</v>
      </c>
      <c r="V403" s="9" t="b">
        <v>0</v>
      </c>
      <c r="W403" s="9" t="s">
        <v>1276</v>
      </c>
    </row>
    <row r="404" spans="1:23" ht="29" customHeight="1" x14ac:dyDescent="0.2">
      <c r="A404" s="9" t="s">
        <v>1277</v>
      </c>
      <c r="B404" s="10" t="s">
        <v>1278</v>
      </c>
      <c r="C404" s="9" t="s">
        <v>44</v>
      </c>
      <c r="D404" s="9" t="s">
        <v>44</v>
      </c>
      <c r="E404" s="9" t="s">
        <v>981</v>
      </c>
      <c r="F404" s="9" t="s">
        <v>986</v>
      </c>
      <c r="G404" s="9">
        <v>20999</v>
      </c>
      <c r="H404" s="9">
        <v>29990</v>
      </c>
      <c r="I404" s="9">
        <v>30</v>
      </c>
      <c r="J404" s="11">
        <v>4.3</v>
      </c>
      <c r="K404" s="9">
        <v>9499</v>
      </c>
      <c r="L404" s="9">
        <v>4.2388974921148286</v>
      </c>
      <c r="M404" s="9" t="s">
        <v>28</v>
      </c>
      <c r="N404" s="9" t="s">
        <v>58</v>
      </c>
      <c r="O404" s="9">
        <v>50.2</v>
      </c>
      <c r="P404" s="9" t="s">
        <v>30</v>
      </c>
      <c r="Q404" s="9" t="b">
        <v>0</v>
      </c>
      <c r="R404" s="9" t="b">
        <v>0</v>
      </c>
      <c r="S404" s="9" t="b">
        <v>0</v>
      </c>
      <c r="T404" s="9">
        <v>1.56</v>
      </c>
      <c r="U404" s="9">
        <v>3</v>
      </c>
      <c r="V404" s="9" t="b">
        <v>1</v>
      </c>
      <c r="W404" s="9" t="s">
        <v>1279</v>
      </c>
    </row>
    <row r="405" spans="1:23" ht="29" customHeight="1" x14ac:dyDescent="0.2">
      <c r="A405" s="9" t="s">
        <v>1280</v>
      </c>
      <c r="B405" s="10" t="s">
        <v>1281</v>
      </c>
      <c r="C405" s="9" t="s">
        <v>44</v>
      </c>
      <c r="D405" s="9" t="s">
        <v>44</v>
      </c>
      <c r="E405" s="9" t="s">
        <v>981</v>
      </c>
      <c r="F405" s="9" t="s">
        <v>1044</v>
      </c>
      <c r="G405" s="9">
        <v>999</v>
      </c>
      <c r="H405" s="9">
        <v>1999</v>
      </c>
      <c r="I405" s="9">
        <v>50</v>
      </c>
      <c r="J405" s="11">
        <v>4.3</v>
      </c>
      <c r="K405" s="9">
        <v>1777</v>
      </c>
      <c r="L405" s="9">
        <v>4.1537212910336336</v>
      </c>
      <c r="M405" s="9" t="s">
        <v>28</v>
      </c>
      <c r="N405" s="9" t="s">
        <v>93</v>
      </c>
      <c r="O405" s="9">
        <v>65</v>
      </c>
      <c r="P405" s="9" t="s">
        <v>36</v>
      </c>
      <c r="Q405" s="9" t="b">
        <v>0</v>
      </c>
      <c r="R405" s="9" t="b">
        <v>0</v>
      </c>
      <c r="S405" s="9" t="b">
        <v>0</v>
      </c>
      <c r="T405" s="9">
        <v>2</v>
      </c>
      <c r="U405" s="9">
        <v>1</v>
      </c>
      <c r="V405" s="9" t="b">
        <v>1</v>
      </c>
      <c r="W405" s="9" t="s">
        <v>1282</v>
      </c>
    </row>
    <row r="406" spans="1:23" ht="29" customHeight="1" x14ac:dyDescent="0.2">
      <c r="A406" s="9" t="s">
        <v>1283</v>
      </c>
      <c r="B406" s="10" t="s">
        <v>1284</v>
      </c>
      <c r="C406" s="9" t="s">
        <v>44</v>
      </c>
      <c r="D406" s="9" t="s">
        <v>44</v>
      </c>
      <c r="E406" s="9" t="s">
        <v>981</v>
      </c>
      <c r="F406" s="9" t="s">
        <v>986</v>
      </c>
      <c r="G406" s="9">
        <v>12490</v>
      </c>
      <c r="H406" s="9">
        <v>15990</v>
      </c>
      <c r="I406" s="9">
        <v>22</v>
      </c>
      <c r="J406" s="11">
        <v>4.2</v>
      </c>
      <c r="K406" s="9">
        <v>58506</v>
      </c>
      <c r="L406" s="9">
        <v>4.193029205644601</v>
      </c>
      <c r="M406" s="9" t="s">
        <v>28</v>
      </c>
      <c r="N406" s="9" t="s">
        <v>58</v>
      </c>
      <c r="O406" s="9">
        <v>45.5</v>
      </c>
      <c r="P406" s="9" t="s">
        <v>30</v>
      </c>
      <c r="Q406" s="9" t="b">
        <v>0</v>
      </c>
      <c r="R406" s="9" t="b">
        <v>0</v>
      </c>
      <c r="S406" s="9" t="b">
        <v>0</v>
      </c>
      <c r="T406" s="9">
        <v>0.93</v>
      </c>
      <c r="U406" s="9">
        <v>1</v>
      </c>
      <c r="V406" s="9" t="b">
        <v>1</v>
      </c>
      <c r="W406" s="9" t="s">
        <v>1285</v>
      </c>
    </row>
    <row r="407" spans="1:23" ht="29" customHeight="1" x14ac:dyDescent="0.2">
      <c r="A407" s="9" t="s">
        <v>1286</v>
      </c>
      <c r="B407" s="10" t="s">
        <v>1287</v>
      </c>
      <c r="C407" s="9" t="s">
        <v>44</v>
      </c>
      <c r="D407" s="9" t="s">
        <v>44</v>
      </c>
      <c r="E407" s="9" t="s">
        <v>981</v>
      </c>
      <c r="F407" s="9" t="s">
        <v>986</v>
      </c>
      <c r="G407" s="9">
        <v>17999</v>
      </c>
      <c r="H407" s="9">
        <v>21990</v>
      </c>
      <c r="I407" s="9">
        <v>18</v>
      </c>
      <c r="J407" s="11">
        <v>4</v>
      </c>
      <c r="K407" s="9">
        <v>21350</v>
      </c>
      <c r="L407" s="9">
        <v>4.0126805014108839</v>
      </c>
      <c r="M407" s="9" t="s">
        <v>28</v>
      </c>
      <c r="N407" s="9" t="s">
        <v>58</v>
      </c>
      <c r="O407" s="9">
        <v>12.3</v>
      </c>
      <c r="P407" s="9" t="s">
        <v>40</v>
      </c>
      <c r="Q407" s="9" t="b">
        <v>0</v>
      </c>
      <c r="R407" s="9" t="b">
        <v>0</v>
      </c>
      <c r="S407" s="9" t="b">
        <v>0</v>
      </c>
      <c r="T407" s="9">
        <v>1.33</v>
      </c>
      <c r="U407" s="9">
        <v>3</v>
      </c>
      <c r="V407" s="9" t="b">
        <v>0</v>
      </c>
      <c r="W407" s="9" t="s">
        <v>1288</v>
      </c>
    </row>
    <row r="408" spans="1:23" ht="29" customHeight="1" x14ac:dyDescent="0.2">
      <c r="A408" s="9" t="s">
        <v>1289</v>
      </c>
      <c r="B408" s="10" t="s">
        <v>1290</v>
      </c>
      <c r="C408" s="9" t="s">
        <v>25</v>
      </c>
      <c r="D408" s="9" t="s">
        <v>25</v>
      </c>
      <c r="E408" s="9" t="s">
        <v>26</v>
      </c>
      <c r="F408" s="9" t="s">
        <v>27</v>
      </c>
      <c r="G408" s="9">
        <v>350</v>
      </c>
      <c r="H408" s="9">
        <v>899</v>
      </c>
      <c r="I408" s="9">
        <v>61</v>
      </c>
      <c r="J408" s="11">
        <v>4.2</v>
      </c>
      <c r="K408" s="9">
        <v>2263</v>
      </c>
      <c r="L408" s="9">
        <v>4.1279626739159916</v>
      </c>
      <c r="M408" s="9" t="s">
        <v>28</v>
      </c>
      <c r="N408" s="9" t="s">
        <v>29</v>
      </c>
      <c r="O408" s="9">
        <v>62.8</v>
      </c>
      <c r="P408" s="9" t="s">
        <v>36</v>
      </c>
      <c r="Q408" s="9" t="b">
        <v>0</v>
      </c>
      <c r="R408" s="9" t="b">
        <v>0</v>
      </c>
      <c r="S408" s="9" t="b">
        <v>0</v>
      </c>
      <c r="T408" s="9">
        <v>1.17</v>
      </c>
      <c r="U408" s="9">
        <v>1</v>
      </c>
      <c r="V408" s="9" t="b">
        <v>1</v>
      </c>
      <c r="W408" s="9" t="s">
        <v>1291</v>
      </c>
    </row>
    <row r="409" spans="1:23" ht="29" customHeight="1" x14ac:dyDescent="0.2">
      <c r="A409" s="9" t="s">
        <v>1292</v>
      </c>
      <c r="B409" s="10" t="s">
        <v>1293</v>
      </c>
      <c r="C409" s="9" t="s">
        <v>44</v>
      </c>
      <c r="D409" s="9" t="s">
        <v>44</v>
      </c>
      <c r="E409" s="9" t="s">
        <v>981</v>
      </c>
      <c r="F409" s="9" t="s">
        <v>1005</v>
      </c>
      <c r="G409" s="9">
        <v>1399</v>
      </c>
      <c r="H409" s="9">
        <v>1630</v>
      </c>
      <c r="I409" s="9">
        <v>14</v>
      </c>
      <c r="J409" s="11">
        <v>4</v>
      </c>
      <c r="K409" s="9">
        <v>9378</v>
      </c>
      <c r="L409" s="9">
        <v>4.0242334075324999</v>
      </c>
      <c r="M409" s="9" t="s">
        <v>28</v>
      </c>
      <c r="N409" s="9" t="s">
        <v>179</v>
      </c>
      <c r="O409" s="9">
        <v>25.2</v>
      </c>
      <c r="P409" s="9" t="s">
        <v>40</v>
      </c>
      <c r="Q409" s="9" t="b">
        <v>0</v>
      </c>
      <c r="R409" s="9" t="b">
        <v>0</v>
      </c>
      <c r="S409" s="9" t="b">
        <v>0</v>
      </c>
      <c r="U409" s="9">
        <v>2</v>
      </c>
      <c r="V409" s="9" t="b">
        <v>1</v>
      </c>
      <c r="W409" s="9" t="s">
        <v>1294</v>
      </c>
    </row>
    <row r="410" spans="1:23" ht="29" customHeight="1" x14ac:dyDescent="0.2">
      <c r="A410" s="9" t="s">
        <v>1295</v>
      </c>
      <c r="B410" s="10" t="s">
        <v>1296</v>
      </c>
      <c r="C410" s="9" t="s">
        <v>44</v>
      </c>
      <c r="D410" s="9" t="s">
        <v>44</v>
      </c>
      <c r="E410" s="9" t="s">
        <v>976</v>
      </c>
      <c r="F410" s="9" t="s">
        <v>977</v>
      </c>
      <c r="G410" s="9">
        <v>1499</v>
      </c>
      <c r="H410" s="9">
        <v>6990</v>
      </c>
      <c r="I410" s="9">
        <v>79</v>
      </c>
      <c r="J410" s="11">
        <v>3.9</v>
      </c>
      <c r="K410" s="9">
        <v>21796</v>
      </c>
      <c r="L410" s="9">
        <v>3.9271803545466608</v>
      </c>
      <c r="M410" s="9" t="s">
        <v>28</v>
      </c>
      <c r="N410" s="9" t="s">
        <v>179</v>
      </c>
      <c r="O410" s="9">
        <v>44.3</v>
      </c>
      <c r="P410" s="9" t="s">
        <v>30</v>
      </c>
      <c r="Q410" s="9" t="b">
        <v>0</v>
      </c>
      <c r="R410" s="9" t="b">
        <v>0</v>
      </c>
      <c r="S410" s="9" t="b">
        <v>0</v>
      </c>
      <c r="T410" s="9">
        <v>0.68</v>
      </c>
      <c r="U410" s="9">
        <v>3</v>
      </c>
      <c r="V410" s="9" t="b">
        <v>0</v>
      </c>
      <c r="W410" s="9" t="s">
        <v>1297</v>
      </c>
    </row>
    <row r="411" spans="1:23" ht="29" customHeight="1" x14ac:dyDescent="0.2">
      <c r="A411" s="9" t="s">
        <v>1298</v>
      </c>
      <c r="B411" s="10" t="s">
        <v>1299</v>
      </c>
      <c r="C411" s="9" t="s">
        <v>44</v>
      </c>
      <c r="D411" s="9" t="s">
        <v>44</v>
      </c>
      <c r="E411" s="9" t="s">
        <v>976</v>
      </c>
      <c r="F411" s="9" t="s">
        <v>977</v>
      </c>
      <c r="G411" s="9">
        <v>1999</v>
      </c>
      <c r="H411" s="9">
        <v>7990</v>
      </c>
      <c r="I411" s="9">
        <v>75</v>
      </c>
      <c r="J411" s="11">
        <v>3.8</v>
      </c>
      <c r="K411" s="9">
        <v>17833</v>
      </c>
      <c r="L411" s="9">
        <v>3.849590844929768</v>
      </c>
      <c r="M411" s="9" t="s">
        <v>28</v>
      </c>
      <c r="N411" s="9" t="s">
        <v>179</v>
      </c>
      <c r="O411" s="9">
        <v>38.6</v>
      </c>
      <c r="P411" s="9" t="s">
        <v>40</v>
      </c>
      <c r="Q411" s="9" t="b">
        <v>0</v>
      </c>
      <c r="R411" s="9" t="b">
        <v>0</v>
      </c>
      <c r="S411" s="9" t="b">
        <v>1</v>
      </c>
      <c r="T411" s="9">
        <v>0.91</v>
      </c>
      <c r="U411" s="9">
        <v>4</v>
      </c>
      <c r="V411" s="9" t="b">
        <v>1</v>
      </c>
      <c r="W411" s="9" t="s">
        <v>1300</v>
      </c>
    </row>
    <row r="412" spans="1:23" ht="29" customHeight="1" x14ac:dyDescent="0.2">
      <c r="A412" s="9" t="s">
        <v>1301</v>
      </c>
      <c r="B412" s="10" t="s">
        <v>1302</v>
      </c>
      <c r="C412" s="9" t="s">
        <v>44</v>
      </c>
      <c r="D412" s="9" t="s">
        <v>44</v>
      </c>
      <c r="E412" s="9" t="s">
        <v>981</v>
      </c>
      <c r="F412" s="9" t="s">
        <v>1272</v>
      </c>
      <c r="G412" s="9">
        <v>999</v>
      </c>
      <c r="H412" s="9">
        <v>2899</v>
      </c>
      <c r="I412" s="9">
        <v>66</v>
      </c>
      <c r="J412" s="11">
        <v>4.7</v>
      </c>
      <c r="K412" s="9">
        <v>7779</v>
      </c>
      <c r="L412" s="9">
        <v>4.4993925479080552</v>
      </c>
      <c r="M412" s="9" t="s">
        <v>28</v>
      </c>
      <c r="N412" s="9" t="s">
        <v>93</v>
      </c>
      <c r="O412" s="9">
        <v>89.7</v>
      </c>
      <c r="P412" s="9" t="s">
        <v>36</v>
      </c>
      <c r="Q412" s="9" t="b">
        <v>1</v>
      </c>
      <c r="R412" s="9" t="b">
        <v>0</v>
      </c>
      <c r="S412" s="9" t="b">
        <v>0</v>
      </c>
      <c r="T412" s="9">
        <v>2.57</v>
      </c>
      <c r="U412" s="9">
        <v>1</v>
      </c>
      <c r="V412" s="9" t="b">
        <v>1</v>
      </c>
      <c r="W412" s="9" t="s">
        <v>1303</v>
      </c>
    </row>
    <row r="413" spans="1:23" ht="29" customHeight="1" x14ac:dyDescent="0.2">
      <c r="A413" s="9" t="s">
        <v>1304</v>
      </c>
      <c r="B413" s="10" t="s">
        <v>1305</v>
      </c>
      <c r="C413" s="9" t="s">
        <v>44</v>
      </c>
      <c r="D413" s="9" t="s">
        <v>44</v>
      </c>
      <c r="E413" s="9" t="s">
        <v>981</v>
      </c>
      <c r="F413" s="9" t="s">
        <v>1306</v>
      </c>
      <c r="G413" s="9">
        <v>2099</v>
      </c>
      <c r="H413" s="9">
        <v>5999</v>
      </c>
      <c r="I413" s="9">
        <v>65</v>
      </c>
      <c r="J413" s="11">
        <v>4.3</v>
      </c>
      <c r="K413" s="9">
        <v>17129</v>
      </c>
      <c r="L413" s="9">
        <v>4.261213368675338</v>
      </c>
      <c r="M413" s="9" t="s">
        <v>28</v>
      </c>
      <c r="N413" s="9" t="s">
        <v>179</v>
      </c>
      <c r="O413" s="9">
        <v>76.400000000000006</v>
      </c>
      <c r="P413" s="9" t="s">
        <v>36</v>
      </c>
      <c r="Q413" s="9" t="b">
        <v>0</v>
      </c>
      <c r="R413" s="9" t="b">
        <v>0</v>
      </c>
      <c r="S413" s="9" t="b">
        <v>0</v>
      </c>
      <c r="U413" s="9">
        <v>1</v>
      </c>
      <c r="V413" s="9" t="b">
        <v>1</v>
      </c>
      <c r="W413" s="9" t="s">
        <v>1307</v>
      </c>
    </row>
    <row r="414" spans="1:23" ht="29" customHeight="1" x14ac:dyDescent="0.2">
      <c r="A414" s="9" t="s">
        <v>1308</v>
      </c>
      <c r="B414" s="10" t="s">
        <v>1309</v>
      </c>
      <c r="C414" s="9" t="s">
        <v>44</v>
      </c>
      <c r="D414" s="9" t="s">
        <v>44</v>
      </c>
      <c r="E414" s="9" t="s">
        <v>981</v>
      </c>
      <c r="F414" s="9" t="s">
        <v>1099</v>
      </c>
      <c r="G414" s="9">
        <v>337</v>
      </c>
      <c r="H414" s="9">
        <v>699</v>
      </c>
      <c r="I414" s="9">
        <v>52</v>
      </c>
      <c r="J414" s="11">
        <v>4.2</v>
      </c>
      <c r="K414" s="9">
        <v>4969</v>
      </c>
      <c r="L414" s="9">
        <v>4.1502879335372862</v>
      </c>
      <c r="M414" s="9" t="s">
        <v>28</v>
      </c>
      <c r="N414" s="9" t="s">
        <v>29</v>
      </c>
      <c r="O414" s="9">
        <v>69.2</v>
      </c>
      <c r="P414" s="9" t="s">
        <v>36</v>
      </c>
      <c r="Q414" s="9" t="b">
        <v>0</v>
      </c>
      <c r="R414" s="9" t="b">
        <v>0</v>
      </c>
      <c r="S414" s="9" t="b">
        <v>0</v>
      </c>
      <c r="U414" s="9">
        <v>1</v>
      </c>
      <c r="V414" s="9" t="b">
        <v>1</v>
      </c>
      <c r="W414" s="9" t="s">
        <v>1310</v>
      </c>
    </row>
    <row r="415" spans="1:23" ht="29" customHeight="1" x14ac:dyDescent="0.2">
      <c r="A415" s="9" t="s">
        <v>1311</v>
      </c>
      <c r="B415" s="10" t="s">
        <v>1312</v>
      </c>
      <c r="C415" s="9" t="s">
        <v>44</v>
      </c>
      <c r="D415" s="9" t="s">
        <v>44</v>
      </c>
      <c r="E415" s="9" t="s">
        <v>976</v>
      </c>
      <c r="F415" s="9" t="s">
        <v>977</v>
      </c>
      <c r="G415" s="9">
        <v>2999</v>
      </c>
      <c r="H415" s="9">
        <v>7990</v>
      </c>
      <c r="I415" s="9">
        <v>62</v>
      </c>
      <c r="J415" s="11">
        <v>4.0999999999999996</v>
      </c>
      <c r="K415" s="9">
        <v>154</v>
      </c>
      <c r="L415" s="9">
        <v>4.0852391399670154</v>
      </c>
      <c r="M415" s="9" t="s">
        <v>89</v>
      </c>
      <c r="N415" s="9" t="s">
        <v>144</v>
      </c>
      <c r="O415" s="9">
        <v>47.7</v>
      </c>
      <c r="P415" s="9" t="s">
        <v>30</v>
      </c>
      <c r="Q415" s="9" t="b">
        <v>0</v>
      </c>
      <c r="R415" s="9" t="b">
        <v>0</v>
      </c>
      <c r="S415" s="9" t="b">
        <v>0</v>
      </c>
      <c r="T415" s="9">
        <v>1.36</v>
      </c>
      <c r="U415" s="9">
        <v>2</v>
      </c>
      <c r="V415" s="9" t="b">
        <v>1</v>
      </c>
      <c r="W415" s="9" t="s">
        <v>1313</v>
      </c>
    </row>
    <row r="416" spans="1:23" ht="29" customHeight="1" x14ac:dyDescent="0.2">
      <c r="A416" s="9" t="s">
        <v>1314</v>
      </c>
      <c r="B416" s="10" t="s">
        <v>1315</v>
      </c>
      <c r="C416" s="9" t="s">
        <v>44</v>
      </c>
      <c r="D416" s="9" t="s">
        <v>44</v>
      </c>
      <c r="E416" s="9" t="s">
        <v>976</v>
      </c>
      <c r="F416" s="9" t="s">
        <v>977</v>
      </c>
      <c r="G416" s="9">
        <v>1299</v>
      </c>
      <c r="H416" s="9">
        <v>5999</v>
      </c>
      <c r="I416" s="9">
        <v>78</v>
      </c>
      <c r="J416" s="11">
        <v>3.3</v>
      </c>
      <c r="K416" s="9">
        <v>4415</v>
      </c>
      <c r="L416" s="9">
        <v>3.6610136461853648</v>
      </c>
      <c r="M416" s="9" t="s">
        <v>28</v>
      </c>
      <c r="N416" s="9" t="s">
        <v>179</v>
      </c>
      <c r="O416" s="9">
        <v>41.9</v>
      </c>
      <c r="P416" s="9" t="s">
        <v>30</v>
      </c>
      <c r="Q416" s="9" t="b">
        <v>0</v>
      </c>
      <c r="R416" s="9" t="b">
        <v>0</v>
      </c>
      <c r="S416" s="9" t="b">
        <v>1</v>
      </c>
      <c r="T416" s="9">
        <v>0.59</v>
      </c>
      <c r="U416" s="9">
        <v>3</v>
      </c>
      <c r="V416" s="9" t="b">
        <v>1</v>
      </c>
      <c r="W416" s="9" t="s">
        <v>1316</v>
      </c>
    </row>
    <row r="417" spans="1:23" ht="29" customHeight="1" x14ac:dyDescent="0.2">
      <c r="A417" s="9" t="s">
        <v>1317</v>
      </c>
      <c r="B417" s="10" t="s">
        <v>1318</v>
      </c>
      <c r="C417" s="9" t="s">
        <v>44</v>
      </c>
      <c r="D417" s="9" t="s">
        <v>44</v>
      </c>
      <c r="E417" s="9" t="s">
        <v>981</v>
      </c>
      <c r="F417" s="9" t="s">
        <v>986</v>
      </c>
      <c r="G417" s="9">
        <v>16499</v>
      </c>
      <c r="H417" s="9">
        <v>20990</v>
      </c>
      <c r="I417" s="9">
        <v>21</v>
      </c>
      <c r="J417" s="11">
        <v>4</v>
      </c>
      <c r="K417" s="9">
        <v>21350</v>
      </c>
      <c r="L417" s="9">
        <v>4.0126805014108839</v>
      </c>
      <c r="M417" s="9" t="s">
        <v>28</v>
      </c>
      <c r="N417" s="9" t="s">
        <v>58</v>
      </c>
      <c r="O417" s="9">
        <v>13.3</v>
      </c>
      <c r="P417" s="9" t="s">
        <v>40</v>
      </c>
      <c r="Q417" s="9" t="b">
        <v>0</v>
      </c>
      <c r="R417" s="9" t="b">
        <v>0</v>
      </c>
      <c r="S417" s="9" t="b">
        <v>0</v>
      </c>
      <c r="T417" s="9">
        <v>1.22</v>
      </c>
      <c r="U417" s="9">
        <v>3</v>
      </c>
      <c r="V417" s="9" t="b">
        <v>0</v>
      </c>
      <c r="W417" s="9" t="s">
        <v>1319</v>
      </c>
    </row>
    <row r="418" spans="1:23" ht="29" customHeight="1" x14ac:dyDescent="0.2">
      <c r="A418" s="9" t="s">
        <v>1320</v>
      </c>
      <c r="B418" s="10" t="s">
        <v>1321</v>
      </c>
      <c r="C418" s="9" t="s">
        <v>44</v>
      </c>
      <c r="D418" s="9" t="s">
        <v>44</v>
      </c>
      <c r="E418" s="9" t="s">
        <v>1009</v>
      </c>
      <c r="F418" s="9" t="s">
        <v>1010</v>
      </c>
      <c r="G418" s="9">
        <v>499</v>
      </c>
      <c r="H418" s="9">
        <v>499</v>
      </c>
      <c r="I418" s="9">
        <v>0</v>
      </c>
      <c r="J418" s="11">
        <v>4.2</v>
      </c>
      <c r="K418" s="9">
        <v>31539</v>
      </c>
      <c r="L418" s="9">
        <v>4.1877041794734167</v>
      </c>
      <c r="M418" s="9" t="s">
        <v>28</v>
      </c>
      <c r="N418" s="9" t="s">
        <v>29</v>
      </c>
      <c r="O418" s="9">
        <v>52.3</v>
      </c>
      <c r="P418" s="9" t="s">
        <v>53</v>
      </c>
      <c r="Q418" s="9" t="b">
        <v>0</v>
      </c>
      <c r="R418" s="9" t="b">
        <v>0</v>
      </c>
      <c r="S418" s="9" t="b">
        <v>0</v>
      </c>
      <c r="T418" s="9">
        <v>0.53</v>
      </c>
      <c r="U418" s="9">
        <v>2</v>
      </c>
      <c r="V418" s="9" t="b">
        <v>1</v>
      </c>
      <c r="W418" s="9" t="s">
        <v>1322</v>
      </c>
    </row>
    <row r="419" spans="1:23" ht="29" customHeight="1" x14ac:dyDescent="0.2">
      <c r="A419" s="9" t="s">
        <v>1323</v>
      </c>
      <c r="B419" s="10" t="s">
        <v>1324</v>
      </c>
      <c r="C419" s="9" t="s">
        <v>44</v>
      </c>
      <c r="D419" s="9" t="s">
        <v>44</v>
      </c>
      <c r="E419" s="9" t="s">
        <v>981</v>
      </c>
      <c r="F419" s="9" t="s">
        <v>1272</v>
      </c>
      <c r="G419" s="9">
        <v>999</v>
      </c>
      <c r="H419" s="9">
        <v>2899</v>
      </c>
      <c r="I419" s="9">
        <v>66</v>
      </c>
      <c r="J419" s="11">
        <v>4.5999999999999996</v>
      </c>
      <c r="K419" s="9">
        <v>6129</v>
      </c>
      <c r="L419" s="9">
        <v>4.4039669505818946</v>
      </c>
      <c r="M419" s="9" t="s">
        <v>28</v>
      </c>
      <c r="N419" s="9" t="s">
        <v>93</v>
      </c>
      <c r="O419" s="9">
        <v>88.6</v>
      </c>
      <c r="P419" s="9" t="s">
        <v>36</v>
      </c>
      <c r="Q419" s="9" t="b">
        <v>1</v>
      </c>
      <c r="R419" s="9" t="b">
        <v>0</v>
      </c>
      <c r="S419" s="9" t="b">
        <v>0</v>
      </c>
      <c r="T419" s="9">
        <v>2.57</v>
      </c>
      <c r="U419" s="9">
        <v>1</v>
      </c>
      <c r="V419" s="9" t="b">
        <v>1</v>
      </c>
      <c r="W419" s="9" t="s">
        <v>1325</v>
      </c>
    </row>
    <row r="420" spans="1:23" ht="29" customHeight="1" x14ac:dyDescent="0.2">
      <c r="A420" s="9" t="s">
        <v>1326</v>
      </c>
      <c r="B420" s="10" t="s">
        <v>1327</v>
      </c>
      <c r="C420" s="9" t="s">
        <v>44</v>
      </c>
      <c r="D420" s="9" t="s">
        <v>44</v>
      </c>
      <c r="E420" s="9" t="s">
        <v>981</v>
      </c>
      <c r="F420" s="9" t="s">
        <v>986</v>
      </c>
      <c r="G420" s="9">
        <v>10499</v>
      </c>
      <c r="H420" s="9">
        <v>13499</v>
      </c>
      <c r="I420" s="9">
        <v>22</v>
      </c>
      <c r="J420" s="11">
        <v>4.2</v>
      </c>
      <c r="K420" s="9">
        <v>284</v>
      </c>
      <c r="L420" s="9">
        <v>4.09273176613884</v>
      </c>
      <c r="M420" s="9" t="s">
        <v>89</v>
      </c>
      <c r="N420" s="9" t="s">
        <v>58</v>
      </c>
      <c r="O420" s="9">
        <v>30.2</v>
      </c>
      <c r="P420" s="9" t="s">
        <v>40</v>
      </c>
      <c r="Q420" s="9" t="b">
        <v>0</v>
      </c>
      <c r="R420" s="9" t="b">
        <v>0</v>
      </c>
      <c r="S420" s="9" t="b">
        <v>0</v>
      </c>
      <c r="T420" s="9">
        <v>0.78</v>
      </c>
      <c r="U420" s="9">
        <v>3</v>
      </c>
      <c r="V420" s="9" t="b">
        <v>0</v>
      </c>
      <c r="W420" s="9" t="s">
        <v>1328</v>
      </c>
    </row>
    <row r="421" spans="1:23" ht="29" customHeight="1" x14ac:dyDescent="0.2">
      <c r="A421" s="9" t="s">
        <v>1329</v>
      </c>
      <c r="B421" s="10" t="s">
        <v>1330</v>
      </c>
      <c r="C421" s="9" t="s">
        <v>44</v>
      </c>
      <c r="D421" s="9" t="s">
        <v>44</v>
      </c>
      <c r="E421" s="9" t="s">
        <v>981</v>
      </c>
      <c r="F421" s="9" t="s">
        <v>1331</v>
      </c>
      <c r="G421" s="9">
        <v>251</v>
      </c>
      <c r="H421" s="9">
        <v>999</v>
      </c>
      <c r="I421" s="9">
        <v>75</v>
      </c>
      <c r="J421" s="11">
        <v>3.7</v>
      </c>
      <c r="K421" s="9">
        <v>3234</v>
      </c>
      <c r="L421" s="9">
        <v>3.9068447211721309</v>
      </c>
      <c r="M421" s="9" t="s">
        <v>28</v>
      </c>
      <c r="N421" s="9" t="s">
        <v>29</v>
      </c>
      <c r="O421" s="9">
        <v>49.3</v>
      </c>
      <c r="P421" s="9" t="s">
        <v>30</v>
      </c>
      <c r="Q421" s="9" t="b">
        <v>0</v>
      </c>
      <c r="R421" s="9" t="b">
        <v>0</v>
      </c>
      <c r="S421" s="9" t="b">
        <v>1</v>
      </c>
      <c r="U421" s="9">
        <v>1</v>
      </c>
      <c r="V421" s="9" t="b">
        <v>1</v>
      </c>
      <c r="W421" s="9" t="s">
        <v>1332</v>
      </c>
    </row>
    <row r="422" spans="1:23" ht="29" customHeight="1" x14ac:dyDescent="0.2">
      <c r="A422" s="9" t="s">
        <v>1333</v>
      </c>
      <c r="B422" s="10" t="s">
        <v>1334</v>
      </c>
      <c r="C422" s="9" t="s">
        <v>44</v>
      </c>
      <c r="D422" s="9" t="s">
        <v>44</v>
      </c>
      <c r="E422" s="9" t="s">
        <v>981</v>
      </c>
      <c r="F422" s="9" t="s">
        <v>986</v>
      </c>
      <c r="G422" s="9">
        <v>6499</v>
      </c>
      <c r="H422" s="9">
        <v>7999</v>
      </c>
      <c r="I422" s="9">
        <v>19</v>
      </c>
      <c r="J422" s="11">
        <v>4.0999999999999996</v>
      </c>
      <c r="K422" s="9">
        <v>313832</v>
      </c>
      <c r="L422" s="9">
        <v>4.0998179725772346</v>
      </c>
      <c r="M422" s="9" t="s">
        <v>28</v>
      </c>
      <c r="N422" s="9" t="s">
        <v>144</v>
      </c>
      <c r="O422" s="9">
        <v>35.799999999999997</v>
      </c>
      <c r="P422" s="9" t="s">
        <v>40</v>
      </c>
      <c r="Q422" s="9" t="b">
        <v>0</v>
      </c>
      <c r="R422" s="9" t="b">
        <v>0</v>
      </c>
      <c r="S422" s="9" t="b">
        <v>0</v>
      </c>
      <c r="T422" s="9">
        <v>0.48</v>
      </c>
      <c r="U422" s="9">
        <v>4</v>
      </c>
      <c r="V422" s="9" t="b">
        <v>0</v>
      </c>
      <c r="W422" s="9" t="s">
        <v>1335</v>
      </c>
    </row>
    <row r="423" spans="1:23" ht="29" customHeight="1" x14ac:dyDescent="0.2">
      <c r="A423" s="9" t="s">
        <v>1336</v>
      </c>
      <c r="B423" s="10" t="s">
        <v>1337</v>
      </c>
      <c r="C423" s="9" t="s">
        <v>44</v>
      </c>
      <c r="D423" s="9" t="s">
        <v>44</v>
      </c>
      <c r="E423" s="9" t="s">
        <v>981</v>
      </c>
      <c r="F423" s="9" t="s">
        <v>1338</v>
      </c>
      <c r="G423" s="9">
        <v>279</v>
      </c>
      <c r="H423" s="9">
        <v>1499</v>
      </c>
      <c r="I423" s="9">
        <v>81</v>
      </c>
      <c r="J423" s="11">
        <v>4.2</v>
      </c>
      <c r="K423" s="9">
        <v>2646</v>
      </c>
      <c r="L423" s="9">
        <v>4.13226793971769</v>
      </c>
      <c r="M423" s="9" t="s">
        <v>28</v>
      </c>
      <c r="N423" s="9" t="s">
        <v>29</v>
      </c>
      <c r="O423" s="9">
        <v>79.900000000000006</v>
      </c>
      <c r="P423" s="9" t="s">
        <v>36</v>
      </c>
      <c r="Q423" s="9" t="b">
        <v>0</v>
      </c>
      <c r="R423" s="9" t="b">
        <v>0</v>
      </c>
      <c r="S423" s="9" t="b">
        <v>0</v>
      </c>
      <c r="U423" s="9">
        <v>1</v>
      </c>
      <c r="V423" s="9" t="b">
        <v>1</v>
      </c>
      <c r="W423" s="9" t="s">
        <v>1339</v>
      </c>
    </row>
    <row r="424" spans="1:23" ht="29" customHeight="1" x14ac:dyDescent="0.2">
      <c r="A424" s="9" t="s">
        <v>1340</v>
      </c>
      <c r="B424" s="10" t="s">
        <v>1341</v>
      </c>
      <c r="C424" s="9" t="s">
        <v>44</v>
      </c>
      <c r="D424" s="9" t="s">
        <v>44</v>
      </c>
      <c r="E424" s="9" t="s">
        <v>981</v>
      </c>
      <c r="F424" s="9" t="s">
        <v>1158</v>
      </c>
      <c r="G424" s="9">
        <v>269</v>
      </c>
      <c r="H424" s="9">
        <v>1499</v>
      </c>
      <c r="I424" s="9">
        <v>82</v>
      </c>
      <c r="J424" s="11">
        <v>4.5</v>
      </c>
      <c r="K424" s="9">
        <v>28978</v>
      </c>
      <c r="L424" s="9">
        <v>4.4522667366619579</v>
      </c>
      <c r="M424" s="9" t="s">
        <v>28</v>
      </c>
      <c r="N424" s="9" t="s">
        <v>29</v>
      </c>
      <c r="O424" s="9">
        <v>97.9</v>
      </c>
      <c r="P424" s="9" t="s">
        <v>36</v>
      </c>
      <c r="Q424" s="9" t="b">
        <v>1</v>
      </c>
      <c r="R424" s="9" t="b">
        <v>0</v>
      </c>
      <c r="S424" s="9" t="b">
        <v>0</v>
      </c>
      <c r="U424" s="9">
        <v>2</v>
      </c>
      <c r="V424" s="9" t="b">
        <v>1</v>
      </c>
      <c r="W424" s="9" t="s">
        <v>1342</v>
      </c>
    </row>
    <row r="425" spans="1:23" ht="29" customHeight="1" x14ac:dyDescent="0.2">
      <c r="A425" s="9" t="s">
        <v>1343</v>
      </c>
      <c r="B425" s="10" t="s">
        <v>1344</v>
      </c>
      <c r="C425" s="9" t="s">
        <v>44</v>
      </c>
      <c r="D425" s="9" t="s">
        <v>44</v>
      </c>
      <c r="E425" s="9" t="s">
        <v>981</v>
      </c>
      <c r="F425" s="9" t="s">
        <v>986</v>
      </c>
      <c r="G425" s="9">
        <v>8999</v>
      </c>
      <c r="H425" s="9">
        <v>13499</v>
      </c>
      <c r="I425" s="9">
        <v>33</v>
      </c>
      <c r="J425" s="11">
        <v>3.8</v>
      </c>
      <c r="K425" s="9">
        <v>3145</v>
      </c>
      <c r="L425" s="9">
        <v>3.9550400422266829</v>
      </c>
      <c r="M425" s="9" t="s">
        <v>28</v>
      </c>
      <c r="N425" s="9" t="s">
        <v>144</v>
      </c>
      <c r="O425" s="9">
        <v>16.399999999999999</v>
      </c>
      <c r="P425" s="9" t="s">
        <v>40</v>
      </c>
      <c r="Q425" s="9" t="b">
        <v>0</v>
      </c>
      <c r="R425" s="9" t="b">
        <v>0</v>
      </c>
      <c r="S425" s="9" t="b">
        <v>1</v>
      </c>
      <c r="T425" s="9">
        <v>0.67</v>
      </c>
      <c r="U425" s="9">
        <v>1</v>
      </c>
      <c r="V425" s="9" t="b">
        <v>1</v>
      </c>
      <c r="W425" s="9" t="s">
        <v>1345</v>
      </c>
    </row>
    <row r="426" spans="1:23" ht="29" customHeight="1" x14ac:dyDescent="0.2">
      <c r="A426" s="9" t="s">
        <v>1346</v>
      </c>
      <c r="B426" s="10" t="s">
        <v>1347</v>
      </c>
      <c r="C426" s="9" t="s">
        <v>44</v>
      </c>
      <c r="D426" s="9" t="s">
        <v>44</v>
      </c>
      <c r="E426" s="9" t="s">
        <v>1009</v>
      </c>
      <c r="F426" s="9" t="s">
        <v>1010</v>
      </c>
      <c r="G426" s="9">
        <v>599</v>
      </c>
      <c r="H426" s="9">
        <v>1299</v>
      </c>
      <c r="I426" s="9">
        <v>54</v>
      </c>
      <c r="J426" s="11">
        <v>4.0999999999999996</v>
      </c>
      <c r="K426" s="9">
        <v>192589</v>
      </c>
      <c r="L426" s="9">
        <v>4.0997055743993842</v>
      </c>
      <c r="M426" s="9" t="s">
        <v>28</v>
      </c>
      <c r="N426" s="9" t="s">
        <v>93</v>
      </c>
      <c r="O426" s="9">
        <v>59.2</v>
      </c>
      <c r="P426" s="9" t="s">
        <v>53</v>
      </c>
      <c r="Q426" s="9" t="b">
        <v>0</v>
      </c>
      <c r="R426" s="9" t="b">
        <v>0</v>
      </c>
      <c r="S426" s="9" t="b">
        <v>0</v>
      </c>
      <c r="T426" s="9">
        <v>0.63</v>
      </c>
      <c r="U426" s="9">
        <v>2</v>
      </c>
      <c r="V426" s="9" t="b">
        <v>0</v>
      </c>
      <c r="W426" s="9" t="s">
        <v>1348</v>
      </c>
    </row>
    <row r="427" spans="1:23" ht="29" customHeight="1" x14ac:dyDescent="0.2">
      <c r="A427" s="9" t="s">
        <v>1349</v>
      </c>
      <c r="B427" s="10" t="s">
        <v>1350</v>
      </c>
      <c r="C427" s="9" t="s">
        <v>44</v>
      </c>
      <c r="D427" s="9" t="s">
        <v>44</v>
      </c>
      <c r="E427" s="9" t="s">
        <v>981</v>
      </c>
      <c r="F427" s="9" t="s">
        <v>1306</v>
      </c>
      <c r="G427" s="9">
        <v>349</v>
      </c>
      <c r="H427" s="9">
        <v>999</v>
      </c>
      <c r="I427" s="9">
        <v>65</v>
      </c>
      <c r="J427" s="11">
        <v>3.8</v>
      </c>
      <c r="K427" s="9">
        <v>16557</v>
      </c>
      <c r="L427" s="9">
        <v>3.8527049923315442</v>
      </c>
      <c r="M427" s="9" t="s">
        <v>28</v>
      </c>
      <c r="N427" s="9" t="s">
        <v>29</v>
      </c>
      <c r="O427" s="9">
        <v>44.7</v>
      </c>
      <c r="P427" s="9" t="s">
        <v>30</v>
      </c>
      <c r="Q427" s="9" t="b">
        <v>0</v>
      </c>
      <c r="R427" s="9" t="b">
        <v>0</v>
      </c>
      <c r="S427" s="9" t="b">
        <v>1</v>
      </c>
      <c r="U427" s="9">
        <v>2</v>
      </c>
      <c r="V427" s="9" t="b">
        <v>1</v>
      </c>
      <c r="W427" s="9" t="s">
        <v>1351</v>
      </c>
    </row>
    <row r="428" spans="1:23" ht="29" customHeight="1" x14ac:dyDescent="0.2">
      <c r="A428" s="9" t="s">
        <v>1352</v>
      </c>
      <c r="B428" s="10" t="s">
        <v>1145</v>
      </c>
      <c r="C428" s="9" t="s">
        <v>44</v>
      </c>
      <c r="D428" s="9" t="s">
        <v>44</v>
      </c>
      <c r="E428" s="9" t="s">
        <v>981</v>
      </c>
      <c r="F428" s="9" t="s">
        <v>986</v>
      </c>
      <c r="G428" s="9">
        <v>13999</v>
      </c>
      <c r="H428" s="9">
        <v>19499</v>
      </c>
      <c r="I428" s="9">
        <v>28</v>
      </c>
      <c r="J428" s="11">
        <v>4.0999999999999996</v>
      </c>
      <c r="K428" s="9">
        <v>18998</v>
      </c>
      <c r="L428" s="9">
        <v>4.0974600334650297</v>
      </c>
      <c r="M428" s="9" t="s">
        <v>28</v>
      </c>
      <c r="N428" s="9" t="s">
        <v>58</v>
      </c>
      <c r="O428" s="9">
        <v>34.6</v>
      </c>
      <c r="P428" s="9" t="s">
        <v>40</v>
      </c>
      <c r="Q428" s="9" t="b">
        <v>0</v>
      </c>
      <c r="R428" s="9" t="b">
        <v>0</v>
      </c>
      <c r="S428" s="9" t="b">
        <v>0</v>
      </c>
      <c r="T428" s="9">
        <v>1.04</v>
      </c>
      <c r="U428" s="9">
        <v>8</v>
      </c>
      <c r="V428" s="9" t="b">
        <v>0</v>
      </c>
      <c r="W428" s="9" t="s">
        <v>1353</v>
      </c>
    </row>
    <row r="429" spans="1:23" ht="29" customHeight="1" x14ac:dyDescent="0.2">
      <c r="A429" s="9" t="s">
        <v>1354</v>
      </c>
      <c r="B429" s="10" t="s">
        <v>1355</v>
      </c>
      <c r="C429" s="9" t="s">
        <v>44</v>
      </c>
      <c r="D429" s="9" t="s">
        <v>44</v>
      </c>
      <c r="E429" s="9" t="s">
        <v>981</v>
      </c>
      <c r="F429" s="9" t="s">
        <v>1306</v>
      </c>
      <c r="G429" s="9">
        <v>349</v>
      </c>
      <c r="H429" s="9">
        <v>999</v>
      </c>
      <c r="I429" s="9">
        <v>65</v>
      </c>
      <c r="J429" s="11">
        <v>3.8</v>
      </c>
      <c r="K429" s="9">
        <v>16557</v>
      </c>
      <c r="L429" s="9">
        <v>3.8527049923315442</v>
      </c>
      <c r="M429" s="9" t="s">
        <v>28</v>
      </c>
      <c r="N429" s="9" t="s">
        <v>29</v>
      </c>
      <c r="O429" s="9">
        <v>44.7</v>
      </c>
      <c r="P429" s="9" t="s">
        <v>30</v>
      </c>
      <c r="Q429" s="9" t="b">
        <v>0</v>
      </c>
      <c r="R429" s="9" t="b">
        <v>0</v>
      </c>
      <c r="S429" s="9" t="b">
        <v>1</v>
      </c>
      <c r="U429" s="9">
        <v>2</v>
      </c>
      <c r="V429" s="9" t="b">
        <v>0</v>
      </c>
      <c r="W429" s="9" t="s">
        <v>1356</v>
      </c>
    </row>
    <row r="430" spans="1:23" ht="29" customHeight="1" x14ac:dyDescent="0.2">
      <c r="A430" s="9" t="s">
        <v>1357</v>
      </c>
      <c r="B430" s="10" t="s">
        <v>1358</v>
      </c>
      <c r="C430" s="9" t="s">
        <v>44</v>
      </c>
      <c r="D430" s="9" t="s">
        <v>44</v>
      </c>
      <c r="E430" s="9" t="s">
        <v>981</v>
      </c>
      <c r="F430" s="9" t="s">
        <v>1044</v>
      </c>
      <c r="G430" s="9">
        <v>499</v>
      </c>
      <c r="H430" s="9">
        <v>599</v>
      </c>
      <c r="I430" s="9">
        <v>17</v>
      </c>
      <c r="J430" s="11">
        <v>4.2</v>
      </c>
      <c r="K430" s="9">
        <v>21916</v>
      </c>
      <c r="L430" s="9">
        <v>4.1830963292902954</v>
      </c>
      <c r="M430" s="9" t="s">
        <v>28</v>
      </c>
      <c r="N430" s="9" t="s">
        <v>29</v>
      </c>
      <c r="O430" s="9">
        <v>57.7</v>
      </c>
      <c r="P430" s="9" t="s">
        <v>53</v>
      </c>
      <c r="Q430" s="9" t="b">
        <v>0</v>
      </c>
      <c r="R430" s="9" t="b">
        <v>0</v>
      </c>
      <c r="S430" s="9" t="b">
        <v>0</v>
      </c>
      <c r="T430" s="9">
        <v>1</v>
      </c>
      <c r="U430" s="9">
        <v>1</v>
      </c>
      <c r="V430" s="9" t="b">
        <v>1</v>
      </c>
      <c r="W430" s="9" t="s">
        <v>1359</v>
      </c>
    </row>
    <row r="431" spans="1:23" ht="29" customHeight="1" x14ac:dyDescent="0.2">
      <c r="A431" s="9" t="s">
        <v>1360</v>
      </c>
      <c r="B431" s="10" t="s">
        <v>1361</v>
      </c>
      <c r="C431" s="9" t="s">
        <v>44</v>
      </c>
      <c r="D431" s="9" t="s">
        <v>44</v>
      </c>
      <c r="E431" s="9" t="s">
        <v>976</v>
      </c>
      <c r="F431" s="9" t="s">
        <v>977</v>
      </c>
      <c r="G431" s="9">
        <v>2199</v>
      </c>
      <c r="H431" s="9">
        <v>9999</v>
      </c>
      <c r="I431" s="9">
        <v>78</v>
      </c>
      <c r="J431" s="11">
        <v>4.2</v>
      </c>
      <c r="K431" s="9">
        <v>29472</v>
      </c>
      <c r="L431" s="9">
        <v>4.18693944821438</v>
      </c>
      <c r="M431" s="9" t="s">
        <v>28</v>
      </c>
      <c r="N431" s="9" t="s">
        <v>179</v>
      </c>
      <c r="O431" s="9">
        <v>74.3</v>
      </c>
      <c r="P431" s="9" t="s">
        <v>36</v>
      </c>
      <c r="Q431" s="9" t="b">
        <v>0</v>
      </c>
      <c r="R431" s="9" t="b">
        <v>0</v>
      </c>
      <c r="S431" s="9" t="b">
        <v>0</v>
      </c>
      <c r="T431" s="9">
        <v>1</v>
      </c>
      <c r="U431" s="9">
        <v>2</v>
      </c>
      <c r="V431" s="9" t="b">
        <v>0</v>
      </c>
      <c r="W431" s="9" t="s">
        <v>1362</v>
      </c>
    </row>
    <row r="432" spans="1:23" ht="29" customHeight="1" x14ac:dyDescent="0.2">
      <c r="A432" s="9" t="s">
        <v>1363</v>
      </c>
      <c r="B432" s="10" t="s">
        <v>1364</v>
      </c>
      <c r="C432" s="9" t="s">
        <v>25</v>
      </c>
      <c r="D432" s="9" t="s">
        <v>25</v>
      </c>
      <c r="E432" s="9" t="s">
        <v>26</v>
      </c>
      <c r="F432" s="9" t="s">
        <v>27</v>
      </c>
      <c r="G432" s="9">
        <v>139</v>
      </c>
      <c r="H432" s="9">
        <v>249</v>
      </c>
      <c r="I432" s="9">
        <v>44</v>
      </c>
      <c r="J432" s="11">
        <v>4</v>
      </c>
      <c r="K432" s="9">
        <v>9377</v>
      </c>
      <c r="L432" s="9">
        <v>4.0242352518498281</v>
      </c>
      <c r="M432" s="9" t="s">
        <v>28</v>
      </c>
      <c r="N432" s="9" t="s">
        <v>29</v>
      </c>
      <c r="O432" s="9">
        <v>39.299999999999997</v>
      </c>
      <c r="P432" s="9" t="s">
        <v>30</v>
      </c>
      <c r="Q432" s="9" t="b">
        <v>0</v>
      </c>
      <c r="R432" s="9" t="b">
        <v>0</v>
      </c>
      <c r="S432" s="9" t="b">
        <v>0</v>
      </c>
      <c r="T432" s="9">
        <v>0.46</v>
      </c>
      <c r="U432" s="9">
        <v>8</v>
      </c>
      <c r="V432" s="9" t="b">
        <v>0</v>
      </c>
      <c r="W432" s="9" t="s">
        <v>1365</v>
      </c>
    </row>
    <row r="433" spans="1:23" ht="29" customHeight="1" x14ac:dyDescent="0.2">
      <c r="A433" s="9" t="s">
        <v>1366</v>
      </c>
      <c r="B433" s="10" t="s">
        <v>1367</v>
      </c>
      <c r="C433" s="9" t="s">
        <v>44</v>
      </c>
      <c r="D433" s="9" t="s">
        <v>44</v>
      </c>
      <c r="E433" s="9" t="s">
        <v>976</v>
      </c>
      <c r="F433" s="9" t="s">
        <v>977</v>
      </c>
      <c r="G433" s="9">
        <v>4499</v>
      </c>
      <c r="H433" s="9">
        <v>7999</v>
      </c>
      <c r="I433" s="9">
        <v>44</v>
      </c>
      <c r="J433" s="11">
        <v>3.5</v>
      </c>
      <c r="K433" s="9">
        <v>37</v>
      </c>
      <c r="L433" s="9">
        <v>4.0789417269853443</v>
      </c>
      <c r="M433" s="9" t="s">
        <v>204</v>
      </c>
      <c r="N433" s="9" t="s">
        <v>144</v>
      </c>
      <c r="O433" s="9">
        <v>34.9</v>
      </c>
      <c r="P433" s="9" t="s">
        <v>40</v>
      </c>
      <c r="Q433" s="9" t="b">
        <v>0</v>
      </c>
      <c r="R433" s="9" t="b">
        <v>0</v>
      </c>
      <c r="S433" s="9" t="b">
        <v>1</v>
      </c>
      <c r="T433" s="9">
        <v>2.0499999999999998</v>
      </c>
      <c r="U433" s="9">
        <v>1</v>
      </c>
      <c r="V433" s="9" t="b">
        <v>1</v>
      </c>
      <c r="W433" s="9" t="s">
        <v>1368</v>
      </c>
    </row>
    <row r="434" spans="1:23" ht="29" customHeight="1" x14ac:dyDescent="0.2">
      <c r="A434" s="9" t="s">
        <v>1369</v>
      </c>
      <c r="B434" s="10" t="s">
        <v>1370</v>
      </c>
      <c r="C434" s="9" t="s">
        <v>44</v>
      </c>
      <c r="D434" s="9" t="s">
        <v>44</v>
      </c>
      <c r="E434" s="9" t="s">
        <v>981</v>
      </c>
      <c r="F434" s="9" t="s">
        <v>1158</v>
      </c>
      <c r="G434" s="9">
        <v>89</v>
      </c>
      <c r="H434" s="9">
        <v>599</v>
      </c>
      <c r="I434" s="9">
        <v>85</v>
      </c>
      <c r="J434" s="11">
        <v>4.3</v>
      </c>
      <c r="K434" s="9">
        <v>2351</v>
      </c>
      <c r="L434" s="9">
        <v>4.1674554824046481</v>
      </c>
      <c r="M434" s="9" t="s">
        <v>28</v>
      </c>
      <c r="N434" s="9" t="s">
        <v>29</v>
      </c>
      <c r="O434" s="9">
        <v>84.1</v>
      </c>
      <c r="P434" s="9" t="s">
        <v>36</v>
      </c>
      <c r="Q434" s="9" t="b">
        <v>1</v>
      </c>
      <c r="R434" s="9" t="b">
        <v>0</v>
      </c>
      <c r="S434" s="9" t="b">
        <v>0</v>
      </c>
      <c r="U434" s="9">
        <v>1</v>
      </c>
      <c r="V434" s="9" t="b">
        <v>1</v>
      </c>
      <c r="W434" s="9" t="s">
        <v>1371</v>
      </c>
    </row>
    <row r="435" spans="1:23" ht="29" customHeight="1" x14ac:dyDescent="0.2">
      <c r="A435" s="9" t="s">
        <v>1372</v>
      </c>
      <c r="B435" s="10" t="s">
        <v>1373</v>
      </c>
      <c r="C435" s="9" t="s">
        <v>44</v>
      </c>
      <c r="D435" s="9" t="s">
        <v>44</v>
      </c>
      <c r="E435" s="9" t="s">
        <v>981</v>
      </c>
      <c r="F435" s="9" t="s">
        <v>986</v>
      </c>
      <c r="G435" s="9">
        <v>15499</v>
      </c>
      <c r="H435" s="9">
        <v>20999</v>
      </c>
      <c r="I435" s="9">
        <v>26</v>
      </c>
      <c r="J435" s="11">
        <v>4.0999999999999996</v>
      </c>
      <c r="K435" s="9">
        <v>19253</v>
      </c>
      <c r="L435" s="9">
        <v>4.0974881749986229</v>
      </c>
      <c r="M435" s="9" t="s">
        <v>28</v>
      </c>
      <c r="N435" s="9" t="s">
        <v>58</v>
      </c>
      <c r="O435" s="9">
        <v>33.799999999999997</v>
      </c>
      <c r="P435" s="9" t="s">
        <v>40</v>
      </c>
      <c r="Q435" s="9" t="b">
        <v>0</v>
      </c>
      <c r="R435" s="9" t="b">
        <v>0</v>
      </c>
      <c r="S435" s="9" t="b">
        <v>0</v>
      </c>
      <c r="T435" s="9">
        <v>1.1499999999999999</v>
      </c>
      <c r="U435" s="9">
        <v>6</v>
      </c>
      <c r="V435" s="9" t="b">
        <v>1</v>
      </c>
      <c r="W435" s="9" t="s">
        <v>1374</v>
      </c>
    </row>
    <row r="436" spans="1:23" ht="29" customHeight="1" x14ac:dyDescent="0.2">
      <c r="A436" s="9" t="s">
        <v>1375</v>
      </c>
      <c r="B436" s="10" t="s">
        <v>1376</v>
      </c>
      <c r="C436" s="9" t="s">
        <v>44</v>
      </c>
      <c r="D436" s="9" t="s">
        <v>44</v>
      </c>
      <c r="E436" s="9" t="s">
        <v>981</v>
      </c>
      <c r="F436" s="9" t="s">
        <v>986</v>
      </c>
      <c r="G436" s="9">
        <v>13999</v>
      </c>
      <c r="H436" s="9">
        <v>15999</v>
      </c>
      <c r="I436" s="9">
        <v>13</v>
      </c>
      <c r="J436" s="11">
        <v>3.9</v>
      </c>
      <c r="K436" s="9">
        <v>2180</v>
      </c>
      <c r="L436" s="9">
        <v>4.0169018244309322</v>
      </c>
      <c r="M436" s="9" t="s">
        <v>28</v>
      </c>
      <c r="N436" s="9" t="s">
        <v>58</v>
      </c>
      <c r="O436" s="9">
        <v>12.4</v>
      </c>
      <c r="P436" s="9" t="s">
        <v>40</v>
      </c>
      <c r="Q436" s="9" t="b">
        <v>0</v>
      </c>
      <c r="R436" s="9" t="b">
        <v>0</v>
      </c>
      <c r="S436" s="9" t="b">
        <v>0</v>
      </c>
      <c r="T436" s="9">
        <v>1.04</v>
      </c>
      <c r="U436" s="9">
        <v>2</v>
      </c>
      <c r="V436" s="9" t="b">
        <v>1</v>
      </c>
      <c r="W436" s="9" t="s">
        <v>1377</v>
      </c>
    </row>
    <row r="437" spans="1:23" ht="29" customHeight="1" x14ac:dyDescent="0.2">
      <c r="A437" s="9" t="s">
        <v>1378</v>
      </c>
      <c r="B437" s="10" t="s">
        <v>1379</v>
      </c>
      <c r="C437" s="9" t="s">
        <v>44</v>
      </c>
      <c r="D437" s="9" t="s">
        <v>44</v>
      </c>
      <c r="E437" s="9" t="s">
        <v>976</v>
      </c>
      <c r="F437" s="9" t="s">
        <v>977</v>
      </c>
      <c r="G437" s="9">
        <v>1999</v>
      </c>
      <c r="H437" s="9">
        <v>4999</v>
      </c>
      <c r="I437" s="9">
        <v>60</v>
      </c>
      <c r="J437" s="11">
        <v>3.9</v>
      </c>
      <c r="K437" s="9">
        <v>7571</v>
      </c>
      <c r="L437" s="9">
        <v>3.961295194924852</v>
      </c>
      <c r="M437" s="9" t="s">
        <v>28</v>
      </c>
      <c r="N437" s="9" t="s">
        <v>179</v>
      </c>
      <c r="O437" s="9">
        <v>36.6</v>
      </c>
      <c r="P437" s="9" t="s">
        <v>40</v>
      </c>
      <c r="Q437" s="9" t="b">
        <v>0</v>
      </c>
      <c r="R437" s="9" t="b">
        <v>0</v>
      </c>
      <c r="S437" s="9" t="b">
        <v>0</v>
      </c>
      <c r="T437" s="9">
        <v>0.91</v>
      </c>
      <c r="U437" s="9">
        <v>2</v>
      </c>
      <c r="V437" s="9" t="b">
        <v>1</v>
      </c>
      <c r="W437" s="9" t="s">
        <v>1380</v>
      </c>
    </row>
    <row r="438" spans="1:23" ht="29" customHeight="1" x14ac:dyDescent="0.2">
      <c r="A438" s="9" t="s">
        <v>1381</v>
      </c>
      <c r="B438" s="10" t="s">
        <v>1382</v>
      </c>
      <c r="C438" s="9" t="s">
        <v>44</v>
      </c>
      <c r="D438" s="9" t="s">
        <v>44</v>
      </c>
      <c r="E438" s="9" t="s">
        <v>976</v>
      </c>
      <c r="F438" s="9" t="s">
        <v>977</v>
      </c>
      <c r="G438" s="9">
        <v>1399</v>
      </c>
      <c r="H438" s="9">
        <v>5999</v>
      </c>
      <c r="I438" s="9">
        <v>77</v>
      </c>
      <c r="J438" s="11">
        <v>3.3</v>
      </c>
      <c r="K438" s="9">
        <v>4415</v>
      </c>
      <c r="L438" s="9">
        <v>3.6610136461853648</v>
      </c>
      <c r="M438" s="9" t="s">
        <v>28</v>
      </c>
      <c r="N438" s="9" t="s">
        <v>179</v>
      </c>
      <c r="O438" s="9">
        <v>41.2</v>
      </c>
      <c r="P438" s="9" t="s">
        <v>30</v>
      </c>
      <c r="Q438" s="9" t="b">
        <v>0</v>
      </c>
      <c r="R438" s="9" t="b">
        <v>0</v>
      </c>
      <c r="S438" s="9" t="b">
        <v>1</v>
      </c>
      <c r="T438" s="9">
        <v>0.64</v>
      </c>
      <c r="U438" s="9">
        <v>3</v>
      </c>
      <c r="V438" s="9" t="b">
        <v>0</v>
      </c>
      <c r="W438" s="9" t="s">
        <v>1383</v>
      </c>
    </row>
    <row r="439" spans="1:23" ht="29" customHeight="1" x14ac:dyDescent="0.2">
      <c r="A439" s="9" t="s">
        <v>1384</v>
      </c>
      <c r="B439" s="10" t="s">
        <v>1385</v>
      </c>
      <c r="C439" s="9" t="s">
        <v>44</v>
      </c>
      <c r="D439" s="9" t="s">
        <v>44</v>
      </c>
      <c r="E439" s="9" t="s">
        <v>981</v>
      </c>
      <c r="F439" s="9" t="s">
        <v>1040</v>
      </c>
      <c r="G439" s="9">
        <v>599</v>
      </c>
      <c r="H439" s="9">
        <v>999</v>
      </c>
      <c r="I439" s="9">
        <v>40</v>
      </c>
      <c r="J439" s="11">
        <v>4</v>
      </c>
      <c r="K439" s="9">
        <v>18654</v>
      </c>
      <c r="L439" s="9">
        <v>4.0142055669565204</v>
      </c>
      <c r="M439" s="9" t="s">
        <v>28</v>
      </c>
      <c r="N439" s="9" t="s">
        <v>93</v>
      </c>
      <c r="O439" s="9">
        <v>36.5</v>
      </c>
      <c r="P439" s="9" t="s">
        <v>40</v>
      </c>
      <c r="Q439" s="9" t="b">
        <v>0</v>
      </c>
      <c r="R439" s="9" t="b">
        <v>0</v>
      </c>
      <c r="S439" s="9" t="b">
        <v>0</v>
      </c>
      <c r="U439" s="9">
        <v>1</v>
      </c>
      <c r="V439" s="9" t="b">
        <v>1</v>
      </c>
      <c r="W439" s="9" t="s">
        <v>1386</v>
      </c>
    </row>
    <row r="440" spans="1:23" ht="29" customHeight="1" x14ac:dyDescent="0.2">
      <c r="A440" s="9" t="s">
        <v>1387</v>
      </c>
      <c r="B440" s="10" t="s">
        <v>1388</v>
      </c>
      <c r="C440" s="9" t="s">
        <v>44</v>
      </c>
      <c r="D440" s="9" t="s">
        <v>44</v>
      </c>
      <c r="E440" s="9" t="s">
        <v>981</v>
      </c>
      <c r="F440" s="9" t="s">
        <v>1044</v>
      </c>
      <c r="G440" s="9">
        <v>199</v>
      </c>
      <c r="H440" s="9">
        <v>1099</v>
      </c>
      <c r="I440" s="9">
        <v>82</v>
      </c>
      <c r="J440" s="11">
        <v>4</v>
      </c>
      <c r="K440" s="9">
        <v>3197</v>
      </c>
      <c r="L440" s="9">
        <v>4.0457560301287181</v>
      </c>
      <c r="M440" s="9" t="s">
        <v>28</v>
      </c>
      <c r="N440" s="9" t="s">
        <v>29</v>
      </c>
      <c r="O440" s="9">
        <v>61.4</v>
      </c>
      <c r="P440" s="9" t="s">
        <v>36</v>
      </c>
      <c r="Q440" s="9" t="b">
        <v>0</v>
      </c>
      <c r="R440" s="9" t="b">
        <v>0</v>
      </c>
      <c r="S440" s="9" t="b">
        <v>0</v>
      </c>
      <c r="T440" s="9">
        <v>0.4</v>
      </c>
      <c r="U440" s="9">
        <v>1</v>
      </c>
      <c r="V440" s="9" t="b">
        <v>1</v>
      </c>
      <c r="W440" s="9" t="s">
        <v>1389</v>
      </c>
    </row>
    <row r="441" spans="1:23" ht="29" customHeight="1" x14ac:dyDescent="0.2">
      <c r="A441" s="9" t="s">
        <v>1390</v>
      </c>
      <c r="B441" s="10" t="s">
        <v>1391</v>
      </c>
      <c r="C441" s="9" t="s">
        <v>44</v>
      </c>
      <c r="D441" s="9" t="s">
        <v>44</v>
      </c>
      <c r="E441" s="9" t="s">
        <v>976</v>
      </c>
      <c r="F441" s="9" t="s">
        <v>977</v>
      </c>
      <c r="G441" s="9">
        <v>1799</v>
      </c>
      <c r="H441" s="9">
        <v>6990</v>
      </c>
      <c r="I441" s="9">
        <v>74</v>
      </c>
      <c r="J441" s="11">
        <v>4</v>
      </c>
      <c r="K441" s="9">
        <v>26880</v>
      </c>
      <c r="L441" s="9">
        <v>4.0103920728295934</v>
      </c>
      <c r="M441" s="9" t="s">
        <v>28</v>
      </c>
      <c r="N441" s="9" t="s">
        <v>179</v>
      </c>
      <c r="O441" s="9">
        <v>45.2</v>
      </c>
      <c r="P441" s="9" t="s">
        <v>30</v>
      </c>
      <c r="Q441" s="9" t="b">
        <v>0</v>
      </c>
      <c r="R441" s="9" t="b">
        <v>0</v>
      </c>
      <c r="S441" s="9" t="b">
        <v>0</v>
      </c>
      <c r="T441" s="9">
        <v>0.82</v>
      </c>
      <c r="U441" s="9">
        <v>1</v>
      </c>
      <c r="V441" s="9" t="b">
        <v>1</v>
      </c>
      <c r="W441" s="9" t="s">
        <v>1392</v>
      </c>
    </row>
    <row r="442" spans="1:23" ht="29" customHeight="1" x14ac:dyDescent="0.2">
      <c r="A442" s="9" t="s">
        <v>1393</v>
      </c>
      <c r="B442" s="10" t="s">
        <v>1394</v>
      </c>
      <c r="C442" s="9" t="s">
        <v>44</v>
      </c>
      <c r="D442" s="9" t="s">
        <v>44</v>
      </c>
      <c r="E442" s="9" t="s">
        <v>976</v>
      </c>
      <c r="F442" s="9" t="s">
        <v>977</v>
      </c>
      <c r="G442" s="9">
        <v>1499</v>
      </c>
      <c r="H442" s="9">
        <v>6990</v>
      </c>
      <c r="I442" s="9">
        <v>79</v>
      </c>
      <c r="J442" s="11">
        <v>3.9</v>
      </c>
      <c r="K442" s="9">
        <v>21796</v>
      </c>
      <c r="L442" s="9">
        <v>3.9271803545466608</v>
      </c>
      <c r="M442" s="9" t="s">
        <v>28</v>
      </c>
      <c r="N442" s="9" t="s">
        <v>179</v>
      </c>
      <c r="O442" s="9">
        <v>44.3</v>
      </c>
      <c r="P442" s="9" t="s">
        <v>30</v>
      </c>
      <c r="Q442" s="9" t="b">
        <v>0</v>
      </c>
      <c r="R442" s="9" t="b">
        <v>0</v>
      </c>
      <c r="S442" s="9" t="b">
        <v>0</v>
      </c>
      <c r="T442" s="9">
        <v>0.68</v>
      </c>
      <c r="U442" s="9">
        <v>3</v>
      </c>
      <c r="V442" s="9" t="b">
        <v>0</v>
      </c>
      <c r="W442" s="9" t="s">
        <v>1395</v>
      </c>
    </row>
    <row r="443" spans="1:23" ht="29" customHeight="1" x14ac:dyDescent="0.2">
      <c r="A443" s="9" t="s">
        <v>1396</v>
      </c>
      <c r="B443" s="10" t="s">
        <v>1397</v>
      </c>
      <c r="C443" s="9" t="s">
        <v>44</v>
      </c>
      <c r="D443" s="9" t="s">
        <v>44</v>
      </c>
      <c r="E443" s="9" t="s">
        <v>981</v>
      </c>
      <c r="F443" s="9" t="s">
        <v>986</v>
      </c>
      <c r="G443" s="9">
        <v>20999</v>
      </c>
      <c r="H443" s="9">
        <v>29990</v>
      </c>
      <c r="I443" s="9">
        <v>30</v>
      </c>
      <c r="J443" s="11">
        <v>4.3</v>
      </c>
      <c r="K443" s="9">
        <v>9499</v>
      </c>
      <c r="L443" s="9">
        <v>4.2388974921148286</v>
      </c>
      <c r="M443" s="9" t="s">
        <v>28</v>
      </c>
      <c r="N443" s="9" t="s">
        <v>58</v>
      </c>
      <c r="O443" s="9">
        <v>50.2</v>
      </c>
      <c r="P443" s="9" t="s">
        <v>30</v>
      </c>
      <c r="Q443" s="9" t="b">
        <v>0</v>
      </c>
      <c r="R443" s="9" t="b">
        <v>0</v>
      </c>
      <c r="S443" s="9" t="b">
        <v>0</v>
      </c>
      <c r="T443" s="9">
        <v>1.56</v>
      </c>
      <c r="U443" s="9">
        <v>3</v>
      </c>
      <c r="V443" s="9" t="b">
        <v>0</v>
      </c>
      <c r="W443" s="9" t="s">
        <v>1398</v>
      </c>
    </row>
    <row r="444" spans="1:23" ht="29" customHeight="1" x14ac:dyDescent="0.2">
      <c r="A444" s="9" t="s">
        <v>1399</v>
      </c>
      <c r="B444" s="10" t="s">
        <v>1400</v>
      </c>
      <c r="C444" s="9" t="s">
        <v>44</v>
      </c>
      <c r="D444" s="9" t="s">
        <v>44</v>
      </c>
      <c r="E444" s="9" t="s">
        <v>981</v>
      </c>
      <c r="F444" s="9" t="s">
        <v>986</v>
      </c>
      <c r="G444" s="9">
        <v>12999</v>
      </c>
      <c r="H444" s="9">
        <v>13499</v>
      </c>
      <c r="I444" s="9">
        <v>4</v>
      </c>
      <c r="J444" s="11">
        <v>4.0999999999999996</v>
      </c>
      <c r="K444" s="9">
        <v>56098</v>
      </c>
      <c r="L444" s="9">
        <v>4.0990342394681099</v>
      </c>
      <c r="M444" s="9" t="s">
        <v>28</v>
      </c>
      <c r="N444" s="9" t="s">
        <v>58</v>
      </c>
      <c r="O444" s="9">
        <v>31.1</v>
      </c>
      <c r="P444" s="9" t="s">
        <v>40</v>
      </c>
      <c r="Q444" s="9" t="b">
        <v>0</v>
      </c>
      <c r="R444" s="9" t="b">
        <v>0</v>
      </c>
      <c r="S444" s="9" t="b">
        <v>0</v>
      </c>
      <c r="T444" s="9">
        <v>0.96</v>
      </c>
      <c r="U444" s="9">
        <v>1</v>
      </c>
      <c r="V444" s="9" t="b">
        <v>1</v>
      </c>
      <c r="W444" s="9" t="s">
        <v>1401</v>
      </c>
    </row>
    <row r="445" spans="1:23" ht="29" customHeight="1" x14ac:dyDescent="0.2">
      <c r="A445" s="9" t="s">
        <v>1402</v>
      </c>
      <c r="B445" s="10" t="s">
        <v>1403</v>
      </c>
      <c r="C445" s="9" t="s">
        <v>44</v>
      </c>
      <c r="D445" s="9" t="s">
        <v>44</v>
      </c>
      <c r="E445" s="9" t="s">
        <v>981</v>
      </c>
      <c r="F445" s="9" t="s">
        <v>986</v>
      </c>
      <c r="G445" s="9">
        <v>16999</v>
      </c>
      <c r="H445" s="9">
        <v>20999</v>
      </c>
      <c r="I445" s="9">
        <v>19</v>
      </c>
      <c r="J445" s="11">
        <v>4.0999999999999996</v>
      </c>
      <c r="K445" s="9">
        <v>31822</v>
      </c>
      <c r="L445" s="9">
        <v>4.0983753907370009</v>
      </c>
      <c r="M445" s="9" t="s">
        <v>28</v>
      </c>
      <c r="N445" s="9" t="s">
        <v>58</v>
      </c>
      <c r="O445" s="9">
        <v>32.1</v>
      </c>
      <c r="P445" s="9" t="s">
        <v>40</v>
      </c>
      <c r="Q445" s="9" t="b">
        <v>0</v>
      </c>
      <c r="R445" s="9" t="b">
        <v>0</v>
      </c>
      <c r="S445" s="9" t="b">
        <v>0</v>
      </c>
      <c r="T445" s="9">
        <v>1.26</v>
      </c>
      <c r="U445" s="9">
        <v>3</v>
      </c>
      <c r="V445" s="9" t="b">
        <v>1</v>
      </c>
      <c r="W445" s="9" t="s">
        <v>1404</v>
      </c>
    </row>
    <row r="446" spans="1:23" ht="29" customHeight="1" x14ac:dyDescent="0.2">
      <c r="A446" s="9" t="s">
        <v>1405</v>
      </c>
      <c r="B446" s="10" t="s">
        <v>1406</v>
      </c>
      <c r="C446" s="9" t="s">
        <v>44</v>
      </c>
      <c r="D446" s="9" t="s">
        <v>44</v>
      </c>
      <c r="E446" s="9" t="s">
        <v>981</v>
      </c>
      <c r="F446" s="9" t="s">
        <v>986</v>
      </c>
      <c r="G446" s="9">
        <v>19999</v>
      </c>
      <c r="H446" s="9">
        <v>27990</v>
      </c>
      <c r="I446" s="9">
        <v>29</v>
      </c>
      <c r="J446" s="11">
        <v>4.3</v>
      </c>
      <c r="K446" s="9">
        <v>9499</v>
      </c>
      <c r="L446" s="9">
        <v>4.2388974921148286</v>
      </c>
      <c r="M446" s="9" t="s">
        <v>28</v>
      </c>
      <c r="N446" s="9" t="s">
        <v>58</v>
      </c>
      <c r="O446" s="9">
        <v>50</v>
      </c>
      <c r="P446" s="9" t="s">
        <v>30</v>
      </c>
      <c r="Q446" s="9" t="b">
        <v>0</v>
      </c>
      <c r="R446" s="9" t="b">
        <v>0</v>
      </c>
      <c r="S446" s="9" t="b">
        <v>0</v>
      </c>
      <c r="T446" s="9">
        <v>1.48</v>
      </c>
      <c r="U446" s="9">
        <v>3</v>
      </c>
      <c r="V446" s="9" t="b">
        <v>0</v>
      </c>
      <c r="W446" s="9" t="s">
        <v>1407</v>
      </c>
    </row>
    <row r="447" spans="1:23" ht="29" customHeight="1" x14ac:dyDescent="0.2">
      <c r="A447" s="9" t="s">
        <v>1408</v>
      </c>
      <c r="B447" s="10" t="s">
        <v>1409</v>
      </c>
      <c r="C447" s="9" t="s">
        <v>44</v>
      </c>
      <c r="D447" s="9" t="s">
        <v>44</v>
      </c>
      <c r="E447" s="9" t="s">
        <v>981</v>
      </c>
      <c r="F447" s="9" t="s">
        <v>986</v>
      </c>
      <c r="G447" s="9">
        <v>12999</v>
      </c>
      <c r="H447" s="9">
        <v>18999</v>
      </c>
      <c r="I447" s="9">
        <v>32</v>
      </c>
      <c r="J447" s="11">
        <v>4.0999999999999996</v>
      </c>
      <c r="K447" s="9">
        <v>50772</v>
      </c>
      <c r="L447" s="9">
        <v>4.0989399204481716</v>
      </c>
      <c r="M447" s="9" t="s">
        <v>28</v>
      </c>
      <c r="N447" s="9" t="s">
        <v>58</v>
      </c>
      <c r="O447" s="9">
        <v>37.6</v>
      </c>
      <c r="P447" s="9" t="s">
        <v>40</v>
      </c>
      <c r="Q447" s="9" t="b">
        <v>0</v>
      </c>
      <c r="R447" s="9" t="b">
        <v>0</v>
      </c>
      <c r="S447" s="9" t="b">
        <v>0</v>
      </c>
      <c r="T447" s="9">
        <v>0.96</v>
      </c>
      <c r="U447" s="9">
        <v>4</v>
      </c>
      <c r="V447" s="9" t="b">
        <v>0</v>
      </c>
      <c r="W447" s="9" t="s">
        <v>1410</v>
      </c>
    </row>
    <row r="448" spans="1:23" ht="29" customHeight="1" x14ac:dyDescent="0.2">
      <c r="A448" s="9" t="s">
        <v>1411</v>
      </c>
      <c r="B448" s="10" t="s">
        <v>1412</v>
      </c>
      <c r="C448" s="9" t="s">
        <v>44</v>
      </c>
      <c r="D448" s="9" t="s">
        <v>44</v>
      </c>
      <c r="E448" s="9" t="s">
        <v>976</v>
      </c>
      <c r="F448" s="9" t="s">
        <v>977</v>
      </c>
      <c r="G448" s="9">
        <v>2999</v>
      </c>
      <c r="H448" s="9">
        <v>5999</v>
      </c>
      <c r="I448" s="9">
        <v>50</v>
      </c>
      <c r="J448" s="11">
        <v>4.0999999999999996</v>
      </c>
      <c r="K448" s="9">
        <v>7148</v>
      </c>
      <c r="L448" s="9">
        <v>4.0947013511462176</v>
      </c>
      <c r="M448" s="9" t="s">
        <v>28</v>
      </c>
      <c r="N448" s="9" t="s">
        <v>144</v>
      </c>
      <c r="O448" s="9">
        <v>47</v>
      </c>
      <c r="P448" s="9" t="s">
        <v>30</v>
      </c>
      <c r="Q448" s="9" t="b">
        <v>0</v>
      </c>
      <c r="R448" s="9" t="b">
        <v>0</v>
      </c>
      <c r="S448" s="9" t="b">
        <v>0</v>
      </c>
      <c r="T448" s="9">
        <v>1.36</v>
      </c>
      <c r="U448" s="9">
        <v>1</v>
      </c>
      <c r="V448" s="9" t="b">
        <v>1</v>
      </c>
      <c r="W448" s="9" t="s">
        <v>1413</v>
      </c>
    </row>
    <row r="449" spans="1:23" ht="29" customHeight="1" x14ac:dyDescent="0.2">
      <c r="A449" s="9" t="s">
        <v>1414</v>
      </c>
      <c r="B449" s="10" t="s">
        <v>1415</v>
      </c>
      <c r="C449" s="9" t="s">
        <v>44</v>
      </c>
      <c r="D449" s="9" t="s">
        <v>44</v>
      </c>
      <c r="E449" s="9" t="s">
        <v>981</v>
      </c>
      <c r="F449" s="9" t="s">
        <v>1044</v>
      </c>
      <c r="G449" s="9">
        <v>329</v>
      </c>
      <c r="H449" s="9">
        <v>999</v>
      </c>
      <c r="I449" s="9">
        <v>67</v>
      </c>
      <c r="J449" s="11">
        <v>4.2</v>
      </c>
      <c r="K449" s="9">
        <v>3492</v>
      </c>
      <c r="L449" s="9">
        <v>4.1401666678173292</v>
      </c>
      <c r="M449" s="9" t="s">
        <v>28</v>
      </c>
      <c r="N449" s="9" t="s">
        <v>29</v>
      </c>
      <c r="O449" s="9">
        <v>76.099999999999994</v>
      </c>
      <c r="P449" s="9" t="s">
        <v>36</v>
      </c>
      <c r="Q449" s="9" t="b">
        <v>0</v>
      </c>
      <c r="R449" s="9" t="b">
        <v>0</v>
      </c>
      <c r="S449" s="9" t="b">
        <v>0</v>
      </c>
      <c r="T449" s="9">
        <v>0.66</v>
      </c>
      <c r="U449" s="9">
        <v>1</v>
      </c>
      <c r="V449" s="9" t="b">
        <v>1</v>
      </c>
      <c r="W449" s="9" t="s">
        <v>1416</v>
      </c>
    </row>
    <row r="450" spans="1:23" ht="29" customHeight="1" x14ac:dyDescent="0.2">
      <c r="A450" s="9" t="s">
        <v>1417</v>
      </c>
      <c r="B450" s="10" t="s">
        <v>1418</v>
      </c>
      <c r="C450" s="9" t="s">
        <v>44</v>
      </c>
      <c r="D450" s="9" t="s">
        <v>44</v>
      </c>
      <c r="E450" s="9" t="s">
        <v>976</v>
      </c>
      <c r="F450" s="9" t="s">
        <v>977</v>
      </c>
      <c r="G450" s="9">
        <v>1299</v>
      </c>
      <c r="H450" s="9">
        <v>5999</v>
      </c>
      <c r="I450" s="9">
        <v>78</v>
      </c>
      <c r="J450" s="11">
        <v>3.3</v>
      </c>
      <c r="K450" s="9">
        <v>4415</v>
      </c>
      <c r="L450" s="9">
        <v>3.6610136461853648</v>
      </c>
      <c r="M450" s="9" t="s">
        <v>28</v>
      </c>
      <c r="N450" s="9" t="s">
        <v>179</v>
      </c>
      <c r="O450" s="9">
        <v>41.9</v>
      </c>
      <c r="P450" s="9" t="s">
        <v>30</v>
      </c>
      <c r="Q450" s="9" t="b">
        <v>0</v>
      </c>
      <c r="R450" s="9" t="b">
        <v>0</v>
      </c>
      <c r="S450" s="9" t="b">
        <v>1</v>
      </c>
      <c r="T450" s="9">
        <v>0.59</v>
      </c>
      <c r="U450" s="9">
        <v>3</v>
      </c>
      <c r="V450" s="9" t="b">
        <v>0</v>
      </c>
      <c r="W450" s="9" t="s">
        <v>1419</v>
      </c>
    </row>
    <row r="451" spans="1:23" ht="29" customHeight="1" x14ac:dyDescent="0.2">
      <c r="A451" s="9" t="s">
        <v>1420</v>
      </c>
      <c r="B451" s="10" t="s">
        <v>1421</v>
      </c>
      <c r="C451" s="9" t="s">
        <v>44</v>
      </c>
      <c r="D451" s="9" t="s">
        <v>44</v>
      </c>
      <c r="E451" s="9" t="s">
        <v>1026</v>
      </c>
      <c r="F451" s="9" t="s">
        <v>1027</v>
      </c>
      <c r="G451" s="9">
        <v>1989</v>
      </c>
      <c r="H451" s="9">
        <v>3500</v>
      </c>
      <c r="I451" s="9">
        <v>43</v>
      </c>
      <c r="J451" s="11">
        <v>4.4000000000000004</v>
      </c>
      <c r="K451" s="9">
        <v>67260</v>
      </c>
      <c r="L451" s="9">
        <v>4.3832931689490069</v>
      </c>
      <c r="M451" s="9" t="s">
        <v>28</v>
      </c>
      <c r="N451" s="9" t="s">
        <v>179</v>
      </c>
      <c r="O451" s="9">
        <v>64.599999999999994</v>
      </c>
      <c r="P451" s="9" t="s">
        <v>36</v>
      </c>
      <c r="Q451" s="9" t="b">
        <v>0</v>
      </c>
      <c r="R451" s="9" t="b">
        <v>0</v>
      </c>
      <c r="S451" s="9" t="b">
        <v>0</v>
      </c>
      <c r="U451" s="9">
        <v>5</v>
      </c>
      <c r="V451" s="9" t="b">
        <v>0</v>
      </c>
      <c r="W451" s="9" t="s">
        <v>1422</v>
      </c>
    </row>
    <row r="452" spans="1:23" ht="29" customHeight="1" x14ac:dyDescent="0.2">
      <c r="A452" s="9" t="s">
        <v>1423</v>
      </c>
      <c r="B452" s="10" t="s">
        <v>1109</v>
      </c>
      <c r="C452" s="9" t="s">
        <v>44</v>
      </c>
      <c r="D452" s="9" t="s">
        <v>44</v>
      </c>
      <c r="E452" s="9" t="s">
        <v>976</v>
      </c>
      <c r="F452" s="9" t="s">
        <v>977</v>
      </c>
      <c r="G452" s="9">
        <v>1999</v>
      </c>
      <c r="H452" s="9">
        <v>9999</v>
      </c>
      <c r="I452" s="9">
        <v>80</v>
      </c>
      <c r="J452" s="11">
        <v>4.3</v>
      </c>
      <c r="K452" s="9">
        <v>27704</v>
      </c>
      <c r="L452" s="9">
        <v>4.2742484576193984</v>
      </c>
      <c r="M452" s="9" t="s">
        <v>28</v>
      </c>
      <c r="N452" s="9" t="s">
        <v>179</v>
      </c>
      <c r="O452" s="9">
        <v>82.6</v>
      </c>
      <c r="P452" s="9" t="s">
        <v>36</v>
      </c>
      <c r="Q452" s="9" t="b">
        <v>0</v>
      </c>
      <c r="R452" s="9" t="b">
        <v>0</v>
      </c>
      <c r="S452" s="9" t="b">
        <v>0</v>
      </c>
      <c r="T452" s="9">
        <v>0.91</v>
      </c>
      <c r="U452" s="9">
        <v>3</v>
      </c>
      <c r="V452" s="9" t="b">
        <v>0</v>
      </c>
      <c r="W452" s="9" t="s">
        <v>1424</v>
      </c>
    </row>
    <row r="453" spans="1:23" ht="29" customHeight="1" x14ac:dyDescent="0.2">
      <c r="A453" s="9" t="s">
        <v>1425</v>
      </c>
      <c r="B453" s="10" t="s">
        <v>1426</v>
      </c>
      <c r="C453" s="9" t="s">
        <v>44</v>
      </c>
      <c r="D453" s="9" t="s">
        <v>44</v>
      </c>
      <c r="E453" s="9" t="s">
        <v>981</v>
      </c>
      <c r="F453" s="9" t="s">
        <v>986</v>
      </c>
      <c r="G453" s="9">
        <v>12999</v>
      </c>
      <c r="H453" s="9">
        <v>18999</v>
      </c>
      <c r="I453" s="9">
        <v>32</v>
      </c>
      <c r="J453" s="11">
        <v>4.0999999999999996</v>
      </c>
      <c r="K453" s="9">
        <v>50772</v>
      </c>
      <c r="L453" s="9">
        <v>4.0989399204481716</v>
      </c>
      <c r="M453" s="9" t="s">
        <v>28</v>
      </c>
      <c r="N453" s="9" t="s">
        <v>58</v>
      </c>
      <c r="O453" s="9">
        <v>37.6</v>
      </c>
      <c r="P453" s="9" t="s">
        <v>40</v>
      </c>
      <c r="Q453" s="9" t="b">
        <v>0</v>
      </c>
      <c r="R453" s="9" t="b">
        <v>0</v>
      </c>
      <c r="S453" s="9" t="b">
        <v>0</v>
      </c>
      <c r="T453" s="9">
        <v>0.96</v>
      </c>
      <c r="U453" s="9">
        <v>4</v>
      </c>
      <c r="V453" s="9" t="b">
        <v>0</v>
      </c>
      <c r="W453" s="9" t="s">
        <v>1427</v>
      </c>
    </row>
    <row r="454" spans="1:23" ht="29" customHeight="1" x14ac:dyDescent="0.2">
      <c r="A454" s="9" t="s">
        <v>1428</v>
      </c>
      <c r="B454" s="10" t="s">
        <v>1429</v>
      </c>
      <c r="C454" s="9" t="s">
        <v>44</v>
      </c>
      <c r="D454" s="9" t="s">
        <v>44</v>
      </c>
      <c r="E454" s="9" t="s">
        <v>976</v>
      </c>
      <c r="F454" s="9" t="s">
        <v>977</v>
      </c>
      <c r="G454" s="9">
        <v>1499</v>
      </c>
      <c r="H454" s="9">
        <v>4999</v>
      </c>
      <c r="I454" s="9">
        <v>70</v>
      </c>
      <c r="J454" s="11">
        <v>4</v>
      </c>
      <c r="K454" s="9">
        <v>92588</v>
      </c>
      <c r="L454" s="9">
        <v>4.0033050071528518</v>
      </c>
      <c r="M454" s="9" t="s">
        <v>28</v>
      </c>
      <c r="N454" s="9" t="s">
        <v>179</v>
      </c>
      <c r="O454" s="9">
        <v>44.9</v>
      </c>
      <c r="P454" s="9" t="s">
        <v>30</v>
      </c>
      <c r="Q454" s="9" t="b">
        <v>0</v>
      </c>
      <c r="R454" s="9" t="b">
        <v>0</v>
      </c>
      <c r="S454" s="9" t="b">
        <v>0</v>
      </c>
      <c r="T454" s="9">
        <v>0.68</v>
      </c>
      <c r="U454" s="9">
        <v>2</v>
      </c>
      <c r="V454" s="9" t="b">
        <v>1</v>
      </c>
      <c r="W454" s="9" t="s">
        <v>1430</v>
      </c>
    </row>
    <row r="455" spans="1:23" ht="29" customHeight="1" x14ac:dyDescent="0.2">
      <c r="A455" s="9" t="s">
        <v>1431</v>
      </c>
      <c r="B455" s="10" t="s">
        <v>1432</v>
      </c>
      <c r="C455" s="9" t="s">
        <v>44</v>
      </c>
      <c r="D455" s="9" t="s">
        <v>44</v>
      </c>
      <c r="E455" s="9" t="s">
        <v>981</v>
      </c>
      <c r="F455" s="9" t="s">
        <v>986</v>
      </c>
      <c r="G455" s="9">
        <v>16999</v>
      </c>
      <c r="H455" s="9">
        <v>20999</v>
      </c>
      <c r="I455" s="9">
        <v>19</v>
      </c>
      <c r="J455" s="11">
        <v>4.0999999999999996</v>
      </c>
      <c r="K455" s="9">
        <v>31822</v>
      </c>
      <c r="L455" s="9">
        <v>4.0983753907370009</v>
      </c>
      <c r="M455" s="9" t="s">
        <v>28</v>
      </c>
      <c r="N455" s="9" t="s">
        <v>58</v>
      </c>
      <c r="O455" s="9">
        <v>32.1</v>
      </c>
      <c r="P455" s="9" t="s">
        <v>40</v>
      </c>
      <c r="Q455" s="9" t="b">
        <v>0</v>
      </c>
      <c r="R455" s="9" t="b">
        <v>0</v>
      </c>
      <c r="S455" s="9" t="b">
        <v>0</v>
      </c>
      <c r="T455" s="9">
        <v>1.26</v>
      </c>
      <c r="U455" s="9">
        <v>3</v>
      </c>
      <c r="V455" s="9" t="b">
        <v>0</v>
      </c>
      <c r="W455" s="9" t="s">
        <v>1433</v>
      </c>
    </row>
    <row r="456" spans="1:23" ht="29" customHeight="1" x14ac:dyDescent="0.2">
      <c r="A456" s="9" t="s">
        <v>1434</v>
      </c>
      <c r="B456" s="10" t="s">
        <v>1435</v>
      </c>
      <c r="C456" s="9" t="s">
        <v>44</v>
      </c>
      <c r="D456" s="9" t="s">
        <v>44</v>
      </c>
      <c r="E456" s="9" t="s">
        <v>976</v>
      </c>
      <c r="F456" s="9" t="s">
        <v>977</v>
      </c>
      <c r="G456" s="9">
        <v>1999</v>
      </c>
      <c r="H456" s="9">
        <v>8499</v>
      </c>
      <c r="I456" s="9">
        <v>76</v>
      </c>
      <c r="J456" s="11">
        <v>4.3</v>
      </c>
      <c r="K456" s="9">
        <v>240</v>
      </c>
      <c r="L456" s="9">
        <v>4.0975488049171309</v>
      </c>
      <c r="M456" s="9" t="s">
        <v>89</v>
      </c>
      <c r="N456" s="9" t="s">
        <v>179</v>
      </c>
      <c r="O456" s="9">
        <v>63.9</v>
      </c>
      <c r="P456" s="9" t="s">
        <v>36</v>
      </c>
      <c r="Q456" s="9" t="b">
        <v>0</v>
      </c>
      <c r="R456" s="9" t="b">
        <v>0</v>
      </c>
      <c r="S456" s="9" t="b">
        <v>0</v>
      </c>
      <c r="T456" s="9">
        <v>0.91</v>
      </c>
      <c r="U456" s="9">
        <v>1</v>
      </c>
      <c r="V456" s="9" t="b">
        <v>1</v>
      </c>
      <c r="W456" s="9" t="s">
        <v>1436</v>
      </c>
    </row>
    <row r="457" spans="1:23" ht="29" customHeight="1" x14ac:dyDescent="0.2">
      <c r="A457" s="9" t="s">
        <v>1437</v>
      </c>
      <c r="B457" s="10" t="s">
        <v>1438</v>
      </c>
      <c r="C457" s="9" t="s">
        <v>44</v>
      </c>
      <c r="D457" s="9" t="s">
        <v>44</v>
      </c>
      <c r="E457" s="9" t="s">
        <v>976</v>
      </c>
      <c r="F457" s="9" t="s">
        <v>977</v>
      </c>
      <c r="G457" s="9">
        <v>4999</v>
      </c>
      <c r="H457" s="9">
        <v>6999</v>
      </c>
      <c r="I457" s="9">
        <v>29</v>
      </c>
      <c r="J457" s="11">
        <v>3.8</v>
      </c>
      <c r="K457" s="9">
        <v>758</v>
      </c>
      <c r="L457" s="9">
        <v>4.0369072208120373</v>
      </c>
      <c r="M457" s="9" t="s">
        <v>89</v>
      </c>
      <c r="N457" s="9" t="s">
        <v>144</v>
      </c>
      <c r="O457" s="9">
        <v>22.9</v>
      </c>
      <c r="P457" s="9" t="s">
        <v>40</v>
      </c>
      <c r="Q457" s="9" t="b">
        <v>0</v>
      </c>
      <c r="R457" s="9" t="b">
        <v>1</v>
      </c>
      <c r="S457" s="9" t="b">
        <v>1</v>
      </c>
      <c r="T457" s="9">
        <v>2.27</v>
      </c>
      <c r="U457" s="9">
        <v>1</v>
      </c>
      <c r="V457" s="9" t="b">
        <v>1</v>
      </c>
      <c r="W457" s="9" t="s">
        <v>1439</v>
      </c>
    </row>
    <row r="458" spans="1:23" ht="29" customHeight="1" x14ac:dyDescent="0.2">
      <c r="A458" s="9" t="s">
        <v>1440</v>
      </c>
      <c r="B458" s="10" t="s">
        <v>1441</v>
      </c>
      <c r="C458" s="9" t="s">
        <v>44</v>
      </c>
      <c r="D458" s="9" t="s">
        <v>44</v>
      </c>
      <c r="E458" s="9" t="s">
        <v>976</v>
      </c>
      <c r="F458" s="9" t="s">
        <v>977</v>
      </c>
      <c r="G458" s="9">
        <v>2499</v>
      </c>
      <c r="H458" s="9">
        <v>5999</v>
      </c>
      <c r="I458" s="9">
        <v>58</v>
      </c>
      <c r="J458" s="11">
        <v>3.7</v>
      </c>
      <c r="K458" s="9">
        <v>828</v>
      </c>
      <c r="L458" s="9">
        <v>4.0152573993422971</v>
      </c>
      <c r="M458" s="9" t="s">
        <v>89</v>
      </c>
      <c r="N458" s="9" t="s">
        <v>179</v>
      </c>
      <c r="O458" s="9">
        <v>36</v>
      </c>
      <c r="P458" s="9" t="s">
        <v>40</v>
      </c>
      <c r="Q458" s="9" t="b">
        <v>0</v>
      </c>
      <c r="R458" s="9" t="b">
        <v>0</v>
      </c>
      <c r="S458" s="9" t="b">
        <v>1</v>
      </c>
      <c r="T458" s="9">
        <v>1.1399999999999999</v>
      </c>
      <c r="U458" s="9">
        <v>1</v>
      </c>
      <c r="V458" s="9" t="b">
        <v>1</v>
      </c>
      <c r="W458" s="9" t="s">
        <v>1442</v>
      </c>
    </row>
    <row r="459" spans="1:23" ht="29" customHeight="1" x14ac:dyDescent="0.2">
      <c r="A459" s="9" t="s">
        <v>1443</v>
      </c>
      <c r="B459" s="10" t="s">
        <v>1444</v>
      </c>
      <c r="C459" s="9" t="s">
        <v>44</v>
      </c>
      <c r="D459" s="9" t="s">
        <v>44</v>
      </c>
      <c r="E459" s="9" t="s">
        <v>981</v>
      </c>
      <c r="F459" s="9" t="s">
        <v>1005</v>
      </c>
      <c r="G459" s="9">
        <v>1399</v>
      </c>
      <c r="H459" s="9">
        <v>1630</v>
      </c>
      <c r="I459" s="9">
        <v>14</v>
      </c>
      <c r="J459" s="11">
        <v>4</v>
      </c>
      <c r="K459" s="9">
        <v>9378</v>
      </c>
      <c r="L459" s="9">
        <v>4.0242334075324999</v>
      </c>
      <c r="M459" s="9" t="s">
        <v>28</v>
      </c>
      <c r="N459" s="9" t="s">
        <v>179</v>
      </c>
      <c r="O459" s="9">
        <v>25.2</v>
      </c>
      <c r="P459" s="9" t="s">
        <v>40</v>
      </c>
      <c r="Q459" s="9" t="b">
        <v>0</v>
      </c>
      <c r="R459" s="9" t="b">
        <v>0</v>
      </c>
      <c r="S459" s="9" t="b">
        <v>0</v>
      </c>
      <c r="U459" s="9">
        <v>2</v>
      </c>
      <c r="V459" s="9" t="b">
        <v>0</v>
      </c>
      <c r="W459" s="9" t="s">
        <v>1445</v>
      </c>
    </row>
    <row r="460" spans="1:23" ht="29" customHeight="1" x14ac:dyDescent="0.2">
      <c r="A460" s="9" t="s">
        <v>1446</v>
      </c>
      <c r="B460" s="10" t="s">
        <v>1447</v>
      </c>
      <c r="C460" s="9" t="s">
        <v>44</v>
      </c>
      <c r="D460" s="9" t="s">
        <v>44</v>
      </c>
      <c r="E460" s="9" t="s">
        <v>976</v>
      </c>
      <c r="F460" s="9" t="s">
        <v>977</v>
      </c>
      <c r="G460" s="9">
        <v>1499</v>
      </c>
      <c r="H460" s="9">
        <v>9999</v>
      </c>
      <c r="I460" s="9">
        <v>85</v>
      </c>
      <c r="J460" s="11">
        <v>4.2</v>
      </c>
      <c r="K460" s="9">
        <v>22638</v>
      </c>
      <c r="L460" s="9">
        <v>4.1835586103172604</v>
      </c>
      <c r="M460" s="9" t="s">
        <v>28</v>
      </c>
      <c r="N460" s="9" t="s">
        <v>179</v>
      </c>
      <c r="O460" s="9">
        <v>78.599999999999994</v>
      </c>
      <c r="P460" s="9" t="s">
        <v>36</v>
      </c>
      <c r="Q460" s="9" t="b">
        <v>0</v>
      </c>
      <c r="R460" s="9" t="b">
        <v>0</v>
      </c>
      <c r="S460" s="9" t="b">
        <v>0</v>
      </c>
      <c r="T460" s="9">
        <v>0.68</v>
      </c>
      <c r="U460" s="9">
        <v>3</v>
      </c>
      <c r="V460" s="9" t="b">
        <v>1</v>
      </c>
      <c r="W460" s="9" t="s">
        <v>1448</v>
      </c>
    </row>
    <row r="461" spans="1:23" ht="29" customHeight="1" x14ac:dyDescent="0.2">
      <c r="A461" s="9" t="s">
        <v>1449</v>
      </c>
      <c r="B461" s="10" t="s">
        <v>1450</v>
      </c>
      <c r="C461" s="9" t="s">
        <v>25</v>
      </c>
      <c r="D461" s="9" t="s">
        <v>25</v>
      </c>
      <c r="E461" s="9" t="s">
        <v>26</v>
      </c>
      <c r="F461" s="9" t="s">
        <v>27</v>
      </c>
      <c r="G461" s="9">
        <v>899</v>
      </c>
      <c r="H461" s="9">
        <v>1900</v>
      </c>
      <c r="I461" s="9">
        <v>53</v>
      </c>
      <c r="J461" s="11">
        <v>4.4000000000000004</v>
      </c>
      <c r="K461" s="9">
        <v>13552</v>
      </c>
      <c r="L461" s="9">
        <v>4.3314701026123084</v>
      </c>
      <c r="M461" s="9" t="s">
        <v>28</v>
      </c>
      <c r="N461" s="9" t="s">
        <v>93</v>
      </c>
      <c r="O461" s="9">
        <v>68.599999999999994</v>
      </c>
      <c r="P461" s="9" t="s">
        <v>36</v>
      </c>
      <c r="Q461" s="9" t="b">
        <v>0</v>
      </c>
      <c r="R461" s="9" t="b">
        <v>0</v>
      </c>
      <c r="S461" s="9" t="b">
        <v>0</v>
      </c>
      <c r="T461" s="9">
        <v>3.01</v>
      </c>
      <c r="U461" s="9">
        <v>3</v>
      </c>
      <c r="V461" s="9" t="b">
        <v>0</v>
      </c>
      <c r="W461" s="9" t="s">
        <v>1451</v>
      </c>
    </row>
    <row r="462" spans="1:23" ht="29" customHeight="1" x14ac:dyDescent="0.2">
      <c r="A462" s="9" t="s">
        <v>1452</v>
      </c>
      <c r="B462" s="10" t="s">
        <v>1453</v>
      </c>
      <c r="C462" s="9" t="s">
        <v>44</v>
      </c>
      <c r="D462" s="9" t="s">
        <v>44</v>
      </c>
      <c r="E462" s="9" t="s">
        <v>981</v>
      </c>
      <c r="F462" s="9" t="s">
        <v>1044</v>
      </c>
      <c r="G462" s="9">
        <v>249</v>
      </c>
      <c r="H462" s="9">
        <v>599</v>
      </c>
      <c r="I462" s="9">
        <v>58</v>
      </c>
      <c r="J462" s="11">
        <v>3.9</v>
      </c>
      <c r="K462" s="9">
        <v>2147</v>
      </c>
      <c r="L462" s="9">
        <v>4.0175546309638399</v>
      </c>
      <c r="M462" s="9" t="s">
        <v>28</v>
      </c>
      <c r="N462" s="9" t="s">
        <v>29</v>
      </c>
      <c r="O462" s="9">
        <v>48.1</v>
      </c>
      <c r="P462" s="9" t="s">
        <v>30</v>
      </c>
      <c r="Q462" s="9" t="b">
        <v>0</v>
      </c>
      <c r="R462" s="9" t="b">
        <v>0</v>
      </c>
      <c r="S462" s="9" t="b">
        <v>0</v>
      </c>
      <c r="T462" s="9">
        <v>0.5</v>
      </c>
      <c r="U462" s="9">
        <v>2</v>
      </c>
      <c r="V462" s="9" t="b">
        <v>1</v>
      </c>
      <c r="W462" s="9" t="s">
        <v>1454</v>
      </c>
    </row>
    <row r="463" spans="1:23" ht="29" customHeight="1" x14ac:dyDescent="0.2">
      <c r="A463" s="9" t="s">
        <v>1455</v>
      </c>
      <c r="B463" s="10" t="s">
        <v>1456</v>
      </c>
      <c r="C463" s="9" t="s">
        <v>44</v>
      </c>
      <c r="D463" s="9" t="s">
        <v>44</v>
      </c>
      <c r="E463" s="9" t="s">
        <v>981</v>
      </c>
      <c r="F463" s="9" t="s">
        <v>1272</v>
      </c>
      <c r="G463" s="9">
        <v>299</v>
      </c>
      <c r="H463" s="9">
        <v>1199</v>
      </c>
      <c r="I463" s="9">
        <v>75</v>
      </c>
      <c r="J463" s="11">
        <v>4.5</v>
      </c>
      <c r="K463" s="9">
        <v>596</v>
      </c>
      <c r="L463" s="9">
        <v>4.1414337711783444</v>
      </c>
      <c r="M463" s="9" t="s">
        <v>89</v>
      </c>
      <c r="N463" s="9" t="s">
        <v>29</v>
      </c>
      <c r="O463" s="9">
        <v>78.400000000000006</v>
      </c>
      <c r="P463" s="9" t="s">
        <v>36</v>
      </c>
      <c r="Q463" s="9" t="b">
        <v>0</v>
      </c>
      <c r="R463" s="9" t="b">
        <v>0</v>
      </c>
      <c r="S463" s="9" t="b">
        <v>0</v>
      </c>
      <c r="T463" s="9">
        <v>0.77</v>
      </c>
      <c r="U463" s="9">
        <v>1</v>
      </c>
      <c r="V463" s="9" t="b">
        <v>1</v>
      </c>
      <c r="W463" s="9" t="s">
        <v>1457</v>
      </c>
    </row>
    <row r="464" spans="1:23" ht="29" customHeight="1" x14ac:dyDescent="0.2">
      <c r="A464" s="9" t="s">
        <v>1458</v>
      </c>
      <c r="B464" s="10" t="s">
        <v>1459</v>
      </c>
      <c r="C464" s="9" t="s">
        <v>44</v>
      </c>
      <c r="D464" s="9" t="s">
        <v>44</v>
      </c>
      <c r="E464" s="9" t="s">
        <v>981</v>
      </c>
      <c r="F464" s="9" t="s">
        <v>1460</v>
      </c>
      <c r="G464" s="9">
        <v>79</v>
      </c>
      <c r="H464" s="9">
        <v>499</v>
      </c>
      <c r="I464" s="9">
        <v>84</v>
      </c>
      <c r="J464" s="11">
        <v>4.2</v>
      </c>
      <c r="K464" s="9">
        <v>1949</v>
      </c>
      <c r="L464" s="9">
        <v>4.1240022921615713</v>
      </c>
      <c r="M464" s="9" t="s">
        <v>28</v>
      </c>
      <c r="N464" s="9" t="s">
        <v>29</v>
      </c>
      <c r="O464" s="9">
        <v>80.2</v>
      </c>
      <c r="P464" s="9" t="s">
        <v>36</v>
      </c>
      <c r="Q464" s="9" t="b">
        <v>0</v>
      </c>
      <c r="R464" s="9" t="b">
        <v>0</v>
      </c>
      <c r="S464" s="9" t="b">
        <v>0</v>
      </c>
      <c r="U464" s="9">
        <v>2</v>
      </c>
      <c r="V464" s="9" t="b">
        <v>1</v>
      </c>
      <c r="W464" s="9" t="s">
        <v>1461</v>
      </c>
    </row>
    <row r="465" spans="1:23" ht="29" customHeight="1" x14ac:dyDescent="0.2">
      <c r="A465" s="9" t="s">
        <v>1462</v>
      </c>
      <c r="B465" s="10" t="s">
        <v>1463</v>
      </c>
      <c r="C465" s="9" t="s">
        <v>44</v>
      </c>
      <c r="D465" s="9" t="s">
        <v>44</v>
      </c>
      <c r="E465" s="9" t="s">
        <v>981</v>
      </c>
      <c r="F465" s="9" t="s">
        <v>986</v>
      </c>
      <c r="G465" s="9">
        <v>13999</v>
      </c>
      <c r="H465" s="9">
        <v>15999</v>
      </c>
      <c r="I465" s="9">
        <v>13</v>
      </c>
      <c r="J465" s="11">
        <v>3.9</v>
      </c>
      <c r="K465" s="9">
        <v>2180</v>
      </c>
      <c r="L465" s="9">
        <v>4.0169018244309322</v>
      </c>
      <c r="M465" s="9" t="s">
        <v>28</v>
      </c>
      <c r="N465" s="9" t="s">
        <v>58</v>
      </c>
      <c r="O465" s="9">
        <v>12.4</v>
      </c>
      <c r="P465" s="9" t="s">
        <v>40</v>
      </c>
      <c r="Q465" s="9" t="b">
        <v>0</v>
      </c>
      <c r="R465" s="9" t="b">
        <v>0</v>
      </c>
      <c r="S465" s="9" t="b">
        <v>0</v>
      </c>
      <c r="T465" s="9">
        <v>1.04</v>
      </c>
      <c r="U465" s="9">
        <v>2</v>
      </c>
      <c r="V465" s="9" t="b">
        <v>0</v>
      </c>
      <c r="W465" s="9" t="s">
        <v>1464</v>
      </c>
    </row>
    <row r="466" spans="1:23" ht="29" customHeight="1" x14ac:dyDescent="0.2">
      <c r="A466" s="9" t="s">
        <v>1465</v>
      </c>
      <c r="B466" s="10" t="s">
        <v>1466</v>
      </c>
      <c r="C466" s="9" t="s">
        <v>44</v>
      </c>
      <c r="D466" s="9" t="s">
        <v>44</v>
      </c>
      <c r="E466" s="9" t="s">
        <v>1009</v>
      </c>
      <c r="F466" s="9" t="s">
        <v>1010</v>
      </c>
      <c r="G466" s="9">
        <v>949</v>
      </c>
      <c r="H466" s="9">
        <v>999</v>
      </c>
      <c r="I466" s="9">
        <v>5</v>
      </c>
      <c r="J466" s="11">
        <v>4.2</v>
      </c>
      <c r="K466" s="9">
        <v>31539</v>
      </c>
      <c r="L466" s="9">
        <v>4.1877041794734167</v>
      </c>
      <c r="M466" s="9" t="s">
        <v>28</v>
      </c>
      <c r="N466" s="9" t="s">
        <v>93</v>
      </c>
      <c r="O466" s="9">
        <v>47.9</v>
      </c>
      <c r="P466" s="9" t="s">
        <v>30</v>
      </c>
      <c r="Q466" s="9" t="b">
        <v>0</v>
      </c>
      <c r="R466" s="9" t="b">
        <v>0</v>
      </c>
      <c r="S466" s="9" t="b">
        <v>0</v>
      </c>
      <c r="T466" s="9">
        <v>1</v>
      </c>
      <c r="U466" s="9">
        <v>2</v>
      </c>
      <c r="V466" s="9" t="b">
        <v>0</v>
      </c>
      <c r="W466" s="9" t="s">
        <v>1467</v>
      </c>
    </row>
    <row r="467" spans="1:23" ht="29" customHeight="1" x14ac:dyDescent="0.2">
      <c r="A467" s="9" t="s">
        <v>1468</v>
      </c>
      <c r="B467" s="10" t="s">
        <v>1469</v>
      </c>
      <c r="C467" s="9" t="s">
        <v>44</v>
      </c>
      <c r="D467" s="9" t="s">
        <v>44</v>
      </c>
      <c r="E467" s="9" t="s">
        <v>981</v>
      </c>
      <c r="F467" s="9" t="s">
        <v>1158</v>
      </c>
      <c r="G467" s="9">
        <v>99</v>
      </c>
      <c r="H467" s="9">
        <v>499</v>
      </c>
      <c r="I467" s="9">
        <v>80</v>
      </c>
      <c r="J467" s="11">
        <v>4.0999999999999996</v>
      </c>
      <c r="K467" s="9">
        <v>2451</v>
      </c>
      <c r="L467" s="9">
        <v>4.0906959188349257</v>
      </c>
      <c r="M467" s="9" t="s">
        <v>28</v>
      </c>
      <c r="N467" s="9" t="s">
        <v>29</v>
      </c>
      <c r="O467" s="9">
        <v>70.8</v>
      </c>
      <c r="P467" s="9" t="s">
        <v>36</v>
      </c>
      <c r="Q467" s="9" t="b">
        <v>0</v>
      </c>
      <c r="R467" s="9" t="b">
        <v>0</v>
      </c>
      <c r="S467" s="9" t="b">
        <v>0</v>
      </c>
      <c r="U467" s="9">
        <v>2</v>
      </c>
      <c r="V467" s="9" t="b">
        <v>1</v>
      </c>
      <c r="W467" s="9" t="s">
        <v>1470</v>
      </c>
    </row>
    <row r="468" spans="1:23" ht="29" customHeight="1" x14ac:dyDescent="0.2">
      <c r="A468" s="9" t="s">
        <v>1471</v>
      </c>
      <c r="B468" s="10" t="s">
        <v>1472</v>
      </c>
      <c r="C468" s="9" t="s">
        <v>44</v>
      </c>
      <c r="D468" s="9" t="s">
        <v>44</v>
      </c>
      <c r="E468" s="9" t="s">
        <v>976</v>
      </c>
      <c r="F468" s="9" t="s">
        <v>977</v>
      </c>
      <c r="G468" s="9">
        <v>2499</v>
      </c>
      <c r="H468" s="9">
        <v>7990</v>
      </c>
      <c r="I468" s="9">
        <v>69</v>
      </c>
      <c r="J468" s="11">
        <v>4.0999999999999996</v>
      </c>
      <c r="K468" s="9">
        <v>154</v>
      </c>
      <c r="L468" s="9">
        <v>4.0852391399670154</v>
      </c>
      <c r="M468" s="9" t="s">
        <v>89</v>
      </c>
      <c r="N468" s="9" t="s">
        <v>179</v>
      </c>
      <c r="O468" s="9">
        <v>51.8</v>
      </c>
      <c r="P468" s="9" t="s">
        <v>53</v>
      </c>
      <c r="Q468" s="9" t="b">
        <v>0</v>
      </c>
      <c r="R468" s="9" t="b">
        <v>0</v>
      </c>
      <c r="S468" s="9" t="b">
        <v>0</v>
      </c>
      <c r="T468" s="9">
        <v>1.1399999999999999</v>
      </c>
      <c r="U468" s="9">
        <v>2</v>
      </c>
      <c r="V468" s="9" t="b">
        <v>0</v>
      </c>
      <c r="W468" s="9" t="s">
        <v>1473</v>
      </c>
    </row>
    <row r="469" spans="1:23" ht="29" customHeight="1" x14ac:dyDescent="0.2">
      <c r="A469" s="9" t="s">
        <v>1474</v>
      </c>
      <c r="B469" s="10" t="s">
        <v>1475</v>
      </c>
      <c r="C469" s="9" t="s">
        <v>44</v>
      </c>
      <c r="D469" s="9" t="s">
        <v>44</v>
      </c>
      <c r="E469" s="9" t="s">
        <v>981</v>
      </c>
      <c r="F469" s="9" t="s">
        <v>1476</v>
      </c>
      <c r="G469" s="9">
        <v>689</v>
      </c>
      <c r="H469" s="9">
        <v>1999</v>
      </c>
      <c r="I469" s="9">
        <v>66</v>
      </c>
      <c r="J469" s="11">
        <v>4.3</v>
      </c>
      <c r="K469" s="9">
        <v>1193</v>
      </c>
      <c r="L469" s="9">
        <v>4.1364825126991853</v>
      </c>
      <c r="M469" s="9" t="s">
        <v>28</v>
      </c>
      <c r="N469" s="9" t="s">
        <v>93</v>
      </c>
      <c r="O469" s="9">
        <v>73.400000000000006</v>
      </c>
      <c r="P469" s="9" t="s">
        <v>36</v>
      </c>
      <c r="Q469" s="9" t="b">
        <v>0</v>
      </c>
      <c r="R469" s="9" t="b">
        <v>0</v>
      </c>
      <c r="S469" s="9" t="b">
        <v>0</v>
      </c>
      <c r="U469" s="9">
        <v>1</v>
      </c>
      <c r="V469" s="9" t="b">
        <v>1</v>
      </c>
      <c r="W469" s="9" t="s">
        <v>1477</v>
      </c>
    </row>
    <row r="470" spans="1:23" ht="29" customHeight="1" x14ac:dyDescent="0.2">
      <c r="A470" s="9" t="s">
        <v>1478</v>
      </c>
      <c r="B470" s="10" t="s">
        <v>1479</v>
      </c>
      <c r="C470" s="9" t="s">
        <v>44</v>
      </c>
      <c r="D470" s="9" t="s">
        <v>44</v>
      </c>
      <c r="E470" s="9" t="s">
        <v>981</v>
      </c>
      <c r="F470" s="9" t="s">
        <v>1331</v>
      </c>
      <c r="G470" s="9">
        <v>499</v>
      </c>
      <c r="H470" s="9">
        <v>1899</v>
      </c>
      <c r="I470" s="9">
        <v>74</v>
      </c>
      <c r="J470" s="11">
        <v>4.0999999999999996</v>
      </c>
      <c r="K470" s="9">
        <v>1475</v>
      </c>
      <c r="L470" s="9">
        <v>4.0889621177433533</v>
      </c>
      <c r="M470" s="9" t="s">
        <v>28</v>
      </c>
      <c r="N470" s="9" t="s">
        <v>29</v>
      </c>
      <c r="O470" s="9">
        <v>65.7</v>
      </c>
      <c r="P470" s="9" t="s">
        <v>36</v>
      </c>
      <c r="Q470" s="9" t="b">
        <v>0</v>
      </c>
      <c r="R470" s="9" t="b">
        <v>0</v>
      </c>
      <c r="S470" s="9" t="b">
        <v>0</v>
      </c>
      <c r="U470" s="9">
        <v>1</v>
      </c>
      <c r="V470" s="9" t="b">
        <v>1</v>
      </c>
      <c r="W470" s="9" t="s">
        <v>1480</v>
      </c>
    </row>
    <row r="471" spans="1:23" ht="29" customHeight="1" x14ac:dyDescent="0.2">
      <c r="A471" s="9" t="s">
        <v>1481</v>
      </c>
      <c r="B471" s="10" t="s">
        <v>1482</v>
      </c>
      <c r="C471" s="9" t="s">
        <v>44</v>
      </c>
      <c r="D471" s="9" t="s">
        <v>44</v>
      </c>
      <c r="E471" s="9" t="s">
        <v>981</v>
      </c>
      <c r="F471" s="9" t="s">
        <v>1272</v>
      </c>
      <c r="G471" s="9">
        <v>299</v>
      </c>
      <c r="H471" s="9">
        <v>999</v>
      </c>
      <c r="I471" s="9">
        <v>70</v>
      </c>
      <c r="J471" s="11">
        <v>4.3</v>
      </c>
      <c r="K471" s="9">
        <v>8891</v>
      </c>
      <c r="L471" s="9">
        <v>4.2359615198704557</v>
      </c>
      <c r="M471" s="9" t="s">
        <v>28</v>
      </c>
      <c r="N471" s="9" t="s">
        <v>29</v>
      </c>
      <c r="O471" s="9">
        <v>86.5</v>
      </c>
      <c r="P471" s="9" t="s">
        <v>36</v>
      </c>
      <c r="Q471" s="9" t="b">
        <v>1</v>
      </c>
      <c r="R471" s="9" t="b">
        <v>0</v>
      </c>
      <c r="S471" s="9" t="b">
        <v>0</v>
      </c>
      <c r="T471" s="9">
        <v>0.77</v>
      </c>
      <c r="U471" s="9">
        <v>1</v>
      </c>
      <c r="V471" s="9" t="b">
        <v>1</v>
      </c>
      <c r="W471" s="9" t="s">
        <v>1483</v>
      </c>
    </row>
    <row r="472" spans="1:23" ht="29" customHeight="1" x14ac:dyDescent="0.2">
      <c r="A472" s="9" t="s">
        <v>1484</v>
      </c>
      <c r="B472" s="10" t="s">
        <v>1485</v>
      </c>
      <c r="C472" s="9" t="s">
        <v>44</v>
      </c>
      <c r="D472" s="9" t="s">
        <v>44</v>
      </c>
      <c r="E472" s="9" t="s">
        <v>981</v>
      </c>
      <c r="F472" s="9" t="s">
        <v>1158</v>
      </c>
      <c r="G472" s="9">
        <v>209</v>
      </c>
      <c r="H472" s="9">
        <v>499</v>
      </c>
      <c r="I472" s="9">
        <v>58</v>
      </c>
      <c r="J472" s="11">
        <v>3.6</v>
      </c>
      <c r="K472" s="9">
        <v>104</v>
      </c>
      <c r="L472" s="9">
        <v>4.0715994029951679</v>
      </c>
      <c r="M472" s="9" t="s">
        <v>89</v>
      </c>
      <c r="N472" s="9" t="s">
        <v>29</v>
      </c>
      <c r="O472" s="9">
        <v>55.5</v>
      </c>
      <c r="P472" s="9" t="s">
        <v>53</v>
      </c>
      <c r="Q472" s="9" t="b">
        <v>0</v>
      </c>
      <c r="R472" s="9" t="b">
        <v>0</v>
      </c>
      <c r="S472" s="9" t="b">
        <v>1</v>
      </c>
      <c r="U472" s="9">
        <v>1</v>
      </c>
      <c r="V472" s="9" t="b">
        <v>1</v>
      </c>
      <c r="W472" s="9" t="s">
        <v>1486</v>
      </c>
    </row>
    <row r="473" spans="1:23" ht="29" customHeight="1" x14ac:dyDescent="0.2">
      <c r="A473" s="9" t="s">
        <v>1487</v>
      </c>
      <c r="B473" s="10" t="s">
        <v>1488</v>
      </c>
      <c r="C473" s="9" t="s">
        <v>44</v>
      </c>
      <c r="D473" s="9" t="s">
        <v>44</v>
      </c>
      <c r="E473" s="9" t="s">
        <v>981</v>
      </c>
      <c r="F473" s="9" t="s">
        <v>986</v>
      </c>
      <c r="G473" s="9">
        <v>8499</v>
      </c>
      <c r="H473" s="9">
        <v>12999</v>
      </c>
      <c r="I473" s="9">
        <v>35</v>
      </c>
      <c r="J473" s="11">
        <v>4.0999999999999996</v>
      </c>
      <c r="K473" s="9">
        <v>6662</v>
      </c>
      <c r="L473" s="9">
        <v>4.094454323150349</v>
      </c>
      <c r="M473" s="9" t="s">
        <v>28</v>
      </c>
      <c r="N473" s="9" t="s">
        <v>144</v>
      </c>
      <c r="O473" s="9">
        <v>36.200000000000003</v>
      </c>
      <c r="P473" s="9" t="s">
        <v>40</v>
      </c>
      <c r="Q473" s="9" t="b">
        <v>0</v>
      </c>
      <c r="R473" s="9" t="b">
        <v>0</v>
      </c>
      <c r="S473" s="9" t="b">
        <v>0</v>
      </c>
      <c r="T473" s="9">
        <v>0.63</v>
      </c>
      <c r="U473" s="9">
        <v>1</v>
      </c>
      <c r="V473" s="9" t="b">
        <v>1</v>
      </c>
      <c r="W473" s="9" t="s">
        <v>1489</v>
      </c>
    </row>
    <row r="474" spans="1:23" ht="29" customHeight="1" x14ac:dyDescent="0.2">
      <c r="A474" s="9" t="s">
        <v>1490</v>
      </c>
      <c r="B474" s="10" t="s">
        <v>1491</v>
      </c>
      <c r="C474" s="9" t="s">
        <v>44</v>
      </c>
      <c r="D474" s="9" t="s">
        <v>44</v>
      </c>
      <c r="E474" s="9" t="s">
        <v>981</v>
      </c>
      <c r="F474" s="9" t="s">
        <v>982</v>
      </c>
      <c r="G474" s="9">
        <v>2179</v>
      </c>
      <c r="H474" s="9">
        <v>3999</v>
      </c>
      <c r="I474" s="9">
        <v>46</v>
      </c>
      <c r="J474" s="11">
        <v>4</v>
      </c>
      <c r="K474" s="9">
        <v>8380</v>
      </c>
      <c r="L474" s="9">
        <v>4.0262251671139229</v>
      </c>
      <c r="M474" s="9" t="s">
        <v>28</v>
      </c>
      <c r="N474" s="9" t="s">
        <v>179</v>
      </c>
      <c r="O474" s="9">
        <v>32.799999999999997</v>
      </c>
      <c r="P474" s="9" t="s">
        <v>40</v>
      </c>
      <c r="Q474" s="9" t="b">
        <v>0</v>
      </c>
      <c r="R474" s="9" t="b">
        <v>0</v>
      </c>
      <c r="S474" s="9" t="b">
        <v>0</v>
      </c>
      <c r="U474" s="9">
        <v>1</v>
      </c>
      <c r="V474" s="9" t="b">
        <v>1</v>
      </c>
      <c r="W474" s="9" t="s">
        <v>1492</v>
      </c>
    </row>
    <row r="475" spans="1:23" ht="29" customHeight="1" x14ac:dyDescent="0.2">
      <c r="A475" s="9" t="s">
        <v>1493</v>
      </c>
      <c r="B475" s="10" t="s">
        <v>1494</v>
      </c>
      <c r="C475" s="9" t="s">
        <v>44</v>
      </c>
      <c r="D475" s="9" t="s">
        <v>44</v>
      </c>
      <c r="E475" s="9" t="s">
        <v>981</v>
      </c>
      <c r="F475" s="9" t="s">
        <v>986</v>
      </c>
      <c r="G475" s="9">
        <v>16999</v>
      </c>
      <c r="H475" s="9">
        <v>20999</v>
      </c>
      <c r="I475" s="9">
        <v>19</v>
      </c>
      <c r="J475" s="11">
        <v>4.0999999999999996</v>
      </c>
      <c r="K475" s="9">
        <v>31822</v>
      </c>
      <c r="L475" s="9">
        <v>4.0983753907370009</v>
      </c>
      <c r="M475" s="9" t="s">
        <v>28</v>
      </c>
      <c r="N475" s="9" t="s">
        <v>58</v>
      </c>
      <c r="O475" s="9">
        <v>32.1</v>
      </c>
      <c r="P475" s="9" t="s">
        <v>40</v>
      </c>
      <c r="Q475" s="9" t="b">
        <v>0</v>
      </c>
      <c r="R475" s="9" t="b">
        <v>0</v>
      </c>
      <c r="S475" s="9" t="b">
        <v>0</v>
      </c>
      <c r="T475" s="9">
        <v>1.26</v>
      </c>
      <c r="U475" s="9">
        <v>3</v>
      </c>
      <c r="V475" s="9" t="b">
        <v>0</v>
      </c>
      <c r="W475" s="9" t="s">
        <v>1495</v>
      </c>
    </row>
    <row r="476" spans="1:23" ht="29" customHeight="1" x14ac:dyDescent="0.2">
      <c r="A476" s="9" t="s">
        <v>1496</v>
      </c>
      <c r="B476" s="10" t="s">
        <v>1497</v>
      </c>
      <c r="C476" s="9" t="s">
        <v>44</v>
      </c>
      <c r="D476" s="9" t="s">
        <v>44</v>
      </c>
      <c r="E476" s="9" t="s">
        <v>981</v>
      </c>
      <c r="F476" s="9" t="s">
        <v>986</v>
      </c>
      <c r="G476" s="9">
        <v>44999</v>
      </c>
      <c r="H476" s="9">
        <v>49999</v>
      </c>
      <c r="I476" s="9">
        <v>10</v>
      </c>
      <c r="J476" s="11">
        <v>4.3</v>
      </c>
      <c r="K476" s="9">
        <v>3075</v>
      </c>
      <c r="L476" s="9">
        <v>4.181490177942349</v>
      </c>
      <c r="M476" s="9" t="s">
        <v>28</v>
      </c>
      <c r="N476" s="9" t="s">
        <v>58</v>
      </c>
      <c r="O476" s="9">
        <v>38.6</v>
      </c>
      <c r="P476" s="9" t="s">
        <v>40</v>
      </c>
      <c r="Q476" s="9" t="b">
        <v>0</v>
      </c>
      <c r="R476" s="9" t="b">
        <v>0</v>
      </c>
      <c r="S476" s="9" t="b">
        <v>0</v>
      </c>
      <c r="T476" s="9">
        <v>3.33</v>
      </c>
      <c r="U476" s="9">
        <v>1</v>
      </c>
      <c r="V476" s="9" t="b">
        <v>1</v>
      </c>
      <c r="W476" s="9" t="s">
        <v>1498</v>
      </c>
    </row>
    <row r="477" spans="1:23" ht="29" customHeight="1" x14ac:dyDescent="0.2">
      <c r="A477" s="9" t="s">
        <v>1499</v>
      </c>
      <c r="B477" s="10" t="s">
        <v>1500</v>
      </c>
      <c r="C477" s="9" t="s">
        <v>44</v>
      </c>
      <c r="D477" s="9" t="s">
        <v>44</v>
      </c>
      <c r="E477" s="9" t="s">
        <v>981</v>
      </c>
      <c r="F477" s="9" t="s">
        <v>1005</v>
      </c>
      <c r="G477" s="9">
        <v>2599</v>
      </c>
      <c r="H477" s="9">
        <v>2999</v>
      </c>
      <c r="I477" s="9">
        <v>13</v>
      </c>
      <c r="J477" s="11">
        <v>3.9</v>
      </c>
      <c r="K477" s="9">
        <v>14266</v>
      </c>
      <c r="L477" s="9">
        <v>3.938532828115529</v>
      </c>
      <c r="M477" s="9" t="s">
        <v>28</v>
      </c>
      <c r="N477" s="9" t="s">
        <v>144</v>
      </c>
      <c r="O477" s="9">
        <v>14.3</v>
      </c>
      <c r="P477" s="9" t="s">
        <v>40</v>
      </c>
      <c r="Q477" s="9" t="b">
        <v>0</v>
      </c>
      <c r="R477" s="9" t="b">
        <v>0</v>
      </c>
      <c r="S477" s="9" t="b">
        <v>0</v>
      </c>
      <c r="U477" s="9">
        <v>1</v>
      </c>
      <c r="V477" s="9" t="b">
        <v>1</v>
      </c>
      <c r="W477" s="9" t="s">
        <v>1501</v>
      </c>
    </row>
    <row r="478" spans="1:23" ht="29" customHeight="1" x14ac:dyDescent="0.2">
      <c r="A478" s="9" t="s">
        <v>1502</v>
      </c>
      <c r="B478" s="10" t="s">
        <v>1503</v>
      </c>
      <c r="C478" s="9" t="s">
        <v>44</v>
      </c>
      <c r="D478" s="9" t="s">
        <v>44</v>
      </c>
      <c r="E478" s="9" t="s">
        <v>976</v>
      </c>
      <c r="F478" s="9" t="s">
        <v>977</v>
      </c>
      <c r="G478" s="9">
        <v>2799</v>
      </c>
      <c r="H478" s="9">
        <v>6499</v>
      </c>
      <c r="I478" s="9">
        <v>57</v>
      </c>
      <c r="J478" s="11">
        <v>4.0999999999999996</v>
      </c>
      <c r="K478" s="9">
        <v>38879</v>
      </c>
      <c r="L478" s="9">
        <v>4.0986442571598278</v>
      </c>
      <c r="M478" s="9" t="s">
        <v>28</v>
      </c>
      <c r="N478" s="9" t="s">
        <v>144</v>
      </c>
      <c r="O478" s="9">
        <v>54.2</v>
      </c>
      <c r="P478" s="9" t="s">
        <v>53</v>
      </c>
      <c r="Q478" s="9" t="b">
        <v>0</v>
      </c>
      <c r="R478" s="9" t="b">
        <v>0</v>
      </c>
      <c r="S478" s="9" t="b">
        <v>0</v>
      </c>
      <c r="T478" s="9">
        <v>1.27</v>
      </c>
      <c r="U478" s="9">
        <v>2</v>
      </c>
      <c r="V478" s="9" t="b">
        <v>1</v>
      </c>
      <c r="W478" s="9" t="s">
        <v>1504</v>
      </c>
    </row>
    <row r="479" spans="1:23" ht="29" customHeight="1" x14ac:dyDescent="0.2">
      <c r="A479" s="9" t="s">
        <v>1505</v>
      </c>
      <c r="B479" s="10" t="s">
        <v>1506</v>
      </c>
      <c r="C479" s="9" t="s">
        <v>44</v>
      </c>
      <c r="D479" s="9" t="s">
        <v>44</v>
      </c>
      <c r="E479" s="9" t="s">
        <v>1009</v>
      </c>
      <c r="F479" s="9" t="s">
        <v>1507</v>
      </c>
      <c r="G479" s="9">
        <v>1399</v>
      </c>
      <c r="H479" s="9">
        <v>2990</v>
      </c>
      <c r="I479" s="9">
        <v>53</v>
      </c>
      <c r="J479" s="11">
        <v>4.0999999999999996</v>
      </c>
      <c r="K479" s="9">
        <v>97175</v>
      </c>
      <c r="L479" s="9">
        <v>4.0994272603510167</v>
      </c>
      <c r="M479" s="9" t="s">
        <v>28</v>
      </c>
      <c r="N479" s="9" t="s">
        <v>179</v>
      </c>
      <c r="O479" s="9">
        <v>51.7</v>
      </c>
      <c r="P479" s="9" t="s">
        <v>53</v>
      </c>
      <c r="Q479" s="9" t="b">
        <v>0</v>
      </c>
      <c r="R479" s="9" t="b">
        <v>0</v>
      </c>
      <c r="S479" s="9" t="b">
        <v>0</v>
      </c>
      <c r="U479" s="9">
        <v>1</v>
      </c>
      <c r="V479" s="9" t="b">
        <v>1</v>
      </c>
      <c r="W479" s="9" t="s">
        <v>1508</v>
      </c>
    </row>
    <row r="480" spans="1:23" ht="29" customHeight="1" x14ac:dyDescent="0.2">
      <c r="A480" s="9" t="s">
        <v>1509</v>
      </c>
      <c r="B480" s="10" t="s">
        <v>1510</v>
      </c>
      <c r="C480" s="9" t="s">
        <v>44</v>
      </c>
      <c r="D480" s="9" t="s">
        <v>44</v>
      </c>
      <c r="E480" s="9" t="s">
        <v>1026</v>
      </c>
      <c r="F480" s="9" t="s">
        <v>1027</v>
      </c>
      <c r="G480" s="9">
        <v>649</v>
      </c>
      <c r="H480" s="9">
        <v>2400</v>
      </c>
      <c r="I480" s="9">
        <v>73</v>
      </c>
      <c r="J480" s="11">
        <v>4.4000000000000004</v>
      </c>
      <c r="K480" s="9">
        <v>67260</v>
      </c>
      <c r="L480" s="9">
        <v>4.3832931689490069</v>
      </c>
      <c r="M480" s="9" t="s">
        <v>28</v>
      </c>
      <c r="N480" s="9" t="s">
        <v>93</v>
      </c>
      <c r="O480" s="9">
        <v>84.5</v>
      </c>
      <c r="P480" s="9" t="s">
        <v>36</v>
      </c>
      <c r="Q480" s="9" t="b">
        <v>0</v>
      </c>
      <c r="R480" s="9" t="b">
        <v>0</v>
      </c>
      <c r="S480" s="9" t="b">
        <v>0</v>
      </c>
      <c r="U480" s="9">
        <v>5</v>
      </c>
      <c r="V480" s="9" t="b">
        <v>0</v>
      </c>
      <c r="W480" s="9" t="s">
        <v>1511</v>
      </c>
    </row>
    <row r="481" spans="1:23" ht="29" customHeight="1" x14ac:dyDescent="0.2">
      <c r="A481" s="9" t="s">
        <v>1512</v>
      </c>
      <c r="B481" s="10" t="s">
        <v>1513</v>
      </c>
      <c r="C481" s="9" t="s">
        <v>44</v>
      </c>
      <c r="D481" s="9" t="s">
        <v>44</v>
      </c>
      <c r="E481" s="9" t="s">
        <v>981</v>
      </c>
      <c r="F481" s="9" t="s">
        <v>1044</v>
      </c>
      <c r="G481" s="9">
        <v>799</v>
      </c>
      <c r="H481" s="9">
        <v>3990</v>
      </c>
      <c r="I481" s="9">
        <v>80</v>
      </c>
      <c r="J481" s="11">
        <v>3.8</v>
      </c>
      <c r="K481" s="9">
        <v>119</v>
      </c>
      <c r="L481" s="9">
        <v>4.0759085641326331</v>
      </c>
      <c r="M481" s="9" t="s">
        <v>89</v>
      </c>
      <c r="N481" s="9" t="s">
        <v>93</v>
      </c>
      <c r="O481" s="9">
        <v>61.8</v>
      </c>
      <c r="P481" s="9" t="s">
        <v>36</v>
      </c>
      <c r="Q481" s="9" t="b">
        <v>0</v>
      </c>
      <c r="R481" s="9" t="b">
        <v>0</v>
      </c>
      <c r="S481" s="9" t="b">
        <v>1</v>
      </c>
      <c r="T481" s="9">
        <v>1.6</v>
      </c>
      <c r="U481" s="9">
        <v>1</v>
      </c>
      <c r="V481" s="9" t="b">
        <v>1</v>
      </c>
      <c r="W481" s="9" t="s">
        <v>1514</v>
      </c>
    </row>
    <row r="482" spans="1:23" ht="29" customHeight="1" x14ac:dyDescent="0.2">
      <c r="A482" s="9" t="s">
        <v>1515</v>
      </c>
      <c r="B482" s="10" t="s">
        <v>1516</v>
      </c>
      <c r="C482" s="9" t="s">
        <v>25</v>
      </c>
      <c r="D482" s="9" t="s">
        <v>25</v>
      </c>
      <c r="E482" s="9" t="s">
        <v>26</v>
      </c>
      <c r="F482" s="9" t="s">
        <v>1517</v>
      </c>
      <c r="G482" s="9">
        <v>149</v>
      </c>
      <c r="H482" s="9">
        <v>149</v>
      </c>
      <c r="I482" s="9">
        <v>0</v>
      </c>
      <c r="J482" s="11">
        <v>4.3</v>
      </c>
      <c r="K482" s="9">
        <v>10833</v>
      </c>
      <c r="L482" s="9">
        <v>4.2444821411860376</v>
      </c>
      <c r="M482" s="9" t="s">
        <v>28</v>
      </c>
      <c r="N482" s="9" t="s">
        <v>29</v>
      </c>
      <c r="O482" s="9">
        <v>58.8</v>
      </c>
      <c r="P482" s="9" t="s">
        <v>53</v>
      </c>
      <c r="Q482" s="9" t="b">
        <v>0</v>
      </c>
      <c r="R482" s="9" t="b">
        <v>0</v>
      </c>
      <c r="S482" s="9" t="b">
        <v>0</v>
      </c>
      <c r="U482" s="9">
        <v>1</v>
      </c>
      <c r="V482" s="9" t="b">
        <v>1</v>
      </c>
      <c r="W482" s="9" t="s">
        <v>1518</v>
      </c>
    </row>
    <row r="483" spans="1:23" ht="29" customHeight="1" x14ac:dyDescent="0.2">
      <c r="A483" s="9" t="s">
        <v>1519</v>
      </c>
      <c r="B483" s="10" t="s">
        <v>1520</v>
      </c>
      <c r="C483" s="9" t="s">
        <v>25</v>
      </c>
      <c r="D483" s="9" t="s">
        <v>25</v>
      </c>
      <c r="E483" s="9" t="s">
        <v>26</v>
      </c>
      <c r="F483" s="9" t="s">
        <v>27</v>
      </c>
      <c r="G483" s="9">
        <v>799</v>
      </c>
      <c r="H483" s="9">
        <v>2100</v>
      </c>
      <c r="I483" s="9">
        <v>62</v>
      </c>
      <c r="J483" s="11">
        <v>4.3</v>
      </c>
      <c r="K483" s="9">
        <v>8188</v>
      </c>
      <c r="L483" s="9">
        <v>4.2321943928438817</v>
      </c>
      <c r="M483" s="9" t="s">
        <v>28</v>
      </c>
      <c r="N483" s="9" t="s">
        <v>93</v>
      </c>
      <c r="O483" s="9">
        <v>68.7</v>
      </c>
      <c r="P483" s="9" t="s">
        <v>36</v>
      </c>
      <c r="Q483" s="9" t="b">
        <v>0</v>
      </c>
      <c r="R483" s="9" t="b">
        <v>0</v>
      </c>
      <c r="S483" s="9" t="b">
        <v>0</v>
      </c>
      <c r="T483" s="9">
        <v>2.67</v>
      </c>
      <c r="U483" s="9">
        <v>1</v>
      </c>
      <c r="V483" s="9" t="b">
        <v>1</v>
      </c>
      <c r="W483" s="9" t="s">
        <v>1521</v>
      </c>
    </row>
    <row r="484" spans="1:23" ht="29" customHeight="1" x14ac:dyDescent="0.2">
      <c r="A484" s="9" t="s">
        <v>1522</v>
      </c>
      <c r="B484" s="10" t="s">
        <v>1523</v>
      </c>
      <c r="C484" s="9" t="s">
        <v>44</v>
      </c>
      <c r="D484" s="9" t="s">
        <v>44</v>
      </c>
      <c r="E484" s="9" t="s">
        <v>981</v>
      </c>
      <c r="F484" s="9" t="s">
        <v>1005</v>
      </c>
      <c r="G484" s="9">
        <v>3799</v>
      </c>
      <c r="H484" s="9">
        <v>5299</v>
      </c>
      <c r="I484" s="9">
        <v>28</v>
      </c>
      <c r="J484" s="11">
        <v>3.5</v>
      </c>
      <c r="K484" s="9">
        <v>1641</v>
      </c>
      <c r="L484" s="9">
        <v>3.9070859797688189</v>
      </c>
      <c r="M484" s="9" t="s">
        <v>28</v>
      </c>
      <c r="N484" s="9" t="s">
        <v>144</v>
      </c>
      <c r="O484" s="9">
        <v>14.8</v>
      </c>
      <c r="P484" s="9" t="s">
        <v>40</v>
      </c>
      <c r="Q484" s="9" t="b">
        <v>0</v>
      </c>
      <c r="R484" s="9" t="b">
        <v>0</v>
      </c>
      <c r="S484" s="9" t="b">
        <v>1</v>
      </c>
      <c r="U484" s="9">
        <v>1</v>
      </c>
      <c r="V484" s="9" t="b">
        <v>1</v>
      </c>
      <c r="W484" s="9" t="s">
        <v>1524</v>
      </c>
    </row>
    <row r="485" spans="1:23" ht="29" customHeight="1" x14ac:dyDescent="0.2">
      <c r="A485" s="9" t="s">
        <v>1525</v>
      </c>
      <c r="B485" s="10" t="s">
        <v>1526</v>
      </c>
      <c r="C485" s="9" t="s">
        <v>44</v>
      </c>
      <c r="D485" s="9" t="s">
        <v>44</v>
      </c>
      <c r="E485" s="9" t="s">
        <v>981</v>
      </c>
      <c r="F485" s="9" t="s">
        <v>1338</v>
      </c>
      <c r="G485" s="9">
        <v>199</v>
      </c>
      <c r="H485" s="9">
        <v>1899</v>
      </c>
      <c r="I485" s="9">
        <v>90</v>
      </c>
      <c r="J485" s="11">
        <v>4</v>
      </c>
      <c r="K485" s="9">
        <v>4740</v>
      </c>
      <c r="L485" s="9">
        <v>4.0374524071368203</v>
      </c>
      <c r="M485" s="9" t="s">
        <v>28</v>
      </c>
      <c r="N485" s="9" t="s">
        <v>29</v>
      </c>
      <c r="O485" s="9">
        <v>61</v>
      </c>
      <c r="P485" s="9" t="s">
        <v>36</v>
      </c>
      <c r="Q485" s="9" t="b">
        <v>0</v>
      </c>
      <c r="R485" s="9" t="b">
        <v>0</v>
      </c>
      <c r="S485" s="9" t="b">
        <v>0</v>
      </c>
      <c r="U485" s="9">
        <v>1</v>
      </c>
      <c r="V485" s="9" t="b">
        <v>1</v>
      </c>
      <c r="W485" s="9" t="s">
        <v>1527</v>
      </c>
    </row>
    <row r="486" spans="1:23" ht="29" customHeight="1" x14ac:dyDescent="0.2">
      <c r="A486" s="9" t="s">
        <v>1528</v>
      </c>
      <c r="B486" s="10" t="s">
        <v>1529</v>
      </c>
      <c r="C486" s="9" t="s">
        <v>44</v>
      </c>
      <c r="D486" s="9" t="s">
        <v>44</v>
      </c>
      <c r="E486" s="9" t="s">
        <v>981</v>
      </c>
      <c r="F486" s="9" t="s">
        <v>986</v>
      </c>
      <c r="G486" s="9">
        <v>23999</v>
      </c>
      <c r="H486" s="9">
        <v>32999</v>
      </c>
      <c r="I486" s="9">
        <v>27</v>
      </c>
      <c r="J486" s="11">
        <v>3.9</v>
      </c>
      <c r="K486" s="9">
        <v>8866</v>
      </c>
      <c r="L486" s="9">
        <v>3.955009628354976</v>
      </c>
      <c r="M486" s="9" t="s">
        <v>28</v>
      </c>
      <c r="N486" s="9" t="s">
        <v>58</v>
      </c>
      <c r="O486" s="9">
        <v>12.1</v>
      </c>
      <c r="P486" s="9" t="s">
        <v>40</v>
      </c>
      <c r="Q486" s="9" t="b">
        <v>0</v>
      </c>
      <c r="R486" s="9" t="b">
        <v>0</v>
      </c>
      <c r="S486" s="9" t="b">
        <v>0</v>
      </c>
      <c r="T486" s="9">
        <v>1.78</v>
      </c>
      <c r="U486" s="9">
        <v>1</v>
      </c>
      <c r="V486" s="9" t="b">
        <v>1</v>
      </c>
      <c r="W486" s="9" t="s">
        <v>1530</v>
      </c>
    </row>
    <row r="487" spans="1:23" ht="29" customHeight="1" x14ac:dyDescent="0.2">
      <c r="A487" s="9" t="s">
        <v>1531</v>
      </c>
      <c r="B487" s="10" t="s">
        <v>1532</v>
      </c>
      <c r="C487" s="9" t="s">
        <v>44</v>
      </c>
      <c r="D487" s="9" t="s">
        <v>44</v>
      </c>
      <c r="E487" s="9" t="s">
        <v>981</v>
      </c>
      <c r="F487" s="9" t="s">
        <v>986</v>
      </c>
      <c r="G487" s="9">
        <v>29990</v>
      </c>
      <c r="H487" s="9">
        <v>39990</v>
      </c>
      <c r="I487" s="9">
        <v>25</v>
      </c>
      <c r="J487" s="11">
        <v>4.3</v>
      </c>
      <c r="K487" s="9">
        <v>8399</v>
      </c>
      <c r="L487" s="9">
        <v>4.2333708088377922</v>
      </c>
      <c r="M487" s="9" t="s">
        <v>28</v>
      </c>
      <c r="N487" s="9" t="s">
        <v>58</v>
      </c>
      <c r="O487" s="9">
        <v>47.6</v>
      </c>
      <c r="P487" s="9" t="s">
        <v>30</v>
      </c>
      <c r="Q487" s="9" t="b">
        <v>0</v>
      </c>
      <c r="R487" s="9" t="b">
        <v>0</v>
      </c>
      <c r="S487" s="9" t="b">
        <v>0</v>
      </c>
      <c r="T487" s="9">
        <v>2.2200000000000002</v>
      </c>
      <c r="U487" s="9">
        <v>1</v>
      </c>
      <c r="V487" s="9" t="b">
        <v>1</v>
      </c>
      <c r="W487" s="9" t="s">
        <v>1533</v>
      </c>
    </row>
    <row r="488" spans="1:23" ht="29" customHeight="1" x14ac:dyDescent="0.2">
      <c r="A488" s="9" t="s">
        <v>1534</v>
      </c>
      <c r="B488" s="10" t="s">
        <v>1535</v>
      </c>
      <c r="C488" s="9" t="s">
        <v>44</v>
      </c>
      <c r="D488" s="9" t="s">
        <v>44</v>
      </c>
      <c r="E488" s="9" t="s">
        <v>976</v>
      </c>
      <c r="F488" s="9" t="s">
        <v>977</v>
      </c>
      <c r="G488" s="9">
        <v>281</v>
      </c>
      <c r="H488" s="9">
        <v>1999</v>
      </c>
      <c r="I488" s="9">
        <v>86</v>
      </c>
      <c r="J488" s="11">
        <v>2.8</v>
      </c>
      <c r="K488" s="9">
        <v>87</v>
      </c>
      <c r="L488" s="9">
        <v>4.0556017902794688</v>
      </c>
      <c r="M488" s="9" t="s">
        <v>204</v>
      </c>
      <c r="N488" s="9" t="s">
        <v>29</v>
      </c>
      <c r="O488" s="9">
        <v>62.5</v>
      </c>
      <c r="P488" s="9" t="s">
        <v>36</v>
      </c>
      <c r="Q488" s="9" t="b">
        <v>0</v>
      </c>
      <c r="R488" s="9" t="b">
        <v>0</v>
      </c>
      <c r="S488" s="9" t="b">
        <v>1</v>
      </c>
      <c r="T488" s="9">
        <v>0.13</v>
      </c>
      <c r="U488" s="9">
        <v>1</v>
      </c>
      <c r="V488" s="9" t="b">
        <v>1</v>
      </c>
      <c r="W488" s="9" t="s">
        <v>1536</v>
      </c>
    </row>
    <row r="489" spans="1:23" ht="29" customHeight="1" x14ac:dyDescent="0.2">
      <c r="A489" s="9" t="s">
        <v>1537</v>
      </c>
      <c r="B489" s="10" t="s">
        <v>1538</v>
      </c>
      <c r="C489" s="9" t="s">
        <v>44</v>
      </c>
      <c r="D489" s="9" t="s">
        <v>44</v>
      </c>
      <c r="E489" s="9" t="s">
        <v>981</v>
      </c>
      <c r="F489" s="9" t="s">
        <v>986</v>
      </c>
      <c r="G489" s="9">
        <v>7998</v>
      </c>
      <c r="H489" s="9">
        <v>11999</v>
      </c>
      <c r="I489" s="9">
        <v>33</v>
      </c>
      <c r="J489" s="11">
        <v>3.8</v>
      </c>
      <c r="K489" s="9">
        <v>125</v>
      </c>
      <c r="L489" s="9">
        <v>4.0754827245481193</v>
      </c>
      <c r="M489" s="9" t="s">
        <v>89</v>
      </c>
      <c r="N489" s="9" t="s">
        <v>144</v>
      </c>
      <c r="O489" s="9">
        <v>28</v>
      </c>
      <c r="P489" s="9" t="s">
        <v>40</v>
      </c>
      <c r="Q489" s="9" t="b">
        <v>0</v>
      </c>
      <c r="R489" s="9" t="b">
        <v>0</v>
      </c>
      <c r="S489" s="9" t="b">
        <v>1</v>
      </c>
      <c r="T489" s="9">
        <v>0.59</v>
      </c>
      <c r="U489" s="9">
        <v>1</v>
      </c>
      <c r="V489" s="9" t="b">
        <v>1</v>
      </c>
      <c r="W489" s="9" t="s">
        <v>1539</v>
      </c>
    </row>
    <row r="490" spans="1:23" ht="29" customHeight="1" x14ac:dyDescent="0.2">
      <c r="A490" s="9" t="s">
        <v>1540</v>
      </c>
      <c r="B490" s="10" t="s">
        <v>1541</v>
      </c>
      <c r="C490" s="9" t="s">
        <v>44</v>
      </c>
      <c r="D490" s="9" t="s">
        <v>44</v>
      </c>
      <c r="E490" s="9" t="s">
        <v>976</v>
      </c>
      <c r="F490" s="9" t="s">
        <v>977</v>
      </c>
      <c r="G490" s="9">
        <v>249</v>
      </c>
      <c r="H490" s="9">
        <v>999</v>
      </c>
      <c r="I490" s="9">
        <v>75</v>
      </c>
      <c r="J490" s="11">
        <v>4.5</v>
      </c>
      <c r="K490" s="9">
        <v>38</v>
      </c>
      <c r="L490" s="9">
        <v>4.0887880783267514</v>
      </c>
      <c r="M490" s="9" t="s">
        <v>204</v>
      </c>
      <c r="N490" s="9" t="s">
        <v>29</v>
      </c>
      <c r="O490" s="9">
        <v>67.599999999999994</v>
      </c>
      <c r="P490" s="9" t="s">
        <v>36</v>
      </c>
      <c r="Q490" s="9" t="b">
        <v>0</v>
      </c>
      <c r="R490" s="9" t="b">
        <v>0</v>
      </c>
      <c r="S490" s="9" t="b">
        <v>0</v>
      </c>
      <c r="T490" s="9">
        <v>0.11</v>
      </c>
      <c r="U490" s="9">
        <v>1</v>
      </c>
      <c r="V490" s="9" t="b">
        <v>1</v>
      </c>
      <c r="W490" s="9" t="s">
        <v>1542</v>
      </c>
    </row>
    <row r="491" spans="1:23" ht="29" customHeight="1" x14ac:dyDescent="0.2">
      <c r="A491" s="9" t="s">
        <v>1543</v>
      </c>
      <c r="B491" s="10" t="s">
        <v>1544</v>
      </c>
      <c r="C491" s="9" t="s">
        <v>44</v>
      </c>
      <c r="D491" s="9" t="s">
        <v>44</v>
      </c>
      <c r="E491" s="9" t="s">
        <v>981</v>
      </c>
      <c r="F491" s="9" t="s">
        <v>1272</v>
      </c>
      <c r="G491" s="9">
        <v>299</v>
      </c>
      <c r="H491" s="9">
        <v>599</v>
      </c>
      <c r="I491" s="9">
        <v>50</v>
      </c>
      <c r="J491" s="11">
        <v>4.3</v>
      </c>
      <c r="K491" s="9">
        <v>4674</v>
      </c>
      <c r="L491" s="9">
        <v>4.2039517681124652</v>
      </c>
      <c r="M491" s="9" t="s">
        <v>28</v>
      </c>
      <c r="N491" s="9" t="s">
        <v>29</v>
      </c>
      <c r="O491" s="9">
        <v>75.2</v>
      </c>
      <c r="P491" s="9" t="s">
        <v>36</v>
      </c>
      <c r="Q491" s="9" t="b">
        <v>0</v>
      </c>
      <c r="R491" s="9" t="b">
        <v>0</v>
      </c>
      <c r="S491" s="9" t="b">
        <v>0</v>
      </c>
      <c r="T491" s="9">
        <v>0.77</v>
      </c>
      <c r="U491" s="9">
        <v>1</v>
      </c>
      <c r="V491" s="9" t="b">
        <v>1</v>
      </c>
      <c r="W491" s="9" t="s">
        <v>1545</v>
      </c>
    </row>
    <row r="492" spans="1:23" ht="29" customHeight="1" x14ac:dyDescent="0.2">
      <c r="A492" s="9" t="s">
        <v>1546</v>
      </c>
      <c r="B492" s="10" t="s">
        <v>1547</v>
      </c>
      <c r="C492" s="9" t="s">
        <v>44</v>
      </c>
      <c r="D492" s="9" t="s">
        <v>44</v>
      </c>
      <c r="E492" s="9" t="s">
        <v>976</v>
      </c>
      <c r="F492" s="9" t="s">
        <v>977</v>
      </c>
      <c r="G492" s="9">
        <v>499</v>
      </c>
      <c r="H492" s="9">
        <v>1899</v>
      </c>
      <c r="I492" s="9">
        <v>74</v>
      </c>
      <c r="J492" s="11">
        <v>4.0999999999999996</v>
      </c>
      <c r="K492" s="9">
        <v>412</v>
      </c>
      <c r="L492" s="9">
        <v>4.0861514173387992</v>
      </c>
      <c r="M492" s="9" t="s">
        <v>89</v>
      </c>
      <c r="N492" s="9" t="s">
        <v>29</v>
      </c>
      <c r="O492" s="9">
        <v>64.2</v>
      </c>
      <c r="P492" s="9" t="s">
        <v>36</v>
      </c>
      <c r="Q492" s="9" t="b">
        <v>0</v>
      </c>
      <c r="R492" s="9" t="b">
        <v>0</v>
      </c>
      <c r="S492" s="9" t="b">
        <v>0</v>
      </c>
      <c r="T492" s="9">
        <v>0.23</v>
      </c>
      <c r="U492" s="9">
        <v>1</v>
      </c>
      <c r="V492" s="9" t="b">
        <v>1</v>
      </c>
      <c r="W492" s="9" t="s">
        <v>1548</v>
      </c>
    </row>
    <row r="493" spans="1:23" ht="29" customHeight="1" x14ac:dyDescent="0.2">
      <c r="A493" s="9" t="s">
        <v>1549</v>
      </c>
      <c r="B493" s="10" t="s">
        <v>1550</v>
      </c>
      <c r="C493" s="9" t="s">
        <v>44</v>
      </c>
      <c r="D493" s="9" t="s">
        <v>44</v>
      </c>
      <c r="E493" s="9" t="s">
        <v>976</v>
      </c>
      <c r="F493" s="9" t="s">
        <v>977</v>
      </c>
      <c r="G493" s="9">
        <v>899</v>
      </c>
      <c r="H493" s="9">
        <v>3499</v>
      </c>
      <c r="I493" s="9">
        <v>74</v>
      </c>
      <c r="J493" s="11">
        <v>3</v>
      </c>
      <c r="K493" s="9">
        <v>681</v>
      </c>
      <c r="L493" s="9">
        <v>3.918406457000295</v>
      </c>
      <c r="M493" s="9" t="s">
        <v>89</v>
      </c>
      <c r="N493" s="9" t="s">
        <v>93</v>
      </c>
      <c r="O493" s="9">
        <v>45.7</v>
      </c>
      <c r="P493" s="9" t="s">
        <v>30</v>
      </c>
      <c r="Q493" s="9" t="b">
        <v>0</v>
      </c>
      <c r="R493" s="9" t="b">
        <v>0</v>
      </c>
      <c r="S493" s="9" t="b">
        <v>1</v>
      </c>
      <c r="T493" s="9">
        <v>0.41</v>
      </c>
      <c r="U493" s="9">
        <v>1</v>
      </c>
      <c r="V493" s="9" t="b">
        <v>1</v>
      </c>
      <c r="W493" s="9" t="s">
        <v>1551</v>
      </c>
    </row>
    <row r="494" spans="1:23" ht="29" customHeight="1" x14ac:dyDescent="0.2">
      <c r="A494" s="9" t="s">
        <v>1552</v>
      </c>
      <c r="B494" s="10" t="s">
        <v>1553</v>
      </c>
      <c r="C494" s="9" t="s">
        <v>44</v>
      </c>
      <c r="D494" s="9" t="s">
        <v>44</v>
      </c>
      <c r="E494" s="9" t="s">
        <v>981</v>
      </c>
      <c r="F494" s="9" t="s">
        <v>982</v>
      </c>
      <c r="G494" s="9">
        <v>1599</v>
      </c>
      <c r="H494" s="9">
        <v>3499</v>
      </c>
      <c r="I494" s="9">
        <v>54</v>
      </c>
      <c r="J494" s="11">
        <v>4</v>
      </c>
      <c r="K494" s="9">
        <v>36384</v>
      </c>
      <c r="L494" s="9">
        <v>4.0079319266108087</v>
      </c>
      <c r="M494" s="9" t="s">
        <v>28</v>
      </c>
      <c r="N494" s="9" t="s">
        <v>179</v>
      </c>
      <c r="O494" s="9">
        <v>37.200000000000003</v>
      </c>
      <c r="P494" s="9" t="s">
        <v>40</v>
      </c>
      <c r="Q494" s="9" t="b">
        <v>0</v>
      </c>
      <c r="R494" s="9" t="b">
        <v>0</v>
      </c>
      <c r="S494" s="9" t="b">
        <v>0</v>
      </c>
      <c r="U494" s="9">
        <v>2</v>
      </c>
      <c r="V494" s="9" t="b">
        <v>1</v>
      </c>
      <c r="W494" s="9" t="s">
        <v>1554</v>
      </c>
    </row>
    <row r="495" spans="1:23" ht="29" customHeight="1" x14ac:dyDescent="0.2">
      <c r="A495" s="9" t="s">
        <v>1555</v>
      </c>
      <c r="B495" s="10" t="s">
        <v>1556</v>
      </c>
      <c r="C495" s="9" t="s">
        <v>44</v>
      </c>
      <c r="D495" s="9" t="s">
        <v>44</v>
      </c>
      <c r="E495" s="9" t="s">
        <v>1009</v>
      </c>
      <c r="F495" s="9" t="s">
        <v>621</v>
      </c>
      <c r="G495" s="9">
        <v>120</v>
      </c>
      <c r="H495" s="9">
        <v>999</v>
      </c>
      <c r="I495" s="9">
        <v>88</v>
      </c>
      <c r="J495" s="11">
        <v>3.9</v>
      </c>
      <c r="K495" s="9">
        <v>6491</v>
      </c>
      <c r="L495" s="9">
        <v>3.9677514109017231</v>
      </c>
      <c r="M495" s="9" t="s">
        <v>28</v>
      </c>
      <c r="N495" s="9" t="s">
        <v>29</v>
      </c>
      <c r="O495" s="9">
        <v>54.8</v>
      </c>
      <c r="P495" s="9" t="s">
        <v>53</v>
      </c>
      <c r="Q495" s="9" t="b">
        <v>0</v>
      </c>
      <c r="R495" s="9" t="b">
        <v>0</v>
      </c>
      <c r="S495" s="9" t="b">
        <v>0</v>
      </c>
      <c r="U495" s="9">
        <v>1</v>
      </c>
      <c r="V495" s="9" t="b">
        <v>1</v>
      </c>
      <c r="W495" s="9" t="s">
        <v>1557</v>
      </c>
    </row>
    <row r="496" spans="1:23" ht="29" customHeight="1" x14ac:dyDescent="0.2">
      <c r="A496" s="9" t="s">
        <v>1558</v>
      </c>
      <c r="B496" s="10" t="s">
        <v>1559</v>
      </c>
      <c r="C496" s="9" t="s">
        <v>44</v>
      </c>
      <c r="D496" s="9" t="s">
        <v>44</v>
      </c>
      <c r="E496" s="9" t="s">
        <v>976</v>
      </c>
      <c r="F496" s="9" t="s">
        <v>977</v>
      </c>
      <c r="G496" s="9">
        <v>3999</v>
      </c>
      <c r="H496" s="9">
        <v>6999</v>
      </c>
      <c r="I496" s="9">
        <v>43</v>
      </c>
      <c r="J496" s="11">
        <v>4.0999999999999996</v>
      </c>
      <c r="K496" s="9">
        <v>10229</v>
      </c>
      <c r="L496" s="9">
        <v>4.0958681407769584</v>
      </c>
      <c r="M496" s="9" t="s">
        <v>28</v>
      </c>
      <c r="N496" s="9" t="s">
        <v>144</v>
      </c>
      <c r="O496" s="9">
        <v>42.8</v>
      </c>
      <c r="P496" s="9" t="s">
        <v>30</v>
      </c>
      <c r="Q496" s="9" t="b">
        <v>0</v>
      </c>
      <c r="R496" s="9" t="b">
        <v>0</v>
      </c>
      <c r="S496" s="9" t="b">
        <v>0</v>
      </c>
      <c r="T496" s="9">
        <v>1.82</v>
      </c>
      <c r="U496" s="9">
        <v>1</v>
      </c>
      <c r="V496" s="9" t="b">
        <v>1</v>
      </c>
      <c r="W496" s="9" t="s">
        <v>1560</v>
      </c>
    </row>
    <row r="497" spans="1:23" ht="29" customHeight="1" x14ac:dyDescent="0.2">
      <c r="A497" s="9" t="s">
        <v>1561</v>
      </c>
      <c r="B497" s="10" t="s">
        <v>1409</v>
      </c>
      <c r="C497" s="9" t="s">
        <v>44</v>
      </c>
      <c r="D497" s="9" t="s">
        <v>44</v>
      </c>
      <c r="E497" s="9" t="s">
        <v>981</v>
      </c>
      <c r="F497" s="9" t="s">
        <v>986</v>
      </c>
      <c r="G497" s="9">
        <v>12999</v>
      </c>
      <c r="H497" s="9">
        <v>18999</v>
      </c>
      <c r="I497" s="9">
        <v>32</v>
      </c>
      <c r="J497" s="11">
        <v>4.0999999999999996</v>
      </c>
      <c r="K497" s="9">
        <v>50772</v>
      </c>
      <c r="L497" s="9">
        <v>4.0989399204481716</v>
      </c>
      <c r="M497" s="9" t="s">
        <v>28</v>
      </c>
      <c r="N497" s="9" t="s">
        <v>58</v>
      </c>
      <c r="O497" s="9">
        <v>37.6</v>
      </c>
      <c r="P497" s="9" t="s">
        <v>40</v>
      </c>
      <c r="Q497" s="9" t="b">
        <v>0</v>
      </c>
      <c r="R497" s="9" t="b">
        <v>0</v>
      </c>
      <c r="S497" s="9" t="b">
        <v>0</v>
      </c>
      <c r="T497" s="9">
        <v>0.96</v>
      </c>
      <c r="U497" s="9">
        <v>4</v>
      </c>
      <c r="V497" s="9" t="b">
        <v>0</v>
      </c>
      <c r="W497" s="9" t="s">
        <v>1562</v>
      </c>
    </row>
    <row r="498" spans="1:23" ht="29" customHeight="1" x14ac:dyDescent="0.2">
      <c r="A498" s="9" t="s">
        <v>1563</v>
      </c>
      <c r="B498" s="10" t="s">
        <v>1564</v>
      </c>
      <c r="C498" s="9" t="s">
        <v>44</v>
      </c>
      <c r="D498" s="9" t="s">
        <v>44</v>
      </c>
      <c r="E498" s="9" t="s">
        <v>981</v>
      </c>
      <c r="F498" s="9" t="s">
        <v>1338</v>
      </c>
      <c r="G498" s="9">
        <v>1599</v>
      </c>
      <c r="H498" s="9">
        <v>2599</v>
      </c>
      <c r="I498" s="9">
        <v>38</v>
      </c>
      <c r="J498" s="11">
        <v>4.3</v>
      </c>
      <c r="K498" s="9">
        <v>1801</v>
      </c>
      <c r="L498" s="9">
        <v>4.1543523126953934</v>
      </c>
      <c r="M498" s="9" t="s">
        <v>28</v>
      </c>
      <c r="N498" s="9" t="s">
        <v>179</v>
      </c>
      <c r="O498" s="9">
        <v>55.6</v>
      </c>
      <c r="P498" s="9" t="s">
        <v>53</v>
      </c>
      <c r="Q498" s="9" t="b">
        <v>0</v>
      </c>
      <c r="R498" s="9" t="b">
        <v>0</v>
      </c>
      <c r="S498" s="9" t="b">
        <v>0</v>
      </c>
      <c r="U498" s="9">
        <v>1</v>
      </c>
      <c r="V498" s="9" t="b">
        <v>1</v>
      </c>
      <c r="W498" s="9" t="s">
        <v>1565</v>
      </c>
    </row>
    <row r="499" spans="1:23" ht="29" customHeight="1" x14ac:dyDescent="0.2">
      <c r="A499" s="9" t="s">
        <v>1566</v>
      </c>
      <c r="B499" s="10" t="s">
        <v>1567</v>
      </c>
      <c r="C499" s="9" t="s">
        <v>44</v>
      </c>
      <c r="D499" s="9" t="s">
        <v>44</v>
      </c>
      <c r="E499" s="9" t="s">
        <v>981</v>
      </c>
      <c r="F499" s="9" t="s">
        <v>1044</v>
      </c>
      <c r="G499" s="9">
        <v>699</v>
      </c>
      <c r="H499" s="9">
        <v>1199</v>
      </c>
      <c r="I499" s="9">
        <v>42</v>
      </c>
      <c r="J499" s="11">
        <v>4</v>
      </c>
      <c r="K499" s="9">
        <v>14404</v>
      </c>
      <c r="L499" s="9">
        <v>4.0175289181559917</v>
      </c>
      <c r="M499" s="9" t="s">
        <v>28</v>
      </c>
      <c r="N499" s="9" t="s">
        <v>93</v>
      </c>
      <c r="O499" s="9">
        <v>37.5</v>
      </c>
      <c r="P499" s="9" t="s">
        <v>40</v>
      </c>
      <c r="Q499" s="9" t="b">
        <v>0</v>
      </c>
      <c r="R499" s="9" t="b">
        <v>0</v>
      </c>
      <c r="S499" s="9" t="b">
        <v>0</v>
      </c>
      <c r="T499" s="9">
        <v>1.4</v>
      </c>
      <c r="U499" s="9">
        <v>2</v>
      </c>
      <c r="V499" s="9" t="b">
        <v>0</v>
      </c>
      <c r="W499" s="9" t="s">
        <v>1568</v>
      </c>
    </row>
    <row r="500" spans="1:23" ht="29" customHeight="1" x14ac:dyDescent="0.2">
      <c r="A500" s="9" t="s">
        <v>1569</v>
      </c>
      <c r="B500" s="10" t="s">
        <v>1570</v>
      </c>
      <c r="C500" s="9" t="s">
        <v>44</v>
      </c>
      <c r="D500" s="9" t="s">
        <v>44</v>
      </c>
      <c r="E500" s="9" t="s">
        <v>981</v>
      </c>
      <c r="F500" s="9" t="s">
        <v>1571</v>
      </c>
      <c r="G500" s="9">
        <v>99</v>
      </c>
      <c r="H500" s="9">
        <v>999</v>
      </c>
      <c r="I500" s="9">
        <v>90</v>
      </c>
      <c r="J500" s="11">
        <v>4.4000000000000004</v>
      </c>
      <c r="K500" s="9">
        <v>305</v>
      </c>
      <c r="L500" s="9">
        <v>4.10828250563757</v>
      </c>
      <c r="M500" s="9" t="s">
        <v>89</v>
      </c>
      <c r="N500" s="9" t="s">
        <v>29</v>
      </c>
      <c r="O500" s="9">
        <v>79.400000000000006</v>
      </c>
      <c r="P500" s="9" t="s">
        <v>36</v>
      </c>
      <c r="Q500" s="9" t="b">
        <v>0</v>
      </c>
      <c r="R500" s="9" t="b">
        <v>0</v>
      </c>
      <c r="S500" s="9" t="b">
        <v>0</v>
      </c>
      <c r="U500" s="9">
        <v>1</v>
      </c>
      <c r="V500" s="9" t="b">
        <v>1</v>
      </c>
      <c r="W500" s="9" t="s">
        <v>1572</v>
      </c>
    </row>
    <row r="501" spans="1:23" ht="29" customHeight="1" x14ac:dyDescent="0.2">
      <c r="A501" s="9" t="s">
        <v>1573</v>
      </c>
      <c r="B501" s="10" t="s">
        <v>1574</v>
      </c>
      <c r="C501" s="9" t="s">
        <v>44</v>
      </c>
      <c r="D501" s="9" t="s">
        <v>44</v>
      </c>
      <c r="E501" s="9" t="s">
        <v>981</v>
      </c>
      <c r="F501" s="9" t="s">
        <v>986</v>
      </c>
      <c r="G501" s="9">
        <v>7915</v>
      </c>
      <c r="H501" s="9">
        <v>9999</v>
      </c>
      <c r="I501" s="9">
        <v>21</v>
      </c>
      <c r="J501" s="11">
        <v>4.3</v>
      </c>
      <c r="K501" s="9">
        <v>1376</v>
      </c>
      <c r="L501" s="9">
        <v>4.1423059436957894</v>
      </c>
      <c r="M501" s="9" t="s">
        <v>28</v>
      </c>
      <c r="N501" s="9" t="s">
        <v>144</v>
      </c>
      <c r="O501" s="9">
        <v>39.799999999999997</v>
      </c>
      <c r="P501" s="9" t="s">
        <v>30</v>
      </c>
      <c r="Q501" s="9" t="b">
        <v>0</v>
      </c>
      <c r="R501" s="9" t="b">
        <v>0</v>
      </c>
      <c r="S501" s="9" t="b">
        <v>0</v>
      </c>
      <c r="T501" s="9">
        <v>0.59</v>
      </c>
      <c r="U501" s="9">
        <v>1</v>
      </c>
      <c r="V501" s="9" t="b">
        <v>1</v>
      </c>
      <c r="W501" s="9" t="s">
        <v>1575</v>
      </c>
    </row>
    <row r="502" spans="1:23" ht="29" customHeight="1" x14ac:dyDescent="0.2">
      <c r="A502" s="9" t="s">
        <v>1576</v>
      </c>
      <c r="B502" s="10" t="s">
        <v>1577</v>
      </c>
      <c r="C502" s="9" t="s">
        <v>44</v>
      </c>
      <c r="D502" s="9" t="s">
        <v>44</v>
      </c>
      <c r="E502" s="9" t="s">
        <v>976</v>
      </c>
      <c r="F502" s="9" t="s">
        <v>977</v>
      </c>
      <c r="G502" s="9">
        <v>1499</v>
      </c>
      <c r="H502" s="9">
        <v>7999</v>
      </c>
      <c r="I502" s="9">
        <v>81</v>
      </c>
      <c r="J502" s="11">
        <v>4.2</v>
      </c>
      <c r="K502" s="9">
        <v>22638</v>
      </c>
      <c r="L502" s="9">
        <v>4.1835586103172604</v>
      </c>
      <c r="M502" s="9" t="s">
        <v>28</v>
      </c>
      <c r="N502" s="9" t="s">
        <v>179</v>
      </c>
      <c r="O502" s="9">
        <v>78.099999999999994</v>
      </c>
      <c r="P502" s="9" t="s">
        <v>36</v>
      </c>
      <c r="Q502" s="9" t="b">
        <v>0</v>
      </c>
      <c r="R502" s="9" t="b">
        <v>0</v>
      </c>
      <c r="S502" s="9" t="b">
        <v>0</v>
      </c>
      <c r="T502" s="9">
        <v>0.68</v>
      </c>
      <c r="U502" s="9">
        <v>3</v>
      </c>
      <c r="V502" s="9" t="b">
        <v>0</v>
      </c>
      <c r="W502" s="9" t="s">
        <v>1578</v>
      </c>
    </row>
    <row r="503" spans="1:23" ht="29" customHeight="1" x14ac:dyDescent="0.2">
      <c r="A503" s="9" t="s">
        <v>1579</v>
      </c>
      <c r="B503" s="10" t="s">
        <v>1580</v>
      </c>
      <c r="C503" s="9" t="s">
        <v>44</v>
      </c>
      <c r="D503" s="9" t="s">
        <v>44</v>
      </c>
      <c r="E503" s="9" t="s">
        <v>981</v>
      </c>
      <c r="F503" s="9" t="s">
        <v>1005</v>
      </c>
      <c r="G503" s="9">
        <v>1055</v>
      </c>
      <c r="H503" s="9">
        <v>1249</v>
      </c>
      <c r="I503" s="9">
        <v>16</v>
      </c>
      <c r="J503" s="11">
        <v>3.8</v>
      </c>
      <c r="K503" s="9">
        <v>2352</v>
      </c>
      <c r="L503" s="9">
        <v>3.9751474514156211</v>
      </c>
      <c r="M503" s="9" t="s">
        <v>28</v>
      </c>
      <c r="N503" s="9" t="s">
        <v>179</v>
      </c>
      <c r="O503" s="9">
        <v>23.7</v>
      </c>
      <c r="P503" s="9" t="s">
        <v>40</v>
      </c>
      <c r="Q503" s="9" t="b">
        <v>0</v>
      </c>
      <c r="R503" s="9" t="b">
        <v>0</v>
      </c>
      <c r="S503" s="9" t="b">
        <v>1</v>
      </c>
      <c r="U503" s="9">
        <v>1</v>
      </c>
      <c r="V503" s="9" t="b">
        <v>1</v>
      </c>
      <c r="W503" s="9" t="s">
        <v>1581</v>
      </c>
    </row>
    <row r="504" spans="1:23" ht="29" customHeight="1" x14ac:dyDescent="0.2">
      <c r="A504" s="9" t="s">
        <v>1582</v>
      </c>
      <c r="B504" s="10" t="s">
        <v>1583</v>
      </c>
      <c r="C504" s="9" t="s">
        <v>44</v>
      </c>
      <c r="D504" s="9" t="s">
        <v>44</v>
      </c>
      <c r="E504" s="9" t="s">
        <v>981</v>
      </c>
      <c r="F504" s="9" t="s">
        <v>1272</v>
      </c>
      <c r="G504" s="9">
        <v>150</v>
      </c>
      <c r="H504" s="9">
        <v>599</v>
      </c>
      <c r="I504" s="9">
        <v>75</v>
      </c>
      <c r="J504" s="11">
        <v>4.3</v>
      </c>
      <c r="K504" s="9">
        <v>714</v>
      </c>
      <c r="L504" s="9">
        <v>4.118985611902338</v>
      </c>
      <c r="M504" s="9" t="s">
        <v>89</v>
      </c>
      <c r="N504" s="9" t="s">
        <v>29</v>
      </c>
      <c r="O504" s="9">
        <v>77.3</v>
      </c>
      <c r="P504" s="9" t="s">
        <v>36</v>
      </c>
      <c r="Q504" s="9" t="b">
        <v>0</v>
      </c>
      <c r="R504" s="9" t="b">
        <v>0</v>
      </c>
      <c r="S504" s="9" t="b">
        <v>0</v>
      </c>
      <c r="T504" s="9">
        <v>0.39</v>
      </c>
      <c r="U504" s="9">
        <v>1</v>
      </c>
      <c r="V504" s="9" t="b">
        <v>1</v>
      </c>
      <c r="W504" s="9" t="s">
        <v>1584</v>
      </c>
    </row>
    <row r="505" spans="1:23" ht="29" customHeight="1" x14ac:dyDescent="0.2">
      <c r="A505" s="9" t="s">
        <v>1585</v>
      </c>
      <c r="B505" s="10" t="s">
        <v>1586</v>
      </c>
      <c r="C505" s="9" t="s">
        <v>44</v>
      </c>
      <c r="D505" s="9" t="s">
        <v>44</v>
      </c>
      <c r="E505" s="9" t="s">
        <v>981</v>
      </c>
      <c r="F505" s="9" t="s">
        <v>1338</v>
      </c>
      <c r="G505" s="9">
        <v>474</v>
      </c>
      <c r="H505" s="9">
        <v>1799</v>
      </c>
      <c r="I505" s="9">
        <v>74</v>
      </c>
      <c r="J505" s="11">
        <v>4.3</v>
      </c>
      <c r="K505" s="9">
        <v>1454</v>
      </c>
      <c r="L505" s="9">
        <v>4.1446638726504004</v>
      </c>
      <c r="M505" s="9" t="s">
        <v>28</v>
      </c>
      <c r="N505" s="9" t="s">
        <v>29</v>
      </c>
      <c r="O505" s="9">
        <v>77.5</v>
      </c>
      <c r="P505" s="9" t="s">
        <v>36</v>
      </c>
      <c r="Q505" s="9" t="b">
        <v>0</v>
      </c>
      <c r="R505" s="9" t="b">
        <v>0</v>
      </c>
      <c r="S505" s="9" t="b">
        <v>0</v>
      </c>
      <c r="U505" s="9">
        <v>1</v>
      </c>
      <c r="V505" s="9" t="b">
        <v>1</v>
      </c>
      <c r="W505" s="9" t="s">
        <v>1587</v>
      </c>
    </row>
    <row r="506" spans="1:23" ht="29" customHeight="1" x14ac:dyDescent="0.2">
      <c r="A506" s="9" t="s">
        <v>1588</v>
      </c>
      <c r="B506" s="10" t="s">
        <v>1589</v>
      </c>
      <c r="C506" s="9" t="s">
        <v>44</v>
      </c>
      <c r="D506" s="9" t="s">
        <v>44</v>
      </c>
      <c r="E506" s="9" t="s">
        <v>981</v>
      </c>
      <c r="F506" s="9" t="s">
        <v>1044</v>
      </c>
      <c r="G506" s="9">
        <v>239</v>
      </c>
      <c r="H506" s="9">
        <v>599</v>
      </c>
      <c r="I506" s="9">
        <v>60</v>
      </c>
      <c r="J506" s="11">
        <v>3.9</v>
      </c>
      <c r="K506" s="9">
        <v>2147</v>
      </c>
      <c r="L506" s="9">
        <v>4.0175546309638399</v>
      </c>
      <c r="M506" s="9" t="s">
        <v>28</v>
      </c>
      <c r="N506" s="9" t="s">
        <v>29</v>
      </c>
      <c r="O506" s="9">
        <v>49.4</v>
      </c>
      <c r="P506" s="9" t="s">
        <v>30</v>
      </c>
      <c r="Q506" s="9" t="b">
        <v>0</v>
      </c>
      <c r="R506" s="9" t="b">
        <v>0</v>
      </c>
      <c r="S506" s="9" t="b">
        <v>0</v>
      </c>
      <c r="T506" s="9">
        <v>0.48</v>
      </c>
      <c r="U506" s="9">
        <v>2</v>
      </c>
      <c r="V506" s="9" t="b">
        <v>0</v>
      </c>
      <c r="W506" s="9" t="s">
        <v>1590</v>
      </c>
    </row>
    <row r="507" spans="1:23" ht="29" customHeight="1" x14ac:dyDescent="0.2">
      <c r="A507" s="9" t="s">
        <v>1591</v>
      </c>
      <c r="B507" s="10" t="s">
        <v>1592</v>
      </c>
      <c r="C507" s="9" t="s">
        <v>44</v>
      </c>
      <c r="D507" s="9" t="s">
        <v>44</v>
      </c>
      <c r="E507" s="9" t="s">
        <v>981</v>
      </c>
      <c r="F507" s="9" t="s">
        <v>986</v>
      </c>
      <c r="G507" s="9">
        <v>7499</v>
      </c>
      <c r="H507" s="9">
        <v>9499</v>
      </c>
      <c r="I507" s="9">
        <v>21</v>
      </c>
      <c r="J507" s="11">
        <v>4.0999999999999996</v>
      </c>
      <c r="K507" s="9">
        <v>313832</v>
      </c>
      <c r="L507" s="9">
        <v>4.0998179725772346</v>
      </c>
      <c r="M507" s="9" t="s">
        <v>28</v>
      </c>
      <c r="N507" s="9" t="s">
        <v>144</v>
      </c>
      <c r="O507" s="9">
        <v>36</v>
      </c>
      <c r="P507" s="9" t="s">
        <v>40</v>
      </c>
      <c r="Q507" s="9" t="b">
        <v>0</v>
      </c>
      <c r="R507" s="9" t="b">
        <v>0</v>
      </c>
      <c r="S507" s="9" t="b">
        <v>0</v>
      </c>
      <c r="T507" s="9">
        <v>0.56000000000000005</v>
      </c>
      <c r="U507" s="9">
        <v>4</v>
      </c>
      <c r="V507" s="9" t="b">
        <v>0</v>
      </c>
      <c r="W507" s="9" t="s">
        <v>1593</v>
      </c>
    </row>
    <row r="508" spans="1:23" ht="29" customHeight="1" x14ac:dyDescent="0.2">
      <c r="A508" s="9" t="s">
        <v>1594</v>
      </c>
      <c r="B508" s="10" t="s">
        <v>1595</v>
      </c>
      <c r="C508" s="9" t="s">
        <v>44</v>
      </c>
      <c r="D508" s="9" t="s">
        <v>44</v>
      </c>
      <c r="E508" s="9" t="s">
        <v>976</v>
      </c>
      <c r="F508" s="9" t="s">
        <v>977</v>
      </c>
      <c r="G508" s="9">
        <v>265</v>
      </c>
      <c r="H508" s="9">
        <v>999</v>
      </c>
      <c r="I508" s="9">
        <v>73</v>
      </c>
      <c r="J508" s="11">
        <v>3.7</v>
      </c>
      <c r="K508" s="9">
        <v>465</v>
      </c>
      <c r="L508" s="9">
        <v>4.0423274019351423</v>
      </c>
      <c r="M508" s="9" t="s">
        <v>89</v>
      </c>
      <c r="N508" s="9" t="s">
        <v>29</v>
      </c>
      <c r="O508" s="9">
        <v>57.6</v>
      </c>
      <c r="P508" s="9" t="s">
        <v>53</v>
      </c>
      <c r="Q508" s="9" t="b">
        <v>0</v>
      </c>
      <c r="R508" s="9" t="b">
        <v>0</v>
      </c>
      <c r="S508" s="9" t="b">
        <v>1</v>
      </c>
      <c r="T508" s="9">
        <v>0.12</v>
      </c>
      <c r="U508" s="9">
        <v>1</v>
      </c>
      <c r="V508" s="9" t="b">
        <v>1</v>
      </c>
      <c r="W508" s="9" t="s">
        <v>1596</v>
      </c>
    </row>
    <row r="509" spans="1:23" ht="29" customHeight="1" x14ac:dyDescent="0.2">
      <c r="A509" s="9" t="s">
        <v>1597</v>
      </c>
      <c r="B509" s="10" t="s">
        <v>1598</v>
      </c>
      <c r="C509" s="9" t="s">
        <v>44</v>
      </c>
      <c r="D509" s="9" t="s">
        <v>44</v>
      </c>
      <c r="E509" s="9" t="s">
        <v>981</v>
      </c>
      <c r="F509" s="9" t="s">
        <v>986</v>
      </c>
      <c r="G509" s="9">
        <v>37990</v>
      </c>
      <c r="H509" s="9">
        <v>74999</v>
      </c>
      <c r="I509" s="9">
        <v>49</v>
      </c>
      <c r="J509" s="11">
        <v>4.2</v>
      </c>
      <c r="K509" s="9">
        <v>27790</v>
      </c>
      <c r="L509" s="9">
        <v>4.1862432165971262</v>
      </c>
      <c r="M509" s="9" t="s">
        <v>28</v>
      </c>
      <c r="N509" s="9" t="s">
        <v>58</v>
      </c>
      <c r="O509" s="9">
        <v>53.1</v>
      </c>
      <c r="P509" s="9" t="s">
        <v>53</v>
      </c>
      <c r="Q509" s="9" t="b">
        <v>0</v>
      </c>
      <c r="R509" s="9" t="b">
        <v>0</v>
      </c>
      <c r="S509" s="9" t="b">
        <v>0</v>
      </c>
      <c r="T509" s="9">
        <v>2.81</v>
      </c>
      <c r="U509" s="9">
        <v>1</v>
      </c>
      <c r="V509" s="9" t="b">
        <v>1</v>
      </c>
      <c r="W509" s="9" t="s">
        <v>1599</v>
      </c>
    </row>
    <row r="510" spans="1:23" ht="29" customHeight="1" x14ac:dyDescent="0.2">
      <c r="A510" s="9" t="s">
        <v>1600</v>
      </c>
      <c r="B510" s="10" t="s">
        <v>1601</v>
      </c>
      <c r="C510" s="9" t="s">
        <v>44</v>
      </c>
      <c r="D510" s="9" t="s">
        <v>44</v>
      </c>
      <c r="E510" s="9" t="s">
        <v>981</v>
      </c>
      <c r="F510" s="9" t="s">
        <v>986</v>
      </c>
      <c r="G510" s="9">
        <v>8499</v>
      </c>
      <c r="H510" s="9">
        <v>11999</v>
      </c>
      <c r="I510" s="9">
        <v>29</v>
      </c>
      <c r="J510" s="11">
        <v>3.9</v>
      </c>
      <c r="K510" s="9">
        <v>276</v>
      </c>
      <c r="L510" s="9">
        <v>4.0720166130198869</v>
      </c>
      <c r="M510" s="9" t="s">
        <v>89</v>
      </c>
      <c r="N510" s="9" t="s">
        <v>144</v>
      </c>
      <c r="O510" s="9">
        <v>26</v>
      </c>
      <c r="P510" s="9" t="s">
        <v>40</v>
      </c>
      <c r="Q510" s="9" t="b">
        <v>0</v>
      </c>
      <c r="R510" s="9" t="b">
        <v>0</v>
      </c>
      <c r="S510" s="9" t="b">
        <v>0</v>
      </c>
      <c r="T510" s="9">
        <v>0.63</v>
      </c>
      <c r="U510" s="9">
        <v>1</v>
      </c>
      <c r="V510" s="9" t="b">
        <v>1</v>
      </c>
      <c r="W510" s="9" t="s">
        <v>1602</v>
      </c>
    </row>
    <row r="511" spans="1:23" ht="29" customHeight="1" x14ac:dyDescent="0.2">
      <c r="A511" s="9" t="s">
        <v>1603</v>
      </c>
      <c r="B511" s="10" t="s">
        <v>1604</v>
      </c>
      <c r="C511" s="9" t="s">
        <v>44</v>
      </c>
      <c r="D511" s="9" t="s">
        <v>44</v>
      </c>
      <c r="E511" s="9" t="s">
        <v>976</v>
      </c>
      <c r="F511" s="9" t="s">
        <v>977</v>
      </c>
      <c r="G511" s="9">
        <v>1999</v>
      </c>
      <c r="H511" s="9">
        <v>3999</v>
      </c>
      <c r="I511" s="9">
        <v>50</v>
      </c>
      <c r="J511" s="11">
        <v>4</v>
      </c>
      <c r="K511" s="9">
        <v>30254</v>
      </c>
      <c r="L511" s="9">
        <v>4.0093613126477097</v>
      </c>
      <c r="M511" s="9" t="s">
        <v>28</v>
      </c>
      <c r="N511" s="9" t="s">
        <v>179</v>
      </c>
      <c r="O511" s="9">
        <v>33.4</v>
      </c>
      <c r="P511" s="9" t="s">
        <v>40</v>
      </c>
      <c r="Q511" s="9" t="b">
        <v>0</v>
      </c>
      <c r="R511" s="9" t="b">
        <v>0</v>
      </c>
      <c r="S511" s="9" t="b">
        <v>0</v>
      </c>
      <c r="T511" s="9">
        <v>0.91</v>
      </c>
      <c r="U511" s="9">
        <v>3</v>
      </c>
      <c r="V511" s="9" t="b">
        <v>0</v>
      </c>
      <c r="W511" s="9" t="s">
        <v>1605</v>
      </c>
    </row>
    <row r="512" spans="1:23" ht="29" customHeight="1" x14ac:dyDescent="0.2">
      <c r="A512" s="9" t="s">
        <v>1606</v>
      </c>
      <c r="B512" s="10" t="s">
        <v>1607</v>
      </c>
      <c r="C512" s="9" t="s">
        <v>44</v>
      </c>
      <c r="D512" s="9" t="s">
        <v>44</v>
      </c>
      <c r="E512" s="9" t="s">
        <v>976</v>
      </c>
      <c r="F512" s="9" t="s">
        <v>977</v>
      </c>
      <c r="G512" s="9">
        <v>3999</v>
      </c>
      <c r="H512" s="9">
        <v>17999</v>
      </c>
      <c r="I512" s="9">
        <v>78</v>
      </c>
      <c r="J512" s="11">
        <v>4.3</v>
      </c>
      <c r="K512" s="9">
        <v>17161</v>
      </c>
      <c r="L512" s="9">
        <v>4.2612726882061231</v>
      </c>
      <c r="M512" s="9" t="s">
        <v>28</v>
      </c>
      <c r="N512" s="9" t="s">
        <v>144</v>
      </c>
      <c r="O512" s="9">
        <v>76.400000000000006</v>
      </c>
      <c r="P512" s="9" t="s">
        <v>36</v>
      </c>
      <c r="Q512" s="9" t="b">
        <v>0</v>
      </c>
      <c r="R512" s="9" t="b">
        <v>0</v>
      </c>
      <c r="S512" s="9" t="b">
        <v>0</v>
      </c>
      <c r="T512" s="9">
        <v>1.82</v>
      </c>
      <c r="U512" s="9">
        <v>2</v>
      </c>
      <c r="V512" s="9" t="b">
        <v>0</v>
      </c>
      <c r="W512" s="9" t="s">
        <v>1608</v>
      </c>
    </row>
    <row r="513" spans="1:23" ht="29" customHeight="1" x14ac:dyDescent="0.2">
      <c r="A513" s="9" t="s">
        <v>1609</v>
      </c>
      <c r="B513" s="10" t="s">
        <v>1610</v>
      </c>
      <c r="C513" s="9" t="s">
        <v>44</v>
      </c>
      <c r="D513" s="9" t="s">
        <v>44</v>
      </c>
      <c r="E513" s="9" t="s">
        <v>981</v>
      </c>
      <c r="F513" s="9" t="s">
        <v>1044</v>
      </c>
      <c r="G513" s="9">
        <v>219</v>
      </c>
      <c r="H513" s="9">
        <v>499</v>
      </c>
      <c r="I513" s="9">
        <v>56</v>
      </c>
      <c r="J513" s="11">
        <v>4.4000000000000004</v>
      </c>
      <c r="K513" s="9">
        <v>14</v>
      </c>
      <c r="L513" s="9">
        <v>4.0858040756469789</v>
      </c>
      <c r="M513" s="9" t="s">
        <v>204</v>
      </c>
      <c r="N513" s="9" t="s">
        <v>29</v>
      </c>
      <c r="O513" s="9">
        <v>57.9</v>
      </c>
      <c r="P513" s="9" t="s">
        <v>53</v>
      </c>
      <c r="Q513" s="9" t="b">
        <v>0</v>
      </c>
      <c r="R513" s="9" t="b">
        <v>0</v>
      </c>
      <c r="S513" s="9" t="b">
        <v>0</v>
      </c>
      <c r="T513" s="9">
        <v>0.44</v>
      </c>
      <c r="U513" s="9">
        <v>1</v>
      </c>
      <c r="V513" s="9" t="b">
        <v>1</v>
      </c>
      <c r="W513" s="9" t="s">
        <v>1611</v>
      </c>
    </row>
    <row r="514" spans="1:23" ht="29" customHeight="1" x14ac:dyDescent="0.2">
      <c r="A514" s="9" t="s">
        <v>1612</v>
      </c>
      <c r="B514" s="10" t="s">
        <v>1613</v>
      </c>
      <c r="C514" s="9" t="s">
        <v>44</v>
      </c>
      <c r="D514" s="9" t="s">
        <v>44</v>
      </c>
      <c r="E514" s="9" t="s">
        <v>981</v>
      </c>
      <c r="F514" s="9" t="s">
        <v>1614</v>
      </c>
      <c r="G514" s="9">
        <v>599</v>
      </c>
      <c r="H514" s="9">
        <v>1399</v>
      </c>
      <c r="I514" s="9">
        <v>57</v>
      </c>
      <c r="J514" s="11">
        <v>4.0999999999999996</v>
      </c>
      <c r="K514" s="9">
        <v>14560</v>
      </c>
      <c r="L514" s="9">
        <v>4.0968448132995396</v>
      </c>
      <c r="M514" s="9" t="s">
        <v>28</v>
      </c>
      <c r="N514" s="9" t="s">
        <v>93</v>
      </c>
      <c r="O514" s="9">
        <v>62.7</v>
      </c>
      <c r="P514" s="9" t="s">
        <v>36</v>
      </c>
      <c r="Q514" s="9" t="b">
        <v>0</v>
      </c>
      <c r="R514" s="9" t="b">
        <v>0</v>
      </c>
      <c r="S514" s="9" t="b">
        <v>0</v>
      </c>
      <c r="U514" s="9">
        <v>1</v>
      </c>
      <c r="V514" s="9" t="b">
        <v>1</v>
      </c>
      <c r="W514" s="9" t="s">
        <v>1615</v>
      </c>
    </row>
    <row r="515" spans="1:23" ht="29" customHeight="1" x14ac:dyDescent="0.2">
      <c r="A515" s="9" t="s">
        <v>1616</v>
      </c>
      <c r="B515" s="10" t="s">
        <v>1617</v>
      </c>
      <c r="C515" s="9" t="s">
        <v>44</v>
      </c>
      <c r="D515" s="9" t="s">
        <v>44</v>
      </c>
      <c r="E515" s="9" t="s">
        <v>981</v>
      </c>
      <c r="F515" s="9" t="s">
        <v>982</v>
      </c>
      <c r="G515" s="9">
        <v>2499</v>
      </c>
      <c r="H515" s="9">
        <v>2999</v>
      </c>
      <c r="I515" s="9">
        <v>17</v>
      </c>
      <c r="J515" s="11">
        <v>4.0999999999999996</v>
      </c>
      <c r="K515" s="9">
        <v>3156</v>
      </c>
      <c r="L515" s="9">
        <v>4.0916440112279844</v>
      </c>
      <c r="M515" s="9" t="s">
        <v>28</v>
      </c>
      <c r="N515" s="9" t="s">
        <v>179</v>
      </c>
      <c r="O515" s="9">
        <v>34</v>
      </c>
      <c r="P515" s="9" t="s">
        <v>40</v>
      </c>
      <c r="Q515" s="9" t="b">
        <v>0</v>
      </c>
      <c r="R515" s="9" t="b">
        <v>0</v>
      </c>
      <c r="S515" s="9" t="b">
        <v>0</v>
      </c>
      <c r="U515" s="9">
        <v>1</v>
      </c>
      <c r="V515" s="9" t="b">
        <v>1</v>
      </c>
      <c r="W515" s="9" t="s">
        <v>1618</v>
      </c>
    </row>
    <row r="516" spans="1:23" ht="29" customHeight="1" x14ac:dyDescent="0.2">
      <c r="A516" s="9" t="s">
        <v>1619</v>
      </c>
      <c r="B516" s="10" t="s">
        <v>1620</v>
      </c>
      <c r="C516" s="9" t="s">
        <v>44</v>
      </c>
      <c r="D516" s="9" t="s">
        <v>44</v>
      </c>
      <c r="E516" s="9" t="s">
        <v>981</v>
      </c>
      <c r="F516" s="9" t="s">
        <v>1621</v>
      </c>
      <c r="G516" s="9">
        <v>89</v>
      </c>
      <c r="H516" s="9">
        <v>499</v>
      </c>
      <c r="I516" s="9">
        <v>82</v>
      </c>
      <c r="J516" s="11">
        <v>4.0999999999999996</v>
      </c>
      <c r="K516" s="9">
        <v>9340</v>
      </c>
      <c r="L516" s="9">
        <v>4.0955877955871633</v>
      </c>
      <c r="M516" s="9" t="s">
        <v>28</v>
      </c>
      <c r="N516" s="9" t="s">
        <v>29</v>
      </c>
      <c r="O516" s="9">
        <v>74.099999999999994</v>
      </c>
      <c r="P516" s="9" t="s">
        <v>36</v>
      </c>
      <c r="Q516" s="9" t="b">
        <v>0</v>
      </c>
      <c r="R516" s="9" t="b">
        <v>0</v>
      </c>
      <c r="S516" s="9" t="b">
        <v>0</v>
      </c>
      <c r="U516" s="9">
        <v>1</v>
      </c>
      <c r="V516" s="9" t="b">
        <v>1</v>
      </c>
      <c r="W516" s="9" t="s">
        <v>1622</v>
      </c>
    </row>
    <row r="517" spans="1:23" ht="29" customHeight="1" x14ac:dyDescent="0.2">
      <c r="A517" s="9" t="s">
        <v>1623</v>
      </c>
      <c r="B517" s="10" t="s">
        <v>1624</v>
      </c>
      <c r="C517" s="9" t="s">
        <v>44</v>
      </c>
      <c r="D517" s="9" t="s">
        <v>44</v>
      </c>
      <c r="E517" s="9" t="s">
        <v>976</v>
      </c>
      <c r="F517" s="9" t="s">
        <v>977</v>
      </c>
      <c r="G517" s="9">
        <v>2999</v>
      </c>
      <c r="H517" s="9">
        <v>11999</v>
      </c>
      <c r="I517" s="9">
        <v>75</v>
      </c>
      <c r="J517" s="11">
        <v>4.4000000000000004</v>
      </c>
      <c r="K517" s="9">
        <v>768</v>
      </c>
      <c r="L517" s="9">
        <v>4.1380949324976974</v>
      </c>
      <c r="M517" s="9" t="s">
        <v>89</v>
      </c>
      <c r="N517" s="9" t="s">
        <v>144</v>
      </c>
      <c r="O517" s="9">
        <v>65.7</v>
      </c>
      <c r="P517" s="9" t="s">
        <v>36</v>
      </c>
      <c r="Q517" s="9" t="b">
        <v>0</v>
      </c>
      <c r="R517" s="9" t="b">
        <v>0</v>
      </c>
      <c r="S517" s="9" t="b">
        <v>0</v>
      </c>
      <c r="T517" s="9">
        <v>1.36</v>
      </c>
      <c r="U517" s="9">
        <v>1</v>
      </c>
      <c r="V517" s="9" t="b">
        <v>1</v>
      </c>
      <c r="W517" s="9" t="s">
        <v>1625</v>
      </c>
    </row>
    <row r="518" spans="1:23" ht="29" customHeight="1" x14ac:dyDescent="0.2">
      <c r="A518" s="9" t="s">
        <v>1626</v>
      </c>
      <c r="B518" s="10" t="s">
        <v>1627</v>
      </c>
      <c r="C518" s="9" t="s">
        <v>44</v>
      </c>
      <c r="D518" s="9" t="s">
        <v>44</v>
      </c>
      <c r="E518" s="9" t="s">
        <v>981</v>
      </c>
      <c r="F518" s="9" t="s">
        <v>1158</v>
      </c>
      <c r="G518" s="9">
        <v>314</v>
      </c>
      <c r="H518" s="9">
        <v>1499</v>
      </c>
      <c r="I518" s="9">
        <v>79</v>
      </c>
      <c r="J518" s="11">
        <v>4.5</v>
      </c>
      <c r="K518" s="9">
        <v>28978</v>
      </c>
      <c r="L518" s="9">
        <v>4.4522667366619579</v>
      </c>
      <c r="M518" s="9" t="s">
        <v>28</v>
      </c>
      <c r="N518" s="9" t="s">
        <v>29</v>
      </c>
      <c r="O518" s="9">
        <v>96.6</v>
      </c>
      <c r="P518" s="9" t="s">
        <v>36</v>
      </c>
      <c r="Q518" s="9" t="b">
        <v>0</v>
      </c>
      <c r="R518" s="9" t="b">
        <v>0</v>
      </c>
      <c r="S518" s="9" t="b">
        <v>0</v>
      </c>
      <c r="U518" s="9">
        <v>2</v>
      </c>
      <c r="V518" s="9" t="b">
        <v>0</v>
      </c>
      <c r="W518" s="9" t="s">
        <v>1628</v>
      </c>
    </row>
    <row r="519" spans="1:23" ht="29" customHeight="1" x14ac:dyDescent="0.2">
      <c r="A519" s="9" t="s">
        <v>1629</v>
      </c>
      <c r="B519" s="10" t="s">
        <v>1630</v>
      </c>
      <c r="C519" s="9" t="s">
        <v>44</v>
      </c>
      <c r="D519" s="9" t="s">
        <v>44</v>
      </c>
      <c r="E519" s="9" t="s">
        <v>981</v>
      </c>
      <c r="F519" s="9" t="s">
        <v>986</v>
      </c>
      <c r="G519" s="9">
        <v>13999</v>
      </c>
      <c r="H519" s="9">
        <v>19499</v>
      </c>
      <c r="I519" s="9">
        <v>28</v>
      </c>
      <c r="J519" s="11">
        <v>4.0999999999999996</v>
      </c>
      <c r="K519" s="9">
        <v>18998</v>
      </c>
      <c r="L519" s="9">
        <v>4.0974600334650297</v>
      </c>
      <c r="M519" s="9" t="s">
        <v>28</v>
      </c>
      <c r="N519" s="9" t="s">
        <v>58</v>
      </c>
      <c r="O519" s="9">
        <v>34.6</v>
      </c>
      <c r="P519" s="9" t="s">
        <v>40</v>
      </c>
      <c r="Q519" s="9" t="b">
        <v>0</v>
      </c>
      <c r="R519" s="9" t="b">
        <v>0</v>
      </c>
      <c r="S519" s="9" t="b">
        <v>0</v>
      </c>
      <c r="T519" s="9">
        <v>1.04</v>
      </c>
      <c r="U519" s="9">
        <v>8</v>
      </c>
      <c r="V519" s="9" t="b">
        <v>0</v>
      </c>
      <c r="W519" s="9" t="s">
        <v>1631</v>
      </c>
    </row>
    <row r="520" spans="1:23" ht="29" customHeight="1" x14ac:dyDescent="0.2">
      <c r="A520" s="9" t="s">
        <v>1632</v>
      </c>
      <c r="B520" s="10" t="s">
        <v>1633</v>
      </c>
      <c r="C520" s="9" t="s">
        <v>44</v>
      </c>
      <c r="D520" s="9" t="s">
        <v>44</v>
      </c>
      <c r="E520" s="9" t="s">
        <v>981</v>
      </c>
      <c r="F520" s="9" t="s">
        <v>1084</v>
      </c>
      <c r="G520" s="9">
        <v>139</v>
      </c>
      <c r="H520" s="9">
        <v>499</v>
      </c>
      <c r="I520" s="9">
        <v>72</v>
      </c>
      <c r="J520" s="11">
        <v>4.2</v>
      </c>
      <c r="K520" s="9">
        <v>4971</v>
      </c>
      <c r="L520" s="9">
        <v>4.1502993177627321</v>
      </c>
      <c r="M520" s="9" t="s">
        <v>28</v>
      </c>
      <c r="N520" s="9" t="s">
        <v>29</v>
      </c>
      <c r="O520" s="9">
        <v>79.3</v>
      </c>
      <c r="P520" s="9" t="s">
        <v>36</v>
      </c>
      <c r="Q520" s="9" t="b">
        <v>0</v>
      </c>
      <c r="R520" s="9" t="b">
        <v>0</v>
      </c>
      <c r="S520" s="9" t="b">
        <v>0</v>
      </c>
      <c r="U520" s="9">
        <v>1</v>
      </c>
      <c r="V520" s="9" t="b">
        <v>1</v>
      </c>
      <c r="W520" s="9" t="s">
        <v>1634</v>
      </c>
    </row>
    <row r="521" spans="1:23" ht="29" customHeight="1" x14ac:dyDescent="0.2">
      <c r="A521" s="9" t="s">
        <v>1635</v>
      </c>
      <c r="B521" s="10" t="s">
        <v>1636</v>
      </c>
      <c r="C521" s="9" t="s">
        <v>44</v>
      </c>
      <c r="D521" s="9" t="s">
        <v>44</v>
      </c>
      <c r="E521" s="9" t="s">
        <v>981</v>
      </c>
      <c r="F521" s="9" t="s">
        <v>1306</v>
      </c>
      <c r="G521" s="9">
        <v>2599</v>
      </c>
      <c r="H521" s="9">
        <v>6999</v>
      </c>
      <c r="I521" s="9">
        <v>63</v>
      </c>
      <c r="J521" s="11">
        <v>4.5</v>
      </c>
      <c r="K521" s="9">
        <v>1526</v>
      </c>
      <c r="L521" s="9">
        <v>4.2044888137809986</v>
      </c>
      <c r="M521" s="9" t="s">
        <v>28</v>
      </c>
      <c r="N521" s="9" t="s">
        <v>144</v>
      </c>
      <c r="O521" s="9">
        <v>70.900000000000006</v>
      </c>
      <c r="P521" s="9" t="s">
        <v>36</v>
      </c>
      <c r="Q521" s="9" t="b">
        <v>0</v>
      </c>
      <c r="R521" s="9" t="b">
        <v>0</v>
      </c>
      <c r="S521" s="9" t="b">
        <v>0</v>
      </c>
      <c r="U521" s="9">
        <v>1</v>
      </c>
      <c r="V521" s="9" t="b">
        <v>1</v>
      </c>
      <c r="W521" s="9" t="s">
        <v>1637</v>
      </c>
    </row>
    <row r="522" spans="1:23" ht="29" customHeight="1" x14ac:dyDescent="0.2">
      <c r="A522" s="9" t="s">
        <v>1638</v>
      </c>
      <c r="B522" s="10" t="s">
        <v>1639</v>
      </c>
      <c r="C522" s="9" t="s">
        <v>44</v>
      </c>
      <c r="D522" s="9" t="s">
        <v>44</v>
      </c>
      <c r="E522" s="9" t="s">
        <v>1009</v>
      </c>
      <c r="F522" s="9" t="s">
        <v>1010</v>
      </c>
      <c r="G522" s="9">
        <v>365</v>
      </c>
      <c r="H522" s="9">
        <v>999</v>
      </c>
      <c r="I522" s="9">
        <v>63</v>
      </c>
      <c r="J522" s="11">
        <v>4.0999999999999996</v>
      </c>
      <c r="K522" s="9">
        <v>363711</v>
      </c>
      <c r="L522" s="9">
        <v>4.0998426800617747</v>
      </c>
      <c r="M522" s="9" t="s">
        <v>28</v>
      </c>
      <c r="N522" s="9" t="s">
        <v>29</v>
      </c>
      <c r="O522" s="9">
        <v>67.7</v>
      </c>
      <c r="P522" s="9" t="s">
        <v>36</v>
      </c>
      <c r="Q522" s="9" t="b">
        <v>0</v>
      </c>
      <c r="R522" s="9" t="b">
        <v>0</v>
      </c>
      <c r="S522" s="9" t="b">
        <v>0</v>
      </c>
      <c r="T522" s="9">
        <v>0.38</v>
      </c>
      <c r="U522" s="9">
        <v>3</v>
      </c>
      <c r="V522" s="9" t="b">
        <v>0</v>
      </c>
      <c r="W522" s="9" t="s">
        <v>1640</v>
      </c>
    </row>
    <row r="523" spans="1:23" ht="29" customHeight="1" x14ac:dyDescent="0.2">
      <c r="A523" s="9" t="s">
        <v>1641</v>
      </c>
      <c r="B523" s="10" t="s">
        <v>1642</v>
      </c>
      <c r="C523" s="9" t="s">
        <v>44</v>
      </c>
      <c r="D523" s="9" t="s">
        <v>44</v>
      </c>
      <c r="E523" s="9" t="s">
        <v>1009</v>
      </c>
      <c r="F523" s="9" t="s">
        <v>1010</v>
      </c>
      <c r="G523" s="9">
        <v>1499</v>
      </c>
      <c r="H523" s="9">
        <v>4490</v>
      </c>
      <c r="I523" s="9">
        <v>67</v>
      </c>
      <c r="J523" s="11">
        <v>3.9</v>
      </c>
      <c r="K523" s="9">
        <v>136954</v>
      </c>
      <c r="L523" s="9">
        <v>3.9049367991079991</v>
      </c>
      <c r="M523" s="9" t="s">
        <v>28</v>
      </c>
      <c r="N523" s="9" t="s">
        <v>179</v>
      </c>
      <c r="O523" s="9">
        <v>33.200000000000003</v>
      </c>
      <c r="P523" s="9" t="s">
        <v>40</v>
      </c>
      <c r="Q523" s="9" t="b">
        <v>0</v>
      </c>
      <c r="R523" s="9" t="b">
        <v>0</v>
      </c>
      <c r="S523" s="9" t="b">
        <v>0</v>
      </c>
      <c r="T523" s="9">
        <v>1.58</v>
      </c>
      <c r="U523" s="9">
        <v>1</v>
      </c>
      <c r="V523" s="9" t="b">
        <v>1</v>
      </c>
      <c r="W523" s="9" t="s">
        <v>1643</v>
      </c>
    </row>
    <row r="524" spans="1:23" ht="29" customHeight="1" x14ac:dyDescent="0.2">
      <c r="A524" s="9" t="s">
        <v>1644</v>
      </c>
      <c r="B524" s="10" t="s">
        <v>1109</v>
      </c>
      <c r="C524" s="9" t="s">
        <v>44</v>
      </c>
      <c r="D524" s="9" t="s">
        <v>44</v>
      </c>
      <c r="E524" s="9" t="s">
        <v>976</v>
      </c>
      <c r="F524" s="9" t="s">
        <v>977</v>
      </c>
      <c r="G524" s="9">
        <v>1998</v>
      </c>
      <c r="H524" s="9">
        <v>9999</v>
      </c>
      <c r="I524" s="9">
        <v>80</v>
      </c>
      <c r="J524" s="11">
        <v>4.3</v>
      </c>
      <c r="K524" s="9">
        <v>27709</v>
      </c>
      <c r="L524" s="9">
        <v>4.2742525488674126</v>
      </c>
      <c r="M524" s="9" t="s">
        <v>28</v>
      </c>
      <c r="N524" s="9" t="s">
        <v>179</v>
      </c>
      <c r="O524" s="9">
        <v>82.7</v>
      </c>
      <c r="P524" s="9" t="s">
        <v>36</v>
      </c>
      <c r="Q524" s="9" t="b">
        <v>0</v>
      </c>
      <c r="R524" s="9" t="b">
        <v>0</v>
      </c>
      <c r="S524" s="9" t="b">
        <v>0</v>
      </c>
      <c r="T524" s="9">
        <v>0.91</v>
      </c>
      <c r="U524" s="9">
        <v>3</v>
      </c>
      <c r="V524" s="9" t="b">
        <v>1</v>
      </c>
      <c r="W524" s="9" t="s">
        <v>1645</v>
      </c>
    </row>
    <row r="525" spans="1:23" ht="29" customHeight="1" x14ac:dyDescent="0.2">
      <c r="A525" s="9" t="s">
        <v>1646</v>
      </c>
      <c r="B525" s="10" t="s">
        <v>1647</v>
      </c>
      <c r="C525" s="9" t="s">
        <v>44</v>
      </c>
      <c r="D525" s="9" t="s">
        <v>44</v>
      </c>
      <c r="E525" s="9" t="s">
        <v>976</v>
      </c>
      <c r="F525" s="9" t="s">
        <v>977</v>
      </c>
      <c r="G525" s="9">
        <v>1799</v>
      </c>
      <c r="H525" s="9">
        <v>7990</v>
      </c>
      <c r="I525" s="9">
        <v>77</v>
      </c>
      <c r="J525" s="11">
        <v>3.8</v>
      </c>
      <c r="K525" s="9">
        <v>17833</v>
      </c>
      <c r="L525" s="9">
        <v>3.849590844929768</v>
      </c>
      <c r="M525" s="9" t="s">
        <v>28</v>
      </c>
      <c r="N525" s="9" t="s">
        <v>179</v>
      </c>
      <c r="O525" s="9">
        <v>40.4</v>
      </c>
      <c r="P525" s="9" t="s">
        <v>30</v>
      </c>
      <c r="Q525" s="9" t="b">
        <v>0</v>
      </c>
      <c r="R525" s="9" t="b">
        <v>0</v>
      </c>
      <c r="S525" s="9" t="b">
        <v>1</v>
      </c>
      <c r="T525" s="9">
        <v>0.82</v>
      </c>
      <c r="U525" s="9">
        <v>4</v>
      </c>
      <c r="V525" s="9" t="b">
        <v>0</v>
      </c>
      <c r="W525" s="9" t="s">
        <v>1648</v>
      </c>
    </row>
    <row r="526" spans="1:23" ht="29" customHeight="1" x14ac:dyDescent="0.2">
      <c r="A526" s="9" t="s">
        <v>1649</v>
      </c>
      <c r="B526" s="10" t="s">
        <v>1650</v>
      </c>
      <c r="C526" s="9" t="s">
        <v>25</v>
      </c>
      <c r="D526" s="9" t="s">
        <v>25</v>
      </c>
      <c r="E526" s="9" t="s">
        <v>1651</v>
      </c>
      <c r="F526" s="9" t="s">
        <v>1652</v>
      </c>
      <c r="G526" s="9">
        <v>289</v>
      </c>
      <c r="H526" s="9">
        <v>650</v>
      </c>
      <c r="I526" s="9">
        <v>56</v>
      </c>
      <c r="J526" s="11">
        <v>4.3</v>
      </c>
      <c r="K526" s="9">
        <v>253105</v>
      </c>
      <c r="L526" s="9">
        <v>4.2968454128750464</v>
      </c>
      <c r="M526" s="9" t="s">
        <v>28</v>
      </c>
      <c r="N526" s="9" t="s">
        <v>29</v>
      </c>
      <c r="O526" s="9">
        <v>80.900000000000006</v>
      </c>
      <c r="P526" s="9" t="s">
        <v>36</v>
      </c>
      <c r="Q526" s="9" t="b">
        <v>1</v>
      </c>
      <c r="R526" s="9" t="b">
        <v>0</v>
      </c>
      <c r="S526" s="9" t="b">
        <v>0</v>
      </c>
      <c r="T526" s="9">
        <v>0.53</v>
      </c>
      <c r="U526" s="9">
        <v>1</v>
      </c>
      <c r="V526" s="9" t="b">
        <v>1</v>
      </c>
      <c r="W526" s="9" t="s">
        <v>1653</v>
      </c>
    </row>
    <row r="527" spans="1:23" ht="29" customHeight="1" x14ac:dyDescent="0.2">
      <c r="A527" s="9" t="s">
        <v>1654</v>
      </c>
      <c r="B527" s="10" t="s">
        <v>1655</v>
      </c>
      <c r="C527" s="9" t="s">
        <v>25</v>
      </c>
      <c r="D527" s="9" t="s">
        <v>25</v>
      </c>
      <c r="E527" s="9" t="s">
        <v>26</v>
      </c>
      <c r="F527" s="9" t="s">
        <v>1656</v>
      </c>
      <c r="G527" s="9">
        <v>599</v>
      </c>
      <c r="H527" s="9">
        <v>895</v>
      </c>
      <c r="I527" s="9">
        <v>33</v>
      </c>
      <c r="J527" s="11">
        <v>4.4000000000000004</v>
      </c>
      <c r="K527" s="9">
        <v>61314</v>
      </c>
      <c r="L527" s="9">
        <v>4.3817666760148564</v>
      </c>
      <c r="M527" s="9" t="s">
        <v>28</v>
      </c>
      <c r="N527" s="9" t="s">
        <v>93</v>
      </c>
      <c r="O527" s="9">
        <v>62.5</v>
      </c>
      <c r="P527" s="9" t="s">
        <v>36</v>
      </c>
      <c r="Q527" s="9" t="b">
        <v>0</v>
      </c>
      <c r="R527" s="9" t="b">
        <v>0</v>
      </c>
      <c r="S527" s="9" t="b">
        <v>0</v>
      </c>
      <c r="T527" s="9">
        <v>1.04</v>
      </c>
      <c r="U527" s="9">
        <v>1</v>
      </c>
      <c r="V527" s="9" t="b">
        <v>1</v>
      </c>
      <c r="W527" s="9" t="s">
        <v>1657</v>
      </c>
    </row>
    <row r="528" spans="1:23" ht="29" customHeight="1" x14ac:dyDescent="0.2">
      <c r="A528" s="9" t="s">
        <v>1658</v>
      </c>
      <c r="B528" s="10" t="s">
        <v>1659</v>
      </c>
      <c r="C528" s="9" t="s">
        <v>25</v>
      </c>
      <c r="D528" s="9" t="s">
        <v>25</v>
      </c>
      <c r="E528" s="9" t="s">
        <v>26</v>
      </c>
      <c r="F528" s="9" t="s">
        <v>1660</v>
      </c>
      <c r="G528" s="9">
        <v>217</v>
      </c>
      <c r="H528" s="9">
        <v>237</v>
      </c>
      <c r="I528" s="9">
        <v>8</v>
      </c>
      <c r="J528" s="11">
        <v>3.8</v>
      </c>
      <c r="K528" s="9">
        <v>7354</v>
      </c>
      <c r="L528" s="9">
        <v>3.8963377944209778</v>
      </c>
      <c r="M528" s="9" t="s">
        <v>28</v>
      </c>
      <c r="N528" s="9" t="s">
        <v>29</v>
      </c>
      <c r="O528" s="9">
        <v>17.899999999999999</v>
      </c>
      <c r="P528" s="9" t="s">
        <v>40</v>
      </c>
      <c r="Q528" s="9" t="b">
        <v>0</v>
      </c>
      <c r="R528" s="9" t="b">
        <v>0</v>
      </c>
      <c r="S528" s="9" t="b">
        <v>1</v>
      </c>
      <c r="T528" s="9">
        <v>0.75</v>
      </c>
      <c r="U528" s="9">
        <v>1</v>
      </c>
      <c r="V528" s="9" t="b">
        <v>1</v>
      </c>
      <c r="W528" s="9" t="s">
        <v>1661</v>
      </c>
    </row>
    <row r="529" spans="1:23" ht="29" customHeight="1" x14ac:dyDescent="0.2">
      <c r="A529" s="9" t="s">
        <v>1662</v>
      </c>
      <c r="B529" s="10" t="s">
        <v>1663</v>
      </c>
      <c r="C529" s="9" t="s">
        <v>44</v>
      </c>
      <c r="D529" s="9" t="s">
        <v>44</v>
      </c>
      <c r="E529" s="9" t="s">
        <v>1009</v>
      </c>
      <c r="F529" s="9" t="s">
        <v>1010</v>
      </c>
      <c r="G529" s="9">
        <v>1299</v>
      </c>
      <c r="H529" s="9">
        <v>2990</v>
      </c>
      <c r="I529" s="9">
        <v>57</v>
      </c>
      <c r="J529" s="11">
        <v>3.8</v>
      </c>
      <c r="K529" s="9">
        <v>180998</v>
      </c>
      <c r="L529" s="9">
        <v>3.8057963638964001</v>
      </c>
      <c r="M529" s="9" t="s">
        <v>28</v>
      </c>
      <c r="N529" s="9" t="s">
        <v>179</v>
      </c>
      <c r="O529" s="9">
        <v>27.3</v>
      </c>
      <c r="P529" s="9" t="s">
        <v>40</v>
      </c>
      <c r="Q529" s="9" t="b">
        <v>0</v>
      </c>
      <c r="R529" s="9" t="b">
        <v>0</v>
      </c>
      <c r="S529" s="9" t="b">
        <v>1</v>
      </c>
      <c r="T529" s="9">
        <v>1.37</v>
      </c>
      <c r="U529" s="9">
        <v>1</v>
      </c>
      <c r="V529" s="9" t="b">
        <v>1</v>
      </c>
      <c r="W529" s="9" t="s">
        <v>1664</v>
      </c>
    </row>
    <row r="530" spans="1:23" ht="29" customHeight="1" x14ac:dyDescent="0.2">
      <c r="A530" s="9" t="s">
        <v>1665</v>
      </c>
      <c r="B530" s="10" t="s">
        <v>1666</v>
      </c>
      <c r="C530" s="9" t="s">
        <v>25</v>
      </c>
      <c r="D530" s="9" t="s">
        <v>25</v>
      </c>
      <c r="E530" s="9" t="s">
        <v>26</v>
      </c>
      <c r="F530" s="9" t="s">
        <v>1667</v>
      </c>
      <c r="G530" s="9">
        <v>263</v>
      </c>
      <c r="H530" s="9">
        <v>699</v>
      </c>
      <c r="I530" s="9">
        <v>62</v>
      </c>
      <c r="J530" s="11">
        <v>3.5</v>
      </c>
      <c r="K530" s="9">
        <v>690</v>
      </c>
      <c r="L530" s="9">
        <v>3.9940346079013622</v>
      </c>
      <c r="M530" s="9" t="s">
        <v>89</v>
      </c>
      <c r="N530" s="9" t="s">
        <v>29</v>
      </c>
      <c r="O530" s="9">
        <v>41</v>
      </c>
      <c r="P530" s="9" t="s">
        <v>30</v>
      </c>
      <c r="Q530" s="9" t="b">
        <v>0</v>
      </c>
      <c r="R530" s="9" t="b">
        <v>0</v>
      </c>
      <c r="S530" s="9" t="b">
        <v>1</v>
      </c>
      <c r="T530" s="9">
        <v>0.46</v>
      </c>
      <c r="U530" s="9">
        <v>1</v>
      </c>
      <c r="V530" s="9" t="b">
        <v>1</v>
      </c>
      <c r="W530" s="9" t="s">
        <v>1668</v>
      </c>
    </row>
    <row r="531" spans="1:23" ht="29" customHeight="1" x14ac:dyDescent="0.2">
      <c r="A531" s="9" t="s">
        <v>1669</v>
      </c>
      <c r="B531" s="10" t="s">
        <v>1670</v>
      </c>
      <c r="C531" s="9" t="s">
        <v>44</v>
      </c>
      <c r="D531" s="9" t="s">
        <v>44</v>
      </c>
      <c r="E531" s="9" t="s">
        <v>1026</v>
      </c>
      <c r="F531" s="9" t="s">
        <v>1027</v>
      </c>
      <c r="G531" s="9">
        <v>569</v>
      </c>
      <c r="H531" s="9">
        <v>1000</v>
      </c>
      <c r="I531" s="9">
        <v>43</v>
      </c>
      <c r="J531" s="11">
        <v>4.4000000000000004</v>
      </c>
      <c r="K531" s="9">
        <v>67262</v>
      </c>
      <c r="L531" s="9">
        <v>4.3832936394016269</v>
      </c>
      <c r="M531" s="9" t="s">
        <v>28</v>
      </c>
      <c r="N531" s="9" t="s">
        <v>93</v>
      </c>
      <c r="O531" s="9">
        <v>71.900000000000006</v>
      </c>
      <c r="P531" s="9" t="s">
        <v>36</v>
      </c>
      <c r="Q531" s="9" t="b">
        <v>0</v>
      </c>
      <c r="R531" s="9" t="b">
        <v>0</v>
      </c>
      <c r="S531" s="9" t="b">
        <v>0</v>
      </c>
      <c r="U531" s="9">
        <v>5</v>
      </c>
      <c r="V531" s="9" t="b">
        <v>1</v>
      </c>
      <c r="W531" s="9" t="s">
        <v>1671</v>
      </c>
    </row>
    <row r="532" spans="1:23" ht="29" customHeight="1" x14ac:dyDescent="0.2">
      <c r="A532" s="9" t="s">
        <v>1672</v>
      </c>
      <c r="B532" s="10" t="s">
        <v>1673</v>
      </c>
      <c r="C532" s="9" t="s">
        <v>44</v>
      </c>
      <c r="D532" s="9" t="s">
        <v>44</v>
      </c>
      <c r="E532" s="9" t="s">
        <v>1009</v>
      </c>
      <c r="F532" s="9" t="s">
        <v>1010</v>
      </c>
      <c r="G532" s="9">
        <v>1399</v>
      </c>
      <c r="H532" s="9">
        <v>3990</v>
      </c>
      <c r="I532" s="9">
        <v>65</v>
      </c>
      <c r="J532" s="11">
        <v>4.0999999999999996</v>
      </c>
      <c r="K532" s="9">
        <v>141841</v>
      </c>
      <c r="L532" s="9">
        <v>4.0996029566025598</v>
      </c>
      <c r="M532" s="9" t="s">
        <v>28</v>
      </c>
      <c r="N532" s="9" t="s">
        <v>179</v>
      </c>
      <c r="O532" s="9">
        <v>58.3</v>
      </c>
      <c r="P532" s="9" t="s">
        <v>53</v>
      </c>
      <c r="Q532" s="9" t="b">
        <v>0</v>
      </c>
      <c r="R532" s="9" t="b">
        <v>0</v>
      </c>
      <c r="S532" s="9" t="b">
        <v>0</v>
      </c>
      <c r="T532" s="9">
        <v>1.47</v>
      </c>
      <c r="U532" s="9">
        <v>1</v>
      </c>
      <c r="V532" s="9" t="b">
        <v>1</v>
      </c>
      <c r="W532" s="9" t="s">
        <v>1674</v>
      </c>
    </row>
    <row r="533" spans="1:23" ht="29" customHeight="1" x14ac:dyDescent="0.2">
      <c r="A533" s="9" t="s">
        <v>1675</v>
      </c>
      <c r="B533" s="10" t="s">
        <v>1676</v>
      </c>
      <c r="C533" s="9" t="s">
        <v>25</v>
      </c>
      <c r="D533" s="9" t="s">
        <v>25</v>
      </c>
      <c r="E533" s="9" t="s">
        <v>26</v>
      </c>
      <c r="F533" s="9" t="s">
        <v>1677</v>
      </c>
      <c r="G533" s="9">
        <v>349</v>
      </c>
      <c r="H533" s="9">
        <v>1499</v>
      </c>
      <c r="I533" s="9">
        <v>77</v>
      </c>
      <c r="J533" s="11">
        <v>4.3</v>
      </c>
      <c r="K533" s="9">
        <v>24791</v>
      </c>
      <c r="L533" s="9">
        <v>4.2716213105812182</v>
      </c>
      <c r="M533" s="9" t="s">
        <v>28</v>
      </c>
      <c r="N533" s="9" t="s">
        <v>29</v>
      </c>
      <c r="O533" s="9">
        <v>81.400000000000006</v>
      </c>
      <c r="P533" s="9" t="s">
        <v>36</v>
      </c>
      <c r="Q533" s="9" t="b">
        <v>0</v>
      </c>
      <c r="R533" s="9" t="b">
        <v>0</v>
      </c>
      <c r="S533" s="9" t="b">
        <v>0</v>
      </c>
      <c r="U533" s="9">
        <v>1</v>
      </c>
      <c r="V533" s="9" t="b">
        <v>1</v>
      </c>
      <c r="W533" s="9" t="s">
        <v>1678</v>
      </c>
    </row>
    <row r="534" spans="1:23" ht="29" customHeight="1" x14ac:dyDescent="0.2">
      <c r="A534" s="9" t="s">
        <v>1679</v>
      </c>
      <c r="B534" s="10" t="s">
        <v>1680</v>
      </c>
      <c r="C534" s="9" t="s">
        <v>44</v>
      </c>
      <c r="D534" s="9" t="s">
        <v>44</v>
      </c>
      <c r="E534" s="9" t="s">
        <v>1009</v>
      </c>
      <c r="F534" s="9" t="s">
        <v>1010</v>
      </c>
      <c r="G534" s="9">
        <v>149</v>
      </c>
      <c r="H534" s="9">
        <v>399</v>
      </c>
      <c r="I534" s="9">
        <v>63</v>
      </c>
      <c r="J534" s="11">
        <v>3.5</v>
      </c>
      <c r="K534" s="9">
        <v>21764</v>
      </c>
      <c r="L534" s="9">
        <v>3.5861727652314581</v>
      </c>
      <c r="M534" s="9" t="s">
        <v>28</v>
      </c>
      <c r="N534" s="9" t="s">
        <v>29</v>
      </c>
      <c r="O534" s="9">
        <v>41.7</v>
      </c>
      <c r="P534" s="9" t="s">
        <v>30</v>
      </c>
      <c r="Q534" s="9" t="b">
        <v>0</v>
      </c>
      <c r="R534" s="9" t="b">
        <v>0</v>
      </c>
      <c r="S534" s="9" t="b">
        <v>1</v>
      </c>
      <c r="T534" s="9">
        <v>0.16</v>
      </c>
      <c r="U534" s="9">
        <v>1</v>
      </c>
      <c r="V534" s="9" t="b">
        <v>1</v>
      </c>
      <c r="W534" s="9" t="s">
        <v>1681</v>
      </c>
    </row>
    <row r="535" spans="1:23" ht="29" customHeight="1" x14ac:dyDescent="0.2">
      <c r="A535" s="9" t="s">
        <v>1682</v>
      </c>
      <c r="B535" s="10" t="s">
        <v>1683</v>
      </c>
      <c r="C535" s="9" t="s">
        <v>44</v>
      </c>
      <c r="D535" s="9" t="s">
        <v>44</v>
      </c>
      <c r="E535" s="9" t="s">
        <v>1009</v>
      </c>
      <c r="F535" s="9" t="s">
        <v>1507</v>
      </c>
      <c r="G535" s="9">
        <v>1220</v>
      </c>
      <c r="H535" s="9">
        <v>3990</v>
      </c>
      <c r="I535" s="9">
        <v>69</v>
      </c>
      <c r="J535" s="11">
        <v>4.0999999999999996</v>
      </c>
      <c r="K535" s="9">
        <v>107151</v>
      </c>
      <c r="L535" s="9">
        <v>4.0994787748261556</v>
      </c>
      <c r="M535" s="9" t="s">
        <v>28</v>
      </c>
      <c r="N535" s="9" t="s">
        <v>179</v>
      </c>
      <c r="O535" s="9">
        <v>60.2</v>
      </c>
      <c r="P535" s="9" t="s">
        <v>53</v>
      </c>
      <c r="Q535" s="9" t="b">
        <v>0</v>
      </c>
      <c r="R535" s="9" t="b">
        <v>0</v>
      </c>
      <c r="S535" s="9" t="b">
        <v>0</v>
      </c>
      <c r="U535" s="9">
        <v>1</v>
      </c>
      <c r="V535" s="9" t="b">
        <v>1</v>
      </c>
      <c r="W535" s="9" t="s">
        <v>1684</v>
      </c>
    </row>
    <row r="536" spans="1:23" ht="29" customHeight="1" x14ac:dyDescent="0.2">
      <c r="A536" s="9" t="s">
        <v>1685</v>
      </c>
      <c r="B536" s="10" t="s">
        <v>1686</v>
      </c>
      <c r="C536" s="9" t="s">
        <v>44</v>
      </c>
      <c r="D536" s="9" t="s">
        <v>44</v>
      </c>
      <c r="E536" s="9" t="s">
        <v>976</v>
      </c>
      <c r="F536" s="9" t="s">
        <v>977</v>
      </c>
      <c r="G536" s="9">
        <v>1499</v>
      </c>
      <c r="H536" s="9">
        <v>6990</v>
      </c>
      <c r="I536" s="9">
        <v>79</v>
      </c>
      <c r="J536" s="11">
        <v>3.9</v>
      </c>
      <c r="K536" s="9">
        <v>21797</v>
      </c>
      <c r="L536" s="9">
        <v>3.9271792911317052</v>
      </c>
      <c r="M536" s="9" t="s">
        <v>28</v>
      </c>
      <c r="N536" s="9" t="s">
        <v>179</v>
      </c>
      <c r="O536" s="9">
        <v>44.2</v>
      </c>
      <c r="P536" s="9" t="s">
        <v>30</v>
      </c>
      <c r="Q536" s="9" t="b">
        <v>0</v>
      </c>
      <c r="R536" s="9" t="b">
        <v>0</v>
      </c>
      <c r="S536" s="9" t="b">
        <v>0</v>
      </c>
      <c r="T536" s="9">
        <v>0.68</v>
      </c>
      <c r="U536" s="9">
        <v>3</v>
      </c>
      <c r="V536" s="9" t="b">
        <v>1</v>
      </c>
      <c r="W536" s="9" t="s">
        <v>1687</v>
      </c>
    </row>
    <row r="537" spans="1:23" ht="29" customHeight="1" x14ac:dyDescent="0.2">
      <c r="A537" s="9" t="s">
        <v>1688</v>
      </c>
      <c r="B537" s="10" t="s">
        <v>1689</v>
      </c>
      <c r="C537" s="9" t="s">
        <v>44</v>
      </c>
      <c r="D537" s="9" t="s">
        <v>44</v>
      </c>
      <c r="E537" s="9" t="s">
        <v>1009</v>
      </c>
      <c r="F537" s="9" t="s">
        <v>1010</v>
      </c>
      <c r="G537" s="9">
        <v>499</v>
      </c>
      <c r="H537" s="9">
        <v>999</v>
      </c>
      <c r="I537" s="9">
        <v>50</v>
      </c>
      <c r="J537" s="11">
        <v>3.9</v>
      </c>
      <c r="K537" s="9">
        <v>92995</v>
      </c>
      <c r="L537" s="9">
        <v>3.907179692444315</v>
      </c>
      <c r="M537" s="9" t="s">
        <v>28</v>
      </c>
      <c r="N537" s="9" t="s">
        <v>29</v>
      </c>
      <c r="O537" s="9">
        <v>32.799999999999997</v>
      </c>
      <c r="P537" s="9" t="s">
        <v>40</v>
      </c>
      <c r="Q537" s="9" t="b">
        <v>0</v>
      </c>
      <c r="R537" s="9" t="b">
        <v>0</v>
      </c>
      <c r="S537" s="9" t="b">
        <v>0</v>
      </c>
      <c r="T537" s="9">
        <v>0.53</v>
      </c>
      <c r="U537" s="9">
        <v>1</v>
      </c>
      <c r="V537" s="9" t="b">
        <v>1</v>
      </c>
      <c r="W537" s="9" t="s">
        <v>1690</v>
      </c>
    </row>
    <row r="538" spans="1:23" ht="29" customHeight="1" x14ac:dyDescent="0.2">
      <c r="A538" s="9" t="s">
        <v>1691</v>
      </c>
      <c r="B538" s="10" t="s">
        <v>1692</v>
      </c>
      <c r="C538" s="9" t="s">
        <v>25</v>
      </c>
      <c r="D538" s="9" t="s">
        <v>25</v>
      </c>
      <c r="E538" s="9" t="s">
        <v>26</v>
      </c>
      <c r="F538" s="9" t="s">
        <v>1168</v>
      </c>
      <c r="G538" s="9">
        <v>99</v>
      </c>
      <c r="H538" s="9">
        <v>999</v>
      </c>
      <c r="I538" s="9">
        <v>90</v>
      </c>
      <c r="J538" s="11">
        <v>4.0999999999999996</v>
      </c>
      <c r="K538" s="9">
        <v>8751</v>
      </c>
      <c r="L538" s="9">
        <v>4.0953801168083119</v>
      </c>
      <c r="M538" s="9" t="s">
        <v>28</v>
      </c>
      <c r="N538" s="9" t="s">
        <v>29</v>
      </c>
      <c r="O538" s="9">
        <v>72.3</v>
      </c>
      <c r="P538" s="9" t="s">
        <v>36</v>
      </c>
      <c r="Q538" s="9" t="b">
        <v>0</v>
      </c>
      <c r="R538" s="9" t="b">
        <v>0</v>
      </c>
      <c r="S538" s="9" t="b">
        <v>0</v>
      </c>
      <c r="U538" s="9">
        <v>1</v>
      </c>
      <c r="V538" s="9" t="b">
        <v>1</v>
      </c>
      <c r="W538" s="9" t="s">
        <v>1693</v>
      </c>
    </row>
    <row r="539" spans="1:23" ht="29" customHeight="1" x14ac:dyDescent="0.2">
      <c r="A539" s="9" t="s">
        <v>1694</v>
      </c>
      <c r="B539" s="10" t="s">
        <v>1695</v>
      </c>
      <c r="C539" s="9" t="s">
        <v>44</v>
      </c>
      <c r="D539" s="9" t="s">
        <v>44</v>
      </c>
      <c r="E539" s="9" t="s">
        <v>981</v>
      </c>
      <c r="F539" s="9" t="s">
        <v>1099</v>
      </c>
      <c r="G539" s="9">
        <v>349</v>
      </c>
      <c r="H539" s="9">
        <v>1299</v>
      </c>
      <c r="I539" s="9">
        <v>73</v>
      </c>
      <c r="J539" s="11">
        <v>4</v>
      </c>
      <c r="K539" s="9">
        <v>14283</v>
      </c>
      <c r="L539" s="9">
        <v>4.0176464543338124</v>
      </c>
      <c r="M539" s="9" t="s">
        <v>28</v>
      </c>
      <c r="N539" s="9" t="s">
        <v>29</v>
      </c>
      <c r="O539" s="9">
        <v>53.9</v>
      </c>
      <c r="P539" s="9" t="s">
        <v>53</v>
      </c>
      <c r="Q539" s="9" t="b">
        <v>0</v>
      </c>
      <c r="R539" s="9" t="b">
        <v>0</v>
      </c>
      <c r="S539" s="9" t="b">
        <v>0</v>
      </c>
      <c r="U539" s="9">
        <v>1</v>
      </c>
      <c r="V539" s="9" t="b">
        <v>1</v>
      </c>
      <c r="W539" s="9" t="s">
        <v>1696</v>
      </c>
    </row>
    <row r="540" spans="1:23" ht="29" customHeight="1" x14ac:dyDescent="0.2">
      <c r="A540" s="9" t="s">
        <v>1697</v>
      </c>
      <c r="B540" s="10" t="s">
        <v>1698</v>
      </c>
      <c r="C540" s="9" t="s">
        <v>25</v>
      </c>
      <c r="D540" s="9" t="s">
        <v>25</v>
      </c>
      <c r="E540" s="9" t="s">
        <v>1651</v>
      </c>
      <c r="F540" s="9" t="s">
        <v>1652</v>
      </c>
      <c r="G540" s="9">
        <v>475</v>
      </c>
      <c r="H540" s="9">
        <v>1500</v>
      </c>
      <c r="I540" s="9">
        <v>68</v>
      </c>
      <c r="J540" s="11">
        <v>4.2</v>
      </c>
      <c r="K540" s="9">
        <v>64273</v>
      </c>
      <c r="L540" s="9">
        <v>4.1936200820407112</v>
      </c>
      <c r="M540" s="9" t="s">
        <v>28</v>
      </c>
      <c r="N540" s="9" t="s">
        <v>29</v>
      </c>
      <c r="O540" s="9">
        <v>77.099999999999994</v>
      </c>
      <c r="P540" s="9" t="s">
        <v>36</v>
      </c>
      <c r="Q540" s="9" t="b">
        <v>0</v>
      </c>
      <c r="R540" s="9" t="b">
        <v>0</v>
      </c>
      <c r="S540" s="9" t="b">
        <v>0</v>
      </c>
      <c r="T540" s="9">
        <v>0.87</v>
      </c>
      <c r="U540" s="9">
        <v>1</v>
      </c>
      <c r="V540" s="9" t="b">
        <v>1</v>
      </c>
      <c r="W540" s="9" t="s">
        <v>1699</v>
      </c>
    </row>
    <row r="541" spans="1:23" ht="29" customHeight="1" x14ac:dyDescent="0.2">
      <c r="A541" s="9" t="s">
        <v>1700</v>
      </c>
      <c r="B541" s="10" t="s">
        <v>1701</v>
      </c>
      <c r="C541" s="9" t="s">
        <v>25</v>
      </c>
      <c r="D541" s="9" t="s">
        <v>25</v>
      </c>
      <c r="E541" s="9" t="s">
        <v>26</v>
      </c>
      <c r="F541" s="9" t="s">
        <v>1656</v>
      </c>
      <c r="G541" s="9">
        <v>269</v>
      </c>
      <c r="H541" s="9">
        <v>649</v>
      </c>
      <c r="I541" s="9">
        <v>59</v>
      </c>
      <c r="J541" s="11">
        <v>4.3</v>
      </c>
      <c r="K541" s="9">
        <v>54315</v>
      </c>
      <c r="L541" s="9">
        <v>4.2860477653425306</v>
      </c>
      <c r="M541" s="9" t="s">
        <v>28</v>
      </c>
      <c r="N541" s="9" t="s">
        <v>29</v>
      </c>
      <c r="O541" s="9">
        <v>77.400000000000006</v>
      </c>
      <c r="P541" s="9" t="s">
        <v>36</v>
      </c>
      <c r="Q541" s="9" t="b">
        <v>0</v>
      </c>
      <c r="R541" s="9" t="b">
        <v>0</v>
      </c>
      <c r="S541" s="9" t="b">
        <v>0</v>
      </c>
      <c r="T541" s="9">
        <v>0.47</v>
      </c>
      <c r="U541" s="9">
        <v>1</v>
      </c>
      <c r="V541" s="9" t="b">
        <v>1</v>
      </c>
      <c r="W541" s="9" t="s">
        <v>1702</v>
      </c>
    </row>
    <row r="542" spans="1:23" ht="29" customHeight="1" x14ac:dyDescent="0.2">
      <c r="A542" s="9" t="s">
        <v>1703</v>
      </c>
      <c r="B542" s="10" t="s">
        <v>1704</v>
      </c>
      <c r="C542" s="9" t="s">
        <v>25</v>
      </c>
      <c r="D542" s="9" t="s">
        <v>25</v>
      </c>
      <c r="E542" s="9" t="s">
        <v>26</v>
      </c>
      <c r="F542" s="9" t="s">
        <v>1656</v>
      </c>
      <c r="G542" s="9">
        <v>299</v>
      </c>
      <c r="H542" s="9">
        <v>599</v>
      </c>
      <c r="I542" s="9">
        <v>50</v>
      </c>
      <c r="J542" s="11">
        <v>4.0999999999999996</v>
      </c>
      <c r="K542" s="9">
        <v>1597</v>
      </c>
      <c r="L542" s="9">
        <v>4.0892133765613981</v>
      </c>
      <c r="M542" s="9" t="s">
        <v>28</v>
      </c>
      <c r="N542" s="9" t="s">
        <v>29</v>
      </c>
      <c r="O542" s="9">
        <v>48.7</v>
      </c>
      <c r="P542" s="9" t="s">
        <v>30</v>
      </c>
      <c r="Q542" s="9" t="b">
        <v>0</v>
      </c>
      <c r="R542" s="9" t="b">
        <v>0</v>
      </c>
      <c r="S542" s="9" t="b">
        <v>0</v>
      </c>
      <c r="T542" s="9">
        <v>0.52</v>
      </c>
      <c r="U542" s="9">
        <v>1</v>
      </c>
      <c r="V542" s="9" t="b">
        <v>1</v>
      </c>
      <c r="W542" s="9" t="s">
        <v>1705</v>
      </c>
    </row>
    <row r="543" spans="1:23" ht="29" customHeight="1" x14ac:dyDescent="0.2">
      <c r="A543" s="9" t="s">
        <v>1706</v>
      </c>
      <c r="B543" s="10" t="s">
        <v>1707</v>
      </c>
      <c r="C543" s="9" t="s">
        <v>44</v>
      </c>
      <c r="D543" s="9" t="s">
        <v>44</v>
      </c>
      <c r="E543" s="9" t="s">
        <v>976</v>
      </c>
      <c r="F543" s="9" t="s">
        <v>977</v>
      </c>
      <c r="G543" s="9">
        <v>1499</v>
      </c>
      <c r="H543" s="9">
        <v>7999</v>
      </c>
      <c r="I543" s="9">
        <v>81</v>
      </c>
      <c r="J543" s="11">
        <v>4.2</v>
      </c>
      <c r="K543" s="9">
        <v>22638</v>
      </c>
      <c r="L543" s="9">
        <v>4.1835586103172604</v>
      </c>
      <c r="M543" s="9" t="s">
        <v>28</v>
      </c>
      <c r="N543" s="9" t="s">
        <v>179</v>
      </c>
      <c r="O543" s="9">
        <v>78.099999999999994</v>
      </c>
      <c r="P543" s="9" t="s">
        <v>36</v>
      </c>
      <c r="Q543" s="9" t="b">
        <v>0</v>
      </c>
      <c r="R543" s="9" t="b">
        <v>0</v>
      </c>
      <c r="S543" s="9" t="b">
        <v>0</v>
      </c>
      <c r="T543" s="9">
        <v>0.68</v>
      </c>
      <c r="U543" s="9">
        <v>3</v>
      </c>
      <c r="V543" s="9" t="b">
        <v>0</v>
      </c>
      <c r="W543" s="9" t="s">
        <v>1708</v>
      </c>
    </row>
    <row r="544" spans="1:23" ht="29" customHeight="1" x14ac:dyDescent="0.2">
      <c r="A544" s="9" t="s">
        <v>1709</v>
      </c>
      <c r="B544" s="10" t="s">
        <v>1710</v>
      </c>
      <c r="C544" s="9" t="s">
        <v>44</v>
      </c>
      <c r="D544" s="9" t="s">
        <v>44</v>
      </c>
      <c r="E544" s="9" t="s">
        <v>1009</v>
      </c>
      <c r="F544" s="9" t="s">
        <v>1010</v>
      </c>
      <c r="G544" s="9">
        <v>329</v>
      </c>
      <c r="H544" s="9">
        <v>999</v>
      </c>
      <c r="I544" s="9">
        <v>67</v>
      </c>
      <c r="J544" s="11">
        <v>3.9</v>
      </c>
      <c r="K544" s="9">
        <v>77027</v>
      </c>
      <c r="L544" s="9">
        <v>3.9085987546857059</v>
      </c>
      <c r="M544" s="9" t="s">
        <v>28</v>
      </c>
      <c r="N544" s="9" t="s">
        <v>29</v>
      </c>
      <c r="O544" s="9">
        <v>44.3</v>
      </c>
      <c r="P544" s="9" t="s">
        <v>30</v>
      </c>
      <c r="Q544" s="9" t="b">
        <v>0</v>
      </c>
      <c r="R544" s="9" t="b">
        <v>0</v>
      </c>
      <c r="S544" s="9" t="b">
        <v>0</v>
      </c>
      <c r="T544" s="9">
        <v>0.35</v>
      </c>
      <c r="U544" s="9">
        <v>1</v>
      </c>
      <c r="V544" s="9" t="b">
        <v>1</v>
      </c>
      <c r="W544" s="9" t="s">
        <v>1711</v>
      </c>
    </row>
    <row r="545" spans="1:23" ht="29" customHeight="1" x14ac:dyDescent="0.2">
      <c r="A545" s="9" t="s">
        <v>1712</v>
      </c>
      <c r="B545" s="10" t="s">
        <v>1713</v>
      </c>
      <c r="C545" s="9" t="s">
        <v>25</v>
      </c>
      <c r="D545" s="9" t="s">
        <v>25</v>
      </c>
      <c r="E545" s="9" t="s">
        <v>26</v>
      </c>
      <c r="F545" s="9" t="s">
        <v>1714</v>
      </c>
      <c r="G545" s="9">
        <v>549</v>
      </c>
      <c r="H545" s="9">
        <v>1799</v>
      </c>
      <c r="I545" s="9">
        <v>69</v>
      </c>
      <c r="J545" s="11">
        <v>4.3</v>
      </c>
      <c r="K545" s="9">
        <v>28829</v>
      </c>
      <c r="L545" s="9">
        <v>4.2751373545765254</v>
      </c>
      <c r="M545" s="9" t="s">
        <v>28</v>
      </c>
      <c r="N545" s="9" t="s">
        <v>93</v>
      </c>
      <c r="O545" s="9">
        <v>75.900000000000006</v>
      </c>
      <c r="P545" s="9" t="s">
        <v>36</v>
      </c>
      <c r="Q545" s="9" t="b">
        <v>0</v>
      </c>
      <c r="R545" s="9" t="b">
        <v>0</v>
      </c>
      <c r="S545" s="9" t="b">
        <v>0</v>
      </c>
      <c r="U545" s="9">
        <v>1</v>
      </c>
      <c r="V545" s="9" t="b">
        <v>1</v>
      </c>
      <c r="W545" s="9" t="s">
        <v>1715</v>
      </c>
    </row>
    <row r="546" spans="1:23" ht="29" customHeight="1" x14ac:dyDescent="0.2">
      <c r="A546" s="9" t="s">
        <v>1716</v>
      </c>
      <c r="B546" s="10" t="s">
        <v>1361</v>
      </c>
      <c r="C546" s="9" t="s">
        <v>44</v>
      </c>
      <c r="D546" s="9" t="s">
        <v>44</v>
      </c>
      <c r="E546" s="9" t="s">
        <v>976</v>
      </c>
      <c r="F546" s="9" t="s">
        <v>977</v>
      </c>
      <c r="G546" s="9">
        <v>2199</v>
      </c>
      <c r="H546" s="9">
        <v>9999</v>
      </c>
      <c r="I546" s="9">
        <v>78</v>
      </c>
      <c r="J546" s="11">
        <v>4.2</v>
      </c>
      <c r="K546" s="9">
        <v>29478</v>
      </c>
      <c r="L546" s="9">
        <v>4.1869418056792416</v>
      </c>
      <c r="M546" s="9" t="s">
        <v>28</v>
      </c>
      <c r="N546" s="9" t="s">
        <v>179</v>
      </c>
      <c r="O546" s="9">
        <v>74.400000000000006</v>
      </c>
      <c r="P546" s="9" t="s">
        <v>36</v>
      </c>
      <c r="Q546" s="9" t="b">
        <v>0</v>
      </c>
      <c r="R546" s="9" t="b">
        <v>0</v>
      </c>
      <c r="S546" s="9" t="b">
        <v>0</v>
      </c>
      <c r="T546" s="9">
        <v>1</v>
      </c>
      <c r="U546" s="9">
        <v>2</v>
      </c>
      <c r="V546" s="9" t="b">
        <v>1</v>
      </c>
      <c r="W546" s="9" t="s">
        <v>1717</v>
      </c>
    </row>
    <row r="547" spans="1:23" ht="29" customHeight="1" x14ac:dyDescent="0.2">
      <c r="A547" s="9" t="s">
        <v>1718</v>
      </c>
      <c r="B547" s="10" t="s">
        <v>1719</v>
      </c>
      <c r="C547" s="9" t="s">
        <v>25</v>
      </c>
      <c r="D547" s="9" t="s">
        <v>25</v>
      </c>
      <c r="E547" s="9" t="s">
        <v>26</v>
      </c>
      <c r="F547" s="9" t="s">
        <v>1656</v>
      </c>
      <c r="G547" s="9">
        <v>299</v>
      </c>
      <c r="H547" s="9">
        <v>650</v>
      </c>
      <c r="I547" s="9">
        <v>54</v>
      </c>
      <c r="J547" s="11">
        <v>4.5</v>
      </c>
      <c r="K547" s="9">
        <v>33176</v>
      </c>
      <c r="L547" s="9">
        <v>4.4576915438277354</v>
      </c>
      <c r="M547" s="9" t="s">
        <v>28</v>
      </c>
      <c r="N547" s="9" t="s">
        <v>29</v>
      </c>
      <c r="O547" s="9">
        <v>78.7</v>
      </c>
      <c r="P547" s="9" t="s">
        <v>36</v>
      </c>
      <c r="Q547" s="9" t="b">
        <v>0</v>
      </c>
      <c r="R547" s="9" t="b">
        <v>0</v>
      </c>
      <c r="S547" s="9" t="b">
        <v>0</v>
      </c>
      <c r="T547" s="9">
        <v>0.52</v>
      </c>
      <c r="U547" s="9">
        <v>1</v>
      </c>
      <c r="V547" s="9" t="b">
        <v>1</v>
      </c>
      <c r="W547" s="9" t="s">
        <v>1720</v>
      </c>
    </row>
    <row r="548" spans="1:23" ht="29" customHeight="1" x14ac:dyDescent="0.2">
      <c r="A548" s="9" t="s">
        <v>1721</v>
      </c>
      <c r="B548" s="10" t="s">
        <v>1722</v>
      </c>
      <c r="C548" s="9" t="s">
        <v>1723</v>
      </c>
      <c r="D548" s="9" t="s">
        <v>1724</v>
      </c>
      <c r="E548" s="9" t="s">
        <v>1725</v>
      </c>
      <c r="F548" s="9" t="s">
        <v>1726</v>
      </c>
      <c r="G548" s="9">
        <v>798</v>
      </c>
      <c r="H548" s="9">
        <v>1995</v>
      </c>
      <c r="I548" s="9">
        <v>60</v>
      </c>
      <c r="J548" s="11">
        <v>4</v>
      </c>
      <c r="K548" s="9">
        <v>68664</v>
      </c>
      <c r="L548" s="9">
        <v>4.0043967206986508</v>
      </c>
      <c r="M548" s="9" t="s">
        <v>28</v>
      </c>
      <c r="N548" s="9" t="s">
        <v>93</v>
      </c>
      <c r="O548" s="9">
        <v>36.1</v>
      </c>
      <c r="P548" s="9" t="s">
        <v>40</v>
      </c>
      <c r="Q548" s="9" t="b">
        <v>0</v>
      </c>
      <c r="R548" s="9" t="b">
        <v>0</v>
      </c>
      <c r="S548" s="9" t="b">
        <v>0</v>
      </c>
      <c r="U548" s="9">
        <v>1</v>
      </c>
      <c r="V548" s="9" t="b">
        <v>1</v>
      </c>
      <c r="W548" s="9" t="s">
        <v>1727</v>
      </c>
    </row>
    <row r="549" spans="1:23" ht="29" customHeight="1" x14ac:dyDescent="0.2">
      <c r="A549" s="9" t="s">
        <v>1728</v>
      </c>
      <c r="B549" s="10" t="s">
        <v>1729</v>
      </c>
      <c r="C549" s="9" t="s">
        <v>44</v>
      </c>
      <c r="D549" s="9" t="s">
        <v>44</v>
      </c>
      <c r="E549" s="9" t="s">
        <v>1730</v>
      </c>
      <c r="F549" s="9" t="s">
        <v>1731</v>
      </c>
      <c r="G549" s="9">
        <v>266</v>
      </c>
      <c r="H549" s="9">
        <v>315</v>
      </c>
      <c r="I549" s="9">
        <v>16</v>
      </c>
      <c r="J549" s="11">
        <v>4.5</v>
      </c>
      <c r="K549" s="9">
        <v>28030</v>
      </c>
      <c r="L549" s="9">
        <v>4.4508434093475131</v>
      </c>
      <c r="M549" s="9" t="s">
        <v>28</v>
      </c>
      <c r="N549" s="9" t="s">
        <v>29</v>
      </c>
      <c r="O549" s="9">
        <v>61.4</v>
      </c>
      <c r="P549" s="9" t="s">
        <v>36</v>
      </c>
      <c r="Q549" s="9" t="b">
        <v>0</v>
      </c>
      <c r="R549" s="9" t="b">
        <v>0</v>
      </c>
      <c r="S549" s="9" t="b">
        <v>0</v>
      </c>
      <c r="U549" s="9">
        <v>1</v>
      </c>
      <c r="V549" s="9" t="b">
        <v>1</v>
      </c>
      <c r="W549" s="9" t="s">
        <v>1732</v>
      </c>
    </row>
    <row r="550" spans="1:23" ht="29" customHeight="1" x14ac:dyDescent="0.2">
      <c r="A550" s="9" t="s">
        <v>1733</v>
      </c>
      <c r="B550" s="10" t="s">
        <v>1734</v>
      </c>
      <c r="C550" s="9" t="s">
        <v>1735</v>
      </c>
      <c r="D550" s="9" t="s">
        <v>1724</v>
      </c>
      <c r="E550" s="9" t="s">
        <v>1736</v>
      </c>
      <c r="F550" s="9" t="s">
        <v>1737</v>
      </c>
      <c r="G550" s="9">
        <v>50</v>
      </c>
      <c r="H550" s="9">
        <v>50</v>
      </c>
      <c r="I550" s="9">
        <v>0</v>
      </c>
      <c r="J550" s="11">
        <v>4.3</v>
      </c>
      <c r="K550" s="9">
        <v>5792</v>
      </c>
      <c r="L550" s="9">
        <v>4.2151906527480048</v>
      </c>
      <c r="M550" s="9" t="s">
        <v>28</v>
      </c>
      <c r="N550" s="9" t="s">
        <v>29</v>
      </c>
      <c r="O550" s="9">
        <v>58.4</v>
      </c>
      <c r="P550" s="9" t="s">
        <v>53</v>
      </c>
      <c r="Q550" s="9" t="b">
        <v>0</v>
      </c>
      <c r="R550" s="9" t="b">
        <v>0</v>
      </c>
      <c r="S550" s="9" t="b">
        <v>0</v>
      </c>
      <c r="U550" s="9">
        <v>1</v>
      </c>
      <c r="V550" s="9" t="b">
        <v>1</v>
      </c>
      <c r="W550" s="9" t="s">
        <v>1738</v>
      </c>
    </row>
    <row r="551" spans="1:23" ht="29" customHeight="1" x14ac:dyDescent="0.2">
      <c r="A551" s="9" t="s">
        <v>1739</v>
      </c>
      <c r="B551" s="10" t="s">
        <v>1740</v>
      </c>
      <c r="C551" s="9" t="s">
        <v>1741</v>
      </c>
      <c r="D551" s="9" t="s">
        <v>1741</v>
      </c>
      <c r="E551" s="9" t="s">
        <v>1742</v>
      </c>
      <c r="F551" s="9" t="s">
        <v>1743</v>
      </c>
      <c r="G551" s="9">
        <v>130</v>
      </c>
      <c r="H551" s="9">
        <v>165</v>
      </c>
      <c r="I551" s="9">
        <v>21</v>
      </c>
      <c r="J551" s="11">
        <v>3.9</v>
      </c>
      <c r="K551" s="9">
        <v>14778</v>
      </c>
      <c r="L551" s="9">
        <v>3.9374687355616529</v>
      </c>
      <c r="M551" s="9" t="s">
        <v>28</v>
      </c>
      <c r="N551" s="9" t="s">
        <v>29</v>
      </c>
      <c r="O551" s="9">
        <v>21.6</v>
      </c>
      <c r="P551" s="9" t="s">
        <v>40</v>
      </c>
      <c r="Q551" s="9" t="b">
        <v>0</v>
      </c>
      <c r="R551" s="9" t="b">
        <v>0</v>
      </c>
      <c r="S551" s="9" t="b">
        <v>0</v>
      </c>
      <c r="U551" s="9">
        <v>1</v>
      </c>
      <c r="V551" s="9" t="b">
        <v>1</v>
      </c>
      <c r="W551" s="9" t="s">
        <v>1744</v>
      </c>
    </row>
    <row r="552" spans="1:23" ht="29" customHeight="1" x14ac:dyDescent="0.2">
      <c r="A552" s="9" t="s">
        <v>1745</v>
      </c>
      <c r="B552" s="10" t="s">
        <v>1746</v>
      </c>
      <c r="C552" s="9" t="s">
        <v>44</v>
      </c>
      <c r="D552" s="9" t="s">
        <v>44</v>
      </c>
      <c r="E552" s="9" t="s">
        <v>1009</v>
      </c>
      <c r="F552" s="9" t="s">
        <v>1010</v>
      </c>
      <c r="G552" s="9">
        <v>449</v>
      </c>
      <c r="H552" s="9">
        <v>1290</v>
      </c>
      <c r="I552" s="9">
        <v>65</v>
      </c>
      <c r="J552" s="11">
        <v>4.0999999999999996</v>
      </c>
      <c r="K552" s="9">
        <v>91770</v>
      </c>
      <c r="L552" s="9">
        <v>4.0993948561136868</v>
      </c>
      <c r="M552" s="9" t="s">
        <v>28</v>
      </c>
      <c r="N552" s="9" t="s">
        <v>29</v>
      </c>
      <c r="O552" s="9">
        <v>66.7</v>
      </c>
      <c r="P552" s="9" t="s">
        <v>36</v>
      </c>
      <c r="Q552" s="9" t="b">
        <v>0</v>
      </c>
      <c r="R552" s="9" t="b">
        <v>0</v>
      </c>
      <c r="S552" s="9" t="b">
        <v>0</v>
      </c>
      <c r="T552" s="9">
        <v>0.47</v>
      </c>
      <c r="U552" s="9">
        <v>1</v>
      </c>
      <c r="V552" s="9" t="b">
        <v>1</v>
      </c>
      <c r="W552" s="9" t="s">
        <v>1747</v>
      </c>
    </row>
    <row r="553" spans="1:23" ht="29" customHeight="1" x14ac:dyDescent="0.2">
      <c r="A553" s="9" t="s">
        <v>1748</v>
      </c>
      <c r="B553" s="10" t="s">
        <v>1607</v>
      </c>
      <c r="C553" s="9" t="s">
        <v>44</v>
      </c>
      <c r="D553" s="9" t="s">
        <v>44</v>
      </c>
      <c r="E553" s="9" t="s">
        <v>976</v>
      </c>
      <c r="F553" s="9" t="s">
        <v>977</v>
      </c>
      <c r="G553" s="9">
        <v>3999</v>
      </c>
      <c r="H553" s="9">
        <v>16999</v>
      </c>
      <c r="I553" s="9">
        <v>76</v>
      </c>
      <c r="J553" s="11">
        <v>4.3</v>
      </c>
      <c r="K553" s="9">
        <v>17162</v>
      </c>
      <c r="L553" s="9">
        <v>4.2612745390179363</v>
      </c>
      <c r="M553" s="9" t="s">
        <v>28</v>
      </c>
      <c r="N553" s="9" t="s">
        <v>144</v>
      </c>
      <c r="O553" s="9">
        <v>75.8</v>
      </c>
      <c r="P553" s="9" t="s">
        <v>36</v>
      </c>
      <c r="Q553" s="9" t="b">
        <v>0</v>
      </c>
      <c r="R553" s="9" t="b">
        <v>0</v>
      </c>
      <c r="S553" s="9" t="b">
        <v>0</v>
      </c>
      <c r="T553" s="9">
        <v>1.82</v>
      </c>
      <c r="U553" s="9">
        <v>2</v>
      </c>
      <c r="V553" s="9" t="b">
        <v>1</v>
      </c>
      <c r="W553" s="9" t="s">
        <v>1749</v>
      </c>
    </row>
    <row r="554" spans="1:23" ht="29" customHeight="1" x14ac:dyDescent="0.2">
      <c r="A554" s="9" t="s">
        <v>1750</v>
      </c>
      <c r="B554" s="10" t="s">
        <v>1751</v>
      </c>
      <c r="C554" s="9" t="s">
        <v>44</v>
      </c>
      <c r="D554" s="9" t="s">
        <v>44</v>
      </c>
      <c r="E554" s="9" t="s">
        <v>1009</v>
      </c>
      <c r="F554" s="9" t="s">
        <v>1010</v>
      </c>
      <c r="G554" s="9">
        <v>399</v>
      </c>
      <c r="H554" s="9">
        <v>1290</v>
      </c>
      <c r="I554" s="9">
        <v>69</v>
      </c>
      <c r="J554" s="11">
        <v>4.2</v>
      </c>
      <c r="K554" s="9">
        <v>206</v>
      </c>
      <c r="L554" s="9">
        <v>4.0906234324507533</v>
      </c>
      <c r="M554" s="9" t="s">
        <v>89</v>
      </c>
      <c r="N554" s="9" t="s">
        <v>29</v>
      </c>
      <c r="O554" s="9">
        <v>63.1</v>
      </c>
      <c r="P554" s="9" t="s">
        <v>36</v>
      </c>
      <c r="Q554" s="9" t="b">
        <v>0</v>
      </c>
      <c r="R554" s="9" t="b">
        <v>0</v>
      </c>
      <c r="S554" s="9" t="b">
        <v>0</v>
      </c>
      <c r="T554" s="9">
        <v>0.42</v>
      </c>
      <c r="U554" s="9">
        <v>1</v>
      </c>
      <c r="V554" s="9" t="b">
        <v>1</v>
      </c>
      <c r="W554" s="9" t="s">
        <v>1752</v>
      </c>
    </row>
    <row r="555" spans="1:23" ht="29" customHeight="1" x14ac:dyDescent="0.2">
      <c r="A555" s="9" t="s">
        <v>1753</v>
      </c>
      <c r="B555" s="10" t="s">
        <v>1754</v>
      </c>
      <c r="C555" s="9" t="s">
        <v>25</v>
      </c>
      <c r="D555" s="9" t="s">
        <v>25</v>
      </c>
      <c r="E555" s="9" t="s">
        <v>26</v>
      </c>
      <c r="F555" s="9" t="s">
        <v>1755</v>
      </c>
      <c r="G555" s="9">
        <v>1399</v>
      </c>
      <c r="H555" s="9">
        <v>2498</v>
      </c>
      <c r="I555" s="9">
        <v>44</v>
      </c>
      <c r="J555" s="11">
        <v>4.2</v>
      </c>
      <c r="K555" s="9">
        <v>33717</v>
      </c>
      <c r="L555" s="9">
        <v>4.188418711340355</v>
      </c>
      <c r="M555" s="9" t="s">
        <v>28</v>
      </c>
      <c r="N555" s="9" t="s">
        <v>179</v>
      </c>
      <c r="O555" s="9">
        <v>54.2</v>
      </c>
      <c r="P555" s="9" t="s">
        <v>53</v>
      </c>
      <c r="Q555" s="9" t="b">
        <v>0</v>
      </c>
      <c r="R555" s="9" t="b">
        <v>0</v>
      </c>
      <c r="S555" s="9" t="b">
        <v>0</v>
      </c>
      <c r="T555" s="9">
        <v>1.06</v>
      </c>
      <c r="U555" s="9">
        <v>1</v>
      </c>
      <c r="V555" s="9" t="b">
        <v>1</v>
      </c>
      <c r="W555" s="9" t="s">
        <v>1756</v>
      </c>
    </row>
    <row r="556" spans="1:23" ht="29" customHeight="1" x14ac:dyDescent="0.2">
      <c r="A556" s="9" t="s">
        <v>1757</v>
      </c>
      <c r="B556" s="10" t="s">
        <v>1758</v>
      </c>
      <c r="C556" s="9" t="s">
        <v>25</v>
      </c>
      <c r="D556" s="9" t="s">
        <v>25</v>
      </c>
      <c r="E556" s="9" t="s">
        <v>26</v>
      </c>
      <c r="F556" s="9" t="s">
        <v>27</v>
      </c>
      <c r="G556" s="9">
        <v>199</v>
      </c>
      <c r="H556" s="9">
        <v>349</v>
      </c>
      <c r="I556" s="9">
        <v>43</v>
      </c>
      <c r="J556" s="11">
        <v>4</v>
      </c>
      <c r="K556" s="9">
        <v>43994</v>
      </c>
      <c r="L556" s="9">
        <v>4.0066679738188693</v>
      </c>
      <c r="M556" s="9" t="s">
        <v>28</v>
      </c>
      <c r="N556" s="9" t="s">
        <v>29</v>
      </c>
      <c r="O556" s="9">
        <v>34</v>
      </c>
      <c r="P556" s="9" t="s">
        <v>40</v>
      </c>
      <c r="Q556" s="9" t="b">
        <v>0</v>
      </c>
      <c r="R556" s="9" t="b">
        <v>0</v>
      </c>
      <c r="S556" s="9" t="b">
        <v>0</v>
      </c>
      <c r="T556" s="9">
        <v>0.67</v>
      </c>
      <c r="U556" s="9">
        <v>3</v>
      </c>
      <c r="V556" s="9" t="b">
        <v>0</v>
      </c>
      <c r="W556" s="9" t="s">
        <v>1759</v>
      </c>
    </row>
    <row r="557" spans="1:23" ht="29" customHeight="1" x14ac:dyDescent="0.2">
      <c r="A557" s="9" t="s">
        <v>1760</v>
      </c>
      <c r="B557" s="10" t="s">
        <v>1761</v>
      </c>
      <c r="C557" s="9" t="s">
        <v>44</v>
      </c>
      <c r="D557" s="9" t="s">
        <v>44</v>
      </c>
      <c r="E557" s="9" t="s">
        <v>976</v>
      </c>
      <c r="F557" s="9" t="s">
        <v>977</v>
      </c>
      <c r="G557" s="9">
        <v>2998</v>
      </c>
      <c r="H557" s="9">
        <v>5999</v>
      </c>
      <c r="I557" s="9">
        <v>50</v>
      </c>
      <c r="J557" s="11">
        <v>4.0999999999999996</v>
      </c>
      <c r="K557" s="9">
        <v>5179</v>
      </c>
      <c r="L557" s="9">
        <v>4.0935345402539633</v>
      </c>
      <c r="M557" s="9" t="s">
        <v>28</v>
      </c>
      <c r="N557" s="9" t="s">
        <v>144</v>
      </c>
      <c r="O557" s="9">
        <v>46.5</v>
      </c>
      <c r="P557" s="9" t="s">
        <v>30</v>
      </c>
      <c r="Q557" s="9" t="b">
        <v>0</v>
      </c>
      <c r="R557" s="9" t="b">
        <v>0</v>
      </c>
      <c r="S557" s="9" t="b">
        <v>0</v>
      </c>
      <c r="T557" s="9">
        <v>1.36</v>
      </c>
      <c r="U557" s="9">
        <v>1</v>
      </c>
      <c r="V557" s="9" t="b">
        <v>1</v>
      </c>
      <c r="W557" s="9" t="s">
        <v>1762</v>
      </c>
    </row>
    <row r="558" spans="1:23" ht="29" customHeight="1" x14ac:dyDescent="0.2">
      <c r="A558" s="9" t="s">
        <v>1763</v>
      </c>
      <c r="B558" s="10" t="s">
        <v>1764</v>
      </c>
      <c r="C558" s="9" t="s">
        <v>25</v>
      </c>
      <c r="D558" s="9" t="s">
        <v>25</v>
      </c>
      <c r="E558" s="9" t="s">
        <v>1651</v>
      </c>
      <c r="F558" s="9" t="s">
        <v>1765</v>
      </c>
      <c r="G558" s="9">
        <v>4098</v>
      </c>
      <c r="H558" s="9">
        <v>4999</v>
      </c>
      <c r="I558" s="9">
        <v>18</v>
      </c>
      <c r="J558" s="11">
        <v>4.5</v>
      </c>
      <c r="K558" s="9">
        <v>50810</v>
      </c>
      <c r="L558" s="9">
        <v>4.471362666025577</v>
      </c>
      <c r="M558" s="9" t="s">
        <v>28</v>
      </c>
      <c r="N558" s="9" t="s">
        <v>144</v>
      </c>
      <c r="O558" s="9">
        <v>55</v>
      </c>
      <c r="P558" s="9" t="s">
        <v>53</v>
      </c>
      <c r="Q558" s="9" t="b">
        <v>0</v>
      </c>
      <c r="R558" s="9" t="b">
        <v>0</v>
      </c>
      <c r="S558" s="9" t="b">
        <v>0</v>
      </c>
      <c r="U558" s="9">
        <v>1</v>
      </c>
      <c r="V558" s="9" t="b">
        <v>1</v>
      </c>
      <c r="W558" s="9" t="s">
        <v>1766</v>
      </c>
    </row>
    <row r="559" spans="1:23" ht="29" customHeight="1" x14ac:dyDescent="0.2">
      <c r="A559" s="9" t="s">
        <v>1767</v>
      </c>
      <c r="B559" s="10" t="s">
        <v>1768</v>
      </c>
      <c r="C559" s="9" t="s">
        <v>44</v>
      </c>
      <c r="D559" s="9" t="s">
        <v>44</v>
      </c>
      <c r="E559" s="9" t="s">
        <v>1769</v>
      </c>
      <c r="F559" s="9" t="s">
        <v>1770</v>
      </c>
      <c r="G559" s="9">
        <v>499</v>
      </c>
      <c r="H559" s="9">
        <v>1999</v>
      </c>
      <c r="I559" s="9">
        <v>75</v>
      </c>
      <c r="J559" s="11">
        <v>3.7</v>
      </c>
      <c r="K559" s="9">
        <v>3369</v>
      </c>
      <c r="L559" s="9">
        <v>3.902929130152256</v>
      </c>
      <c r="M559" s="9" t="s">
        <v>28</v>
      </c>
      <c r="N559" s="9" t="s">
        <v>29</v>
      </c>
      <c r="O559" s="9">
        <v>42.8</v>
      </c>
      <c r="P559" s="9" t="s">
        <v>30</v>
      </c>
      <c r="Q559" s="9" t="b">
        <v>0</v>
      </c>
      <c r="R559" s="9" t="b">
        <v>0</v>
      </c>
      <c r="S559" s="9" t="b">
        <v>1</v>
      </c>
      <c r="U559" s="9">
        <v>1</v>
      </c>
      <c r="V559" s="9" t="b">
        <v>1</v>
      </c>
      <c r="W559" s="9" t="s">
        <v>1771</v>
      </c>
    </row>
    <row r="560" spans="1:23" ht="29" customHeight="1" x14ac:dyDescent="0.2">
      <c r="A560" s="9" t="s">
        <v>1772</v>
      </c>
      <c r="B560" s="10" t="s">
        <v>1773</v>
      </c>
      <c r="C560" s="9" t="s">
        <v>25</v>
      </c>
      <c r="D560" s="9" t="s">
        <v>25</v>
      </c>
      <c r="E560" s="9" t="s">
        <v>26</v>
      </c>
      <c r="F560" s="9" t="s">
        <v>1656</v>
      </c>
      <c r="G560" s="9">
        <v>299</v>
      </c>
      <c r="H560" s="9">
        <v>449</v>
      </c>
      <c r="I560" s="9">
        <v>33</v>
      </c>
      <c r="J560" s="11">
        <v>3.5</v>
      </c>
      <c r="K560" s="9">
        <v>11827</v>
      </c>
      <c r="L560" s="9">
        <v>3.641100682618482</v>
      </c>
      <c r="M560" s="9" t="s">
        <v>28</v>
      </c>
      <c r="N560" s="9" t="s">
        <v>29</v>
      </c>
      <c r="O560" s="9">
        <v>20.2</v>
      </c>
      <c r="P560" s="9" t="s">
        <v>40</v>
      </c>
      <c r="Q560" s="9" t="b">
        <v>0</v>
      </c>
      <c r="R560" s="9" t="b">
        <v>0</v>
      </c>
      <c r="S560" s="9" t="b">
        <v>1</v>
      </c>
      <c r="T560" s="9">
        <v>0.52</v>
      </c>
      <c r="U560" s="9">
        <v>1</v>
      </c>
      <c r="V560" s="9" t="b">
        <v>1</v>
      </c>
      <c r="W560" s="9" t="s">
        <v>1774</v>
      </c>
    </row>
    <row r="561" spans="1:23" ht="29" customHeight="1" x14ac:dyDescent="0.2">
      <c r="A561" s="9" t="s">
        <v>1775</v>
      </c>
      <c r="B561" s="10" t="s">
        <v>1776</v>
      </c>
      <c r="C561" s="9" t="s">
        <v>25</v>
      </c>
      <c r="D561" s="9" t="s">
        <v>25</v>
      </c>
      <c r="E561" s="9" t="s">
        <v>26</v>
      </c>
      <c r="F561" s="9" t="s">
        <v>27</v>
      </c>
      <c r="G561" s="9">
        <v>329</v>
      </c>
      <c r="H561" s="9">
        <v>699</v>
      </c>
      <c r="I561" s="9">
        <v>53</v>
      </c>
      <c r="J561" s="11">
        <v>4.2</v>
      </c>
      <c r="K561" s="9">
        <v>94364</v>
      </c>
      <c r="L561" s="9">
        <v>4.1955765169620944</v>
      </c>
      <c r="M561" s="9" t="s">
        <v>28</v>
      </c>
      <c r="N561" s="9" t="s">
        <v>29</v>
      </c>
      <c r="O561" s="9">
        <v>67.5</v>
      </c>
      <c r="P561" s="9" t="s">
        <v>36</v>
      </c>
      <c r="Q561" s="9" t="b">
        <v>0</v>
      </c>
      <c r="R561" s="9" t="b">
        <v>0</v>
      </c>
      <c r="S561" s="9" t="b">
        <v>0</v>
      </c>
      <c r="T561" s="9">
        <v>1.1000000000000001</v>
      </c>
      <c r="U561" s="9">
        <v>4</v>
      </c>
      <c r="V561" s="9" t="b">
        <v>0</v>
      </c>
      <c r="W561" s="9" t="s">
        <v>1777</v>
      </c>
    </row>
    <row r="562" spans="1:23" ht="29" customHeight="1" x14ac:dyDescent="0.2">
      <c r="A562" s="9" t="s">
        <v>1778</v>
      </c>
      <c r="B562" s="10" t="s">
        <v>1779</v>
      </c>
      <c r="C562" s="9" t="s">
        <v>25</v>
      </c>
      <c r="D562" s="9" t="s">
        <v>25</v>
      </c>
      <c r="E562" s="9" t="s">
        <v>26</v>
      </c>
      <c r="F562" s="9" t="s">
        <v>1755</v>
      </c>
      <c r="G562" s="9">
        <v>699</v>
      </c>
      <c r="H562" s="9">
        <v>999</v>
      </c>
      <c r="I562" s="9">
        <v>30</v>
      </c>
      <c r="J562" s="11">
        <v>3.5</v>
      </c>
      <c r="K562" s="9">
        <v>15295</v>
      </c>
      <c r="L562" s="9">
        <v>3.615423801216362</v>
      </c>
      <c r="M562" s="9" t="s">
        <v>28</v>
      </c>
      <c r="N562" s="9" t="s">
        <v>93</v>
      </c>
      <c r="O562" s="9">
        <v>12.9</v>
      </c>
      <c r="P562" s="9" t="s">
        <v>40</v>
      </c>
      <c r="Q562" s="9" t="b">
        <v>0</v>
      </c>
      <c r="R562" s="9" t="b">
        <v>0</v>
      </c>
      <c r="S562" s="9" t="b">
        <v>1</v>
      </c>
      <c r="T562" s="9">
        <v>0.53</v>
      </c>
      <c r="U562" s="9">
        <v>1</v>
      </c>
      <c r="V562" s="9" t="b">
        <v>1</v>
      </c>
      <c r="W562" s="9" t="s">
        <v>1780</v>
      </c>
    </row>
    <row r="563" spans="1:23" ht="29" customHeight="1" x14ac:dyDescent="0.2">
      <c r="A563" s="9" t="s">
        <v>1781</v>
      </c>
      <c r="B563" s="10" t="s">
        <v>1782</v>
      </c>
      <c r="C563" s="9" t="s">
        <v>44</v>
      </c>
      <c r="D563" s="9" t="s">
        <v>44</v>
      </c>
      <c r="E563" s="9" t="s">
        <v>1769</v>
      </c>
      <c r="F563" s="9" t="s">
        <v>1783</v>
      </c>
      <c r="G563" s="9">
        <v>799</v>
      </c>
      <c r="H563" s="9">
        <v>3990</v>
      </c>
      <c r="I563" s="9">
        <v>80</v>
      </c>
      <c r="J563" s="11">
        <v>4.3</v>
      </c>
      <c r="K563" s="9">
        <v>27139</v>
      </c>
      <c r="L563" s="9">
        <v>4.2737776189402066</v>
      </c>
      <c r="M563" s="9" t="s">
        <v>28</v>
      </c>
      <c r="N563" s="9" t="s">
        <v>93</v>
      </c>
      <c r="O563" s="9">
        <v>81.599999999999994</v>
      </c>
      <c r="P563" s="9" t="s">
        <v>36</v>
      </c>
      <c r="Q563" s="9" t="b">
        <v>0</v>
      </c>
      <c r="R563" s="9" t="b">
        <v>0</v>
      </c>
      <c r="S563" s="9" t="b">
        <v>0</v>
      </c>
      <c r="U563" s="9">
        <v>1</v>
      </c>
      <c r="V563" s="9" t="b">
        <v>1</v>
      </c>
      <c r="W563" s="9" t="s">
        <v>1784</v>
      </c>
    </row>
    <row r="564" spans="1:23" ht="29" customHeight="1" x14ac:dyDescent="0.2">
      <c r="A564" s="9" t="s">
        <v>1785</v>
      </c>
      <c r="B564" s="10" t="s">
        <v>1786</v>
      </c>
      <c r="C564" s="9" t="s">
        <v>44</v>
      </c>
      <c r="D564" s="9" t="s">
        <v>44</v>
      </c>
      <c r="E564" s="9" t="s">
        <v>1009</v>
      </c>
      <c r="F564" s="9" t="s">
        <v>1010</v>
      </c>
      <c r="G564" s="9">
        <v>1399</v>
      </c>
      <c r="H564" s="9">
        <v>5499</v>
      </c>
      <c r="I564" s="9">
        <v>75</v>
      </c>
      <c r="J564" s="11">
        <v>3.9</v>
      </c>
      <c r="K564" s="9">
        <v>9504</v>
      </c>
      <c r="L564" s="9">
        <v>3.9523641572140971</v>
      </c>
      <c r="M564" s="9" t="s">
        <v>28</v>
      </c>
      <c r="N564" s="9" t="s">
        <v>179</v>
      </c>
      <c r="O564" s="9">
        <v>38.200000000000003</v>
      </c>
      <c r="P564" s="9" t="s">
        <v>40</v>
      </c>
      <c r="Q564" s="9" t="b">
        <v>0</v>
      </c>
      <c r="R564" s="9" t="b">
        <v>0</v>
      </c>
      <c r="S564" s="9" t="b">
        <v>0</v>
      </c>
      <c r="T564" s="9">
        <v>1.47</v>
      </c>
      <c r="U564" s="9">
        <v>1</v>
      </c>
      <c r="V564" s="9" t="b">
        <v>1</v>
      </c>
      <c r="W564" s="9" t="s">
        <v>1787</v>
      </c>
    </row>
    <row r="565" spans="1:23" ht="29" customHeight="1" x14ac:dyDescent="0.2">
      <c r="A565" s="9" t="s">
        <v>1788</v>
      </c>
      <c r="B565" s="10" t="s">
        <v>1789</v>
      </c>
      <c r="C565" s="9" t="s">
        <v>25</v>
      </c>
      <c r="D565" s="9" t="s">
        <v>25</v>
      </c>
      <c r="E565" s="9" t="s">
        <v>1651</v>
      </c>
      <c r="F565" s="9" t="s">
        <v>1652</v>
      </c>
      <c r="G565" s="9">
        <v>519</v>
      </c>
      <c r="H565" s="9">
        <v>1350</v>
      </c>
      <c r="I565" s="9">
        <v>62</v>
      </c>
      <c r="J565" s="11">
        <v>4.3</v>
      </c>
      <c r="K565" s="9">
        <v>30058</v>
      </c>
      <c r="L565" s="9">
        <v>4.2760408359332596</v>
      </c>
      <c r="M565" s="9" t="s">
        <v>28</v>
      </c>
      <c r="N565" s="9" t="s">
        <v>93</v>
      </c>
      <c r="O565" s="9">
        <v>79</v>
      </c>
      <c r="P565" s="9" t="s">
        <v>36</v>
      </c>
      <c r="Q565" s="9" t="b">
        <v>0</v>
      </c>
      <c r="R565" s="9" t="b">
        <v>0</v>
      </c>
      <c r="S565" s="9" t="b">
        <v>0</v>
      </c>
      <c r="T565" s="9">
        <v>0.95</v>
      </c>
      <c r="U565" s="9">
        <v>1</v>
      </c>
      <c r="V565" s="9" t="b">
        <v>1</v>
      </c>
      <c r="W565" s="9" t="s">
        <v>1790</v>
      </c>
    </row>
    <row r="566" spans="1:23" ht="29" customHeight="1" x14ac:dyDescent="0.2">
      <c r="A566" s="9" t="s">
        <v>1791</v>
      </c>
      <c r="B566" s="10" t="s">
        <v>1792</v>
      </c>
      <c r="C566" s="9" t="s">
        <v>44</v>
      </c>
      <c r="D566" s="9" t="s">
        <v>44</v>
      </c>
      <c r="E566" s="9" t="s">
        <v>981</v>
      </c>
      <c r="F566" s="9" t="s">
        <v>1614</v>
      </c>
      <c r="G566" s="9">
        <v>399</v>
      </c>
      <c r="H566" s="9">
        <v>1999</v>
      </c>
      <c r="I566" s="9">
        <v>80</v>
      </c>
      <c r="J566" s="11">
        <v>4</v>
      </c>
      <c r="K566" s="9">
        <v>3382</v>
      </c>
      <c r="L566" s="9">
        <v>4.0445712214543796</v>
      </c>
      <c r="M566" s="9" t="s">
        <v>28</v>
      </c>
      <c r="N566" s="9" t="s">
        <v>29</v>
      </c>
      <c r="O566" s="9">
        <v>59.4</v>
      </c>
      <c r="P566" s="9" t="s">
        <v>53</v>
      </c>
      <c r="Q566" s="9" t="b">
        <v>0</v>
      </c>
      <c r="R566" s="9" t="b">
        <v>0</v>
      </c>
      <c r="S566" s="9" t="b">
        <v>0</v>
      </c>
      <c r="U566" s="9">
        <v>1</v>
      </c>
      <c r="V566" s="9" t="b">
        <v>1</v>
      </c>
      <c r="W566" s="9" t="s">
        <v>1793</v>
      </c>
    </row>
    <row r="567" spans="1:23" ht="29" customHeight="1" x14ac:dyDescent="0.2">
      <c r="A567" s="9" t="s">
        <v>1794</v>
      </c>
      <c r="B567" s="10" t="s">
        <v>1795</v>
      </c>
      <c r="C567" s="9" t="s">
        <v>44</v>
      </c>
      <c r="D567" s="9" t="s">
        <v>44</v>
      </c>
      <c r="E567" s="9" t="s">
        <v>1009</v>
      </c>
      <c r="F567" s="9" t="s">
        <v>1010</v>
      </c>
      <c r="G567" s="9">
        <v>1499</v>
      </c>
      <c r="H567" s="9">
        <v>3990</v>
      </c>
      <c r="I567" s="9">
        <v>62</v>
      </c>
      <c r="J567" s="11">
        <v>4.0999999999999996</v>
      </c>
      <c r="K567" s="9">
        <v>109864</v>
      </c>
      <c r="L567" s="9">
        <v>4.0994912198446736</v>
      </c>
      <c r="M567" s="9" t="s">
        <v>28</v>
      </c>
      <c r="N567" s="9" t="s">
        <v>179</v>
      </c>
      <c r="O567" s="9">
        <v>56.2</v>
      </c>
      <c r="P567" s="9" t="s">
        <v>53</v>
      </c>
      <c r="Q567" s="9" t="b">
        <v>0</v>
      </c>
      <c r="R567" s="9" t="b">
        <v>0</v>
      </c>
      <c r="S567" s="9" t="b">
        <v>0</v>
      </c>
      <c r="T567" s="9">
        <v>1.58</v>
      </c>
      <c r="U567" s="9">
        <v>1</v>
      </c>
      <c r="V567" s="9" t="b">
        <v>1</v>
      </c>
      <c r="W567" s="9" t="s">
        <v>1796</v>
      </c>
    </row>
    <row r="568" spans="1:23" ht="29" customHeight="1" x14ac:dyDescent="0.2">
      <c r="A568" s="9" t="s">
        <v>1797</v>
      </c>
      <c r="B568" s="10" t="s">
        <v>1798</v>
      </c>
      <c r="C568" s="9" t="s">
        <v>1735</v>
      </c>
      <c r="D568" s="9" t="s">
        <v>1724</v>
      </c>
      <c r="E568" s="9" t="s">
        <v>1799</v>
      </c>
      <c r="F568" s="9" t="s">
        <v>1800</v>
      </c>
      <c r="G568" s="9">
        <v>1295</v>
      </c>
      <c r="H568" s="9">
        <v>1295</v>
      </c>
      <c r="I568" s="9">
        <v>0</v>
      </c>
      <c r="J568" s="11">
        <v>4.5</v>
      </c>
      <c r="K568" s="9">
        <v>5760</v>
      </c>
      <c r="L568" s="9">
        <v>4.3358822884411463</v>
      </c>
      <c r="M568" s="9" t="s">
        <v>28</v>
      </c>
      <c r="N568" s="9" t="s">
        <v>179</v>
      </c>
      <c r="O568" s="9">
        <v>52</v>
      </c>
      <c r="P568" s="9" t="s">
        <v>53</v>
      </c>
      <c r="Q568" s="9" t="b">
        <v>0</v>
      </c>
      <c r="R568" s="9" t="b">
        <v>0</v>
      </c>
      <c r="S568" s="9" t="b">
        <v>0</v>
      </c>
      <c r="U568" s="9">
        <v>1</v>
      </c>
      <c r="V568" s="9" t="b">
        <v>1</v>
      </c>
      <c r="W568" s="9" t="s">
        <v>1801</v>
      </c>
    </row>
    <row r="569" spans="1:23" ht="29" customHeight="1" x14ac:dyDescent="0.2">
      <c r="A569" s="9" t="s">
        <v>1802</v>
      </c>
      <c r="B569" s="10" t="s">
        <v>1803</v>
      </c>
      <c r="C569" s="9" t="s">
        <v>25</v>
      </c>
      <c r="D569" s="9" t="s">
        <v>25</v>
      </c>
      <c r="E569" s="9" t="s">
        <v>34</v>
      </c>
      <c r="F569" s="9" t="s">
        <v>1804</v>
      </c>
      <c r="G569" s="9">
        <v>1889</v>
      </c>
      <c r="H569" s="9">
        <v>5499</v>
      </c>
      <c r="I569" s="9">
        <v>66</v>
      </c>
      <c r="J569" s="11">
        <v>4.2</v>
      </c>
      <c r="K569" s="9">
        <v>49551</v>
      </c>
      <c r="L569" s="9">
        <v>4.1918583302855907</v>
      </c>
      <c r="M569" s="9" t="s">
        <v>28</v>
      </c>
      <c r="N569" s="9" t="s">
        <v>179</v>
      </c>
      <c r="O569" s="9">
        <v>69.599999999999994</v>
      </c>
      <c r="P569" s="9" t="s">
        <v>36</v>
      </c>
      <c r="Q569" s="9" t="b">
        <v>0</v>
      </c>
      <c r="R569" s="9" t="b">
        <v>0</v>
      </c>
      <c r="S569" s="9" t="b">
        <v>0</v>
      </c>
      <c r="U569" s="9">
        <v>1</v>
      </c>
      <c r="V569" s="9" t="b">
        <v>1</v>
      </c>
      <c r="W569" s="9" t="s">
        <v>1805</v>
      </c>
    </row>
    <row r="570" spans="1:23" ht="29" customHeight="1" x14ac:dyDescent="0.2">
      <c r="A570" s="9" t="s">
        <v>1806</v>
      </c>
      <c r="B570" s="10" t="s">
        <v>1807</v>
      </c>
      <c r="C570" s="9" t="s">
        <v>44</v>
      </c>
      <c r="D570" s="9" t="s">
        <v>44</v>
      </c>
      <c r="E570" s="9" t="s">
        <v>1009</v>
      </c>
      <c r="F570" s="9" t="s">
        <v>1010</v>
      </c>
      <c r="G570" s="9">
        <v>455</v>
      </c>
      <c r="H570" s="9">
        <v>1490</v>
      </c>
      <c r="I570" s="9">
        <v>69</v>
      </c>
      <c r="J570" s="11">
        <v>4.0999999999999996</v>
      </c>
      <c r="K570" s="9">
        <v>161677</v>
      </c>
      <c r="L570" s="9">
        <v>4.0996505616354062</v>
      </c>
      <c r="M570" s="9" t="s">
        <v>28</v>
      </c>
      <c r="N570" s="9" t="s">
        <v>29</v>
      </c>
      <c r="O570" s="9">
        <v>68.3</v>
      </c>
      <c r="P570" s="9" t="s">
        <v>36</v>
      </c>
      <c r="Q570" s="9" t="b">
        <v>0</v>
      </c>
      <c r="R570" s="9" t="b">
        <v>0</v>
      </c>
      <c r="S570" s="9" t="b">
        <v>0</v>
      </c>
      <c r="T570" s="9">
        <v>0.48</v>
      </c>
      <c r="U570" s="9">
        <v>2</v>
      </c>
      <c r="V570" s="9" t="b">
        <v>0</v>
      </c>
      <c r="W570" s="9" t="s">
        <v>1808</v>
      </c>
    </row>
    <row r="571" spans="1:23" ht="29" customHeight="1" x14ac:dyDescent="0.2">
      <c r="A571" s="9" t="s">
        <v>1809</v>
      </c>
      <c r="B571" s="10" t="s">
        <v>1810</v>
      </c>
      <c r="C571" s="9" t="s">
        <v>44</v>
      </c>
      <c r="D571" s="9" t="s">
        <v>44</v>
      </c>
      <c r="E571" s="9" t="s">
        <v>1769</v>
      </c>
      <c r="F571" s="9" t="s">
        <v>1811</v>
      </c>
      <c r="G571" s="9">
        <v>399</v>
      </c>
      <c r="H571" s="9">
        <v>995</v>
      </c>
      <c r="I571" s="9">
        <v>60</v>
      </c>
      <c r="J571" s="11">
        <v>3.9</v>
      </c>
      <c r="K571" s="9">
        <v>21372</v>
      </c>
      <c r="L571" s="9">
        <v>3.9276388665651121</v>
      </c>
      <c r="M571" s="9" t="s">
        <v>28</v>
      </c>
      <c r="N571" s="9" t="s">
        <v>29</v>
      </c>
      <c r="O571" s="9">
        <v>39.799999999999997</v>
      </c>
      <c r="P571" s="9" t="s">
        <v>30</v>
      </c>
      <c r="Q571" s="9" t="b">
        <v>0</v>
      </c>
      <c r="R571" s="9" t="b">
        <v>0</v>
      </c>
      <c r="S571" s="9" t="b">
        <v>0</v>
      </c>
      <c r="U571" s="9">
        <v>1</v>
      </c>
      <c r="V571" s="9" t="b">
        <v>1</v>
      </c>
      <c r="W571" s="9" t="s">
        <v>1812</v>
      </c>
    </row>
    <row r="572" spans="1:23" ht="29" customHeight="1" x14ac:dyDescent="0.2">
      <c r="A572" s="9" t="s">
        <v>1813</v>
      </c>
      <c r="B572" s="10" t="s">
        <v>1814</v>
      </c>
      <c r="C572" s="9" t="s">
        <v>25</v>
      </c>
      <c r="D572" s="9" t="s">
        <v>25</v>
      </c>
      <c r="E572" s="9" t="s">
        <v>1815</v>
      </c>
      <c r="F572" s="9" t="s">
        <v>1816</v>
      </c>
      <c r="G572" s="9">
        <v>717</v>
      </c>
      <c r="H572" s="9">
        <v>761</v>
      </c>
      <c r="I572" s="9">
        <v>6</v>
      </c>
      <c r="J572" s="11">
        <v>4</v>
      </c>
      <c r="K572" s="9">
        <v>7199</v>
      </c>
      <c r="L572" s="9">
        <v>4.0290506857346911</v>
      </c>
      <c r="M572" s="9" t="s">
        <v>28</v>
      </c>
      <c r="N572" s="9" t="s">
        <v>93</v>
      </c>
      <c r="O572" s="9">
        <v>23.2</v>
      </c>
      <c r="P572" s="9" t="s">
        <v>40</v>
      </c>
      <c r="Q572" s="9" t="b">
        <v>0</v>
      </c>
      <c r="R572" s="9" t="b">
        <v>0</v>
      </c>
      <c r="S572" s="9" t="b">
        <v>0</v>
      </c>
      <c r="U572" s="9">
        <v>1</v>
      </c>
      <c r="V572" s="9" t="b">
        <v>1</v>
      </c>
      <c r="W572" s="9" t="s">
        <v>1817</v>
      </c>
    </row>
    <row r="573" spans="1:23" ht="29" customHeight="1" x14ac:dyDescent="0.2">
      <c r="A573" s="9" t="s">
        <v>1818</v>
      </c>
      <c r="B573" s="10" t="s">
        <v>1819</v>
      </c>
      <c r="C573" s="9" t="s">
        <v>25</v>
      </c>
      <c r="D573" s="9" t="s">
        <v>25</v>
      </c>
      <c r="E573" s="9" t="s">
        <v>26</v>
      </c>
      <c r="F573" s="9" t="s">
        <v>1820</v>
      </c>
      <c r="G573" s="9">
        <v>39</v>
      </c>
      <c r="H573" s="9">
        <v>299</v>
      </c>
      <c r="I573" s="9">
        <v>87</v>
      </c>
      <c r="J573" s="11">
        <v>3.5</v>
      </c>
      <c r="K573" s="9">
        <v>15233</v>
      </c>
      <c r="L573" s="9">
        <v>3.6158005365313262</v>
      </c>
      <c r="M573" s="9" t="s">
        <v>28</v>
      </c>
      <c r="N573" s="9" t="s">
        <v>29</v>
      </c>
      <c r="O573" s="9">
        <v>49.6</v>
      </c>
      <c r="P573" s="9" t="s">
        <v>30</v>
      </c>
      <c r="Q573" s="9" t="b">
        <v>0</v>
      </c>
      <c r="R573" s="9" t="b">
        <v>0</v>
      </c>
      <c r="S573" s="9" t="b">
        <v>1</v>
      </c>
      <c r="U573" s="9">
        <v>1</v>
      </c>
      <c r="V573" s="9" t="b">
        <v>1</v>
      </c>
      <c r="W573" s="9" t="s">
        <v>1821</v>
      </c>
    </row>
    <row r="574" spans="1:23" ht="29" customHeight="1" x14ac:dyDescent="0.2">
      <c r="A574" s="9" t="s">
        <v>1822</v>
      </c>
      <c r="B574" s="10" t="s">
        <v>1823</v>
      </c>
      <c r="C574" s="9" t="s">
        <v>25</v>
      </c>
      <c r="D574" s="9" t="s">
        <v>25</v>
      </c>
      <c r="E574" s="9" t="s">
        <v>1651</v>
      </c>
      <c r="F574" s="9" t="s">
        <v>1652</v>
      </c>
      <c r="G574" s="9">
        <v>889</v>
      </c>
      <c r="H574" s="9">
        <v>2500</v>
      </c>
      <c r="I574" s="9">
        <v>64</v>
      </c>
      <c r="J574" s="11">
        <v>4.3</v>
      </c>
      <c r="K574" s="9">
        <v>55747</v>
      </c>
      <c r="L574" s="9">
        <v>4.2863835033344388</v>
      </c>
      <c r="M574" s="9" t="s">
        <v>28</v>
      </c>
      <c r="N574" s="9" t="s">
        <v>93</v>
      </c>
      <c r="O574" s="9">
        <v>76</v>
      </c>
      <c r="P574" s="9" t="s">
        <v>36</v>
      </c>
      <c r="Q574" s="9" t="b">
        <v>0</v>
      </c>
      <c r="R574" s="9" t="b">
        <v>0</v>
      </c>
      <c r="S574" s="9" t="b">
        <v>0</v>
      </c>
      <c r="T574" s="9">
        <v>1.62</v>
      </c>
      <c r="U574" s="9">
        <v>1</v>
      </c>
      <c r="V574" s="9" t="b">
        <v>1</v>
      </c>
      <c r="W574" s="9" t="s">
        <v>1824</v>
      </c>
    </row>
    <row r="575" spans="1:23" ht="29" customHeight="1" x14ac:dyDescent="0.2">
      <c r="A575" s="9" t="s">
        <v>1825</v>
      </c>
      <c r="B575" s="10" t="s">
        <v>1826</v>
      </c>
      <c r="C575" s="9" t="s">
        <v>44</v>
      </c>
      <c r="D575" s="9" t="s">
        <v>44</v>
      </c>
      <c r="E575" s="9" t="s">
        <v>1009</v>
      </c>
      <c r="F575" s="9" t="s">
        <v>1010</v>
      </c>
      <c r="G575" s="9">
        <v>1199</v>
      </c>
      <c r="H575" s="9">
        <v>4999</v>
      </c>
      <c r="I575" s="9">
        <v>76</v>
      </c>
      <c r="J575" s="11">
        <v>3.8</v>
      </c>
      <c r="K575" s="9">
        <v>14961</v>
      </c>
      <c r="L575" s="9">
        <v>3.8571975908179992</v>
      </c>
      <c r="M575" s="9" t="s">
        <v>28</v>
      </c>
      <c r="N575" s="9" t="s">
        <v>179</v>
      </c>
      <c r="O575" s="9">
        <v>36.6</v>
      </c>
      <c r="P575" s="9" t="s">
        <v>40</v>
      </c>
      <c r="Q575" s="9" t="b">
        <v>0</v>
      </c>
      <c r="R575" s="9" t="b">
        <v>0</v>
      </c>
      <c r="S575" s="9" t="b">
        <v>1</v>
      </c>
      <c r="T575" s="9">
        <v>1.26</v>
      </c>
      <c r="U575" s="9">
        <v>1</v>
      </c>
      <c r="V575" s="9" t="b">
        <v>1</v>
      </c>
      <c r="W575" s="9" t="s">
        <v>1827</v>
      </c>
    </row>
    <row r="576" spans="1:23" ht="29" customHeight="1" x14ac:dyDescent="0.2">
      <c r="A576" s="9" t="s">
        <v>1828</v>
      </c>
      <c r="B576" s="10" t="s">
        <v>1829</v>
      </c>
      <c r="C576" s="9" t="s">
        <v>25</v>
      </c>
      <c r="D576" s="9" t="s">
        <v>25</v>
      </c>
      <c r="E576" s="9" t="s">
        <v>26</v>
      </c>
      <c r="F576" s="9" t="s">
        <v>1656</v>
      </c>
      <c r="G576" s="9">
        <v>569</v>
      </c>
      <c r="H576" s="9">
        <v>1299</v>
      </c>
      <c r="I576" s="9">
        <v>56</v>
      </c>
      <c r="J576" s="11">
        <v>4.4000000000000004</v>
      </c>
      <c r="K576" s="9">
        <v>9275</v>
      </c>
      <c r="L576" s="9">
        <v>4.3089886168115683</v>
      </c>
      <c r="M576" s="9" t="s">
        <v>28</v>
      </c>
      <c r="N576" s="9" t="s">
        <v>93</v>
      </c>
      <c r="O576" s="9">
        <v>71.400000000000006</v>
      </c>
      <c r="P576" s="9" t="s">
        <v>36</v>
      </c>
      <c r="Q576" s="9" t="b">
        <v>0</v>
      </c>
      <c r="R576" s="9" t="b">
        <v>0</v>
      </c>
      <c r="S576" s="9" t="b">
        <v>0</v>
      </c>
      <c r="T576" s="9">
        <v>0.99</v>
      </c>
      <c r="U576" s="9">
        <v>1</v>
      </c>
      <c r="V576" s="9" t="b">
        <v>1</v>
      </c>
      <c r="W576" s="9" t="s">
        <v>1830</v>
      </c>
    </row>
    <row r="577" spans="1:23" ht="29" customHeight="1" x14ac:dyDescent="0.2">
      <c r="A577" s="9" t="s">
        <v>1831</v>
      </c>
      <c r="B577" s="10" t="s">
        <v>1832</v>
      </c>
      <c r="C577" s="9" t="s">
        <v>44</v>
      </c>
      <c r="D577" s="9" t="s">
        <v>44</v>
      </c>
      <c r="E577" s="9" t="s">
        <v>1009</v>
      </c>
      <c r="F577" s="9" t="s">
        <v>1010</v>
      </c>
      <c r="G577" s="9">
        <v>1499</v>
      </c>
      <c r="H577" s="9">
        <v>8999</v>
      </c>
      <c r="I577" s="9">
        <v>83</v>
      </c>
      <c r="J577" s="11">
        <v>3.7</v>
      </c>
      <c r="K577" s="9">
        <v>28324</v>
      </c>
      <c r="L577" s="9">
        <v>3.7451027407688851</v>
      </c>
      <c r="M577" s="9" t="s">
        <v>28</v>
      </c>
      <c r="N577" s="9" t="s">
        <v>179</v>
      </c>
      <c r="O577" s="9">
        <v>36</v>
      </c>
      <c r="P577" s="9" t="s">
        <v>40</v>
      </c>
      <c r="Q577" s="9" t="b">
        <v>0</v>
      </c>
      <c r="R577" s="9" t="b">
        <v>0</v>
      </c>
      <c r="S577" s="9" t="b">
        <v>1</v>
      </c>
      <c r="T577" s="9">
        <v>1.58</v>
      </c>
      <c r="U577" s="9">
        <v>1</v>
      </c>
      <c r="V577" s="9" t="b">
        <v>1</v>
      </c>
      <c r="W577" s="9" t="s">
        <v>1833</v>
      </c>
    </row>
    <row r="578" spans="1:23" ht="29" customHeight="1" x14ac:dyDescent="0.2">
      <c r="A578" s="9" t="s">
        <v>1834</v>
      </c>
      <c r="B578" s="10" t="s">
        <v>1835</v>
      </c>
      <c r="C578" s="9" t="s">
        <v>44</v>
      </c>
      <c r="D578" s="9" t="s">
        <v>44</v>
      </c>
      <c r="E578" s="9" t="s">
        <v>1730</v>
      </c>
      <c r="F578" s="9" t="s">
        <v>1731</v>
      </c>
      <c r="G578" s="9">
        <v>149</v>
      </c>
      <c r="H578" s="9">
        <v>180</v>
      </c>
      <c r="I578" s="9">
        <v>17</v>
      </c>
      <c r="J578" s="11">
        <v>4.4000000000000004</v>
      </c>
      <c r="K578" s="9">
        <v>644</v>
      </c>
      <c r="L578" s="9">
        <v>4.1307248591128598</v>
      </c>
      <c r="M578" s="9" t="s">
        <v>89</v>
      </c>
      <c r="N578" s="9" t="s">
        <v>29</v>
      </c>
      <c r="O578" s="9">
        <v>48.5</v>
      </c>
      <c r="P578" s="9" t="s">
        <v>30</v>
      </c>
      <c r="Q578" s="9" t="b">
        <v>0</v>
      </c>
      <c r="R578" s="9" t="b">
        <v>0</v>
      </c>
      <c r="S578" s="9" t="b">
        <v>0</v>
      </c>
      <c r="U578" s="9">
        <v>1</v>
      </c>
      <c r="V578" s="9" t="b">
        <v>1</v>
      </c>
      <c r="W578" s="9" t="s">
        <v>1836</v>
      </c>
    </row>
    <row r="579" spans="1:23" ht="29" customHeight="1" x14ac:dyDescent="0.2">
      <c r="A579" s="9" t="s">
        <v>1837</v>
      </c>
      <c r="B579" s="10" t="s">
        <v>1838</v>
      </c>
      <c r="C579" s="9" t="s">
        <v>25</v>
      </c>
      <c r="D579" s="9" t="s">
        <v>25</v>
      </c>
      <c r="E579" s="9" t="s">
        <v>26</v>
      </c>
      <c r="F579" s="9" t="s">
        <v>1839</v>
      </c>
      <c r="G579" s="9">
        <v>399</v>
      </c>
      <c r="H579" s="9">
        <v>549</v>
      </c>
      <c r="I579" s="9">
        <v>27</v>
      </c>
      <c r="J579" s="11">
        <v>4.4000000000000004</v>
      </c>
      <c r="K579" s="9">
        <v>18139</v>
      </c>
      <c r="L579" s="9">
        <v>4.3458228473703091</v>
      </c>
      <c r="M579" s="9" t="s">
        <v>28</v>
      </c>
      <c r="N579" s="9" t="s">
        <v>29</v>
      </c>
      <c r="O579" s="9">
        <v>61.7</v>
      </c>
      <c r="P579" s="9" t="s">
        <v>36</v>
      </c>
      <c r="Q579" s="9" t="b">
        <v>0</v>
      </c>
      <c r="R579" s="9" t="b">
        <v>0</v>
      </c>
      <c r="S579" s="9" t="b">
        <v>0</v>
      </c>
      <c r="U579" s="9">
        <v>1</v>
      </c>
      <c r="V579" s="9" t="b">
        <v>1</v>
      </c>
      <c r="W579" s="9" t="s">
        <v>1840</v>
      </c>
    </row>
    <row r="580" spans="1:23" ht="29" customHeight="1" x14ac:dyDescent="0.2">
      <c r="A580" s="9" t="s">
        <v>1841</v>
      </c>
      <c r="B580" s="10" t="s">
        <v>1842</v>
      </c>
      <c r="C580" s="9" t="s">
        <v>1741</v>
      </c>
      <c r="D580" s="9" t="s">
        <v>1741</v>
      </c>
      <c r="E580" s="9" t="s">
        <v>1742</v>
      </c>
      <c r="F580" s="9" t="s">
        <v>1843</v>
      </c>
      <c r="G580" s="9">
        <v>191</v>
      </c>
      <c r="H580" s="9">
        <v>225</v>
      </c>
      <c r="I580" s="9">
        <v>15</v>
      </c>
      <c r="J580" s="11">
        <v>4.4000000000000004</v>
      </c>
      <c r="K580" s="9">
        <v>7203</v>
      </c>
      <c r="L580" s="9">
        <v>4.2917914451398307</v>
      </c>
      <c r="M580" s="9" t="s">
        <v>28</v>
      </c>
      <c r="N580" s="9" t="s">
        <v>29</v>
      </c>
      <c r="O580" s="9">
        <v>57.6</v>
      </c>
      <c r="P580" s="9" t="s">
        <v>53</v>
      </c>
      <c r="Q580" s="9" t="b">
        <v>0</v>
      </c>
      <c r="R580" s="9" t="b">
        <v>0</v>
      </c>
      <c r="S580" s="9" t="b">
        <v>0</v>
      </c>
      <c r="U580" s="9">
        <v>1</v>
      </c>
      <c r="V580" s="9" t="b">
        <v>1</v>
      </c>
      <c r="W580" s="9" t="s">
        <v>1844</v>
      </c>
    </row>
    <row r="581" spans="1:23" ht="29" customHeight="1" x14ac:dyDescent="0.2">
      <c r="A581" s="9" t="s">
        <v>1845</v>
      </c>
      <c r="B581" s="10" t="s">
        <v>1846</v>
      </c>
      <c r="C581" s="9" t="s">
        <v>25</v>
      </c>
      <c r="D581" s="9" t="s">
        <v>25</v>
      </c>
      <c r="E581" s="9" t="s">
        <v>26</v>
      </c>
      <c r="F581" s="9" t="s">
        <v>1847</v>
      </c>
      <c r="G581" s="9">
        <v>129</v>
      </c>
      <c r="H581" s="9">
        <v>999</v>
      </c>
      <c r="I581" s="9">
        <v>87</v>
      </c>
      <c r="J581" s="11">
        <v>4.2</v>
      </c>
      <c r="K581" s="9">
        <v>491</v>
      </c>
      <c r="L581" s="9">
        <v>4.0979520610510907</v>
      </c>
      <c r="M581" s="9" t="s">
        <v>89</v>
      </c>
      <c r="N581" s="9" t="s">
        <v>29</v>
      </c>
      <c r="O581" s="9">
        <v>73.400000000000006</v>
      </c>
      <c r="P581" s="9" t="s">
        <v>36</v>
      </c>
      <c r="Q581" s="9" t="b">
        <v>0</v>
      </c>
      <c r="R581" s="9" t="b">
        <v>0</v>
      </c>
      <c r="S581" s="9" t="b">
        <v>0</v>
      </c>
      <c r="U581" s="9">
        <v>1</v>
      </c>
      <c r="V581" s="9" t="b">
        <v>1</v>
      </c>
      <c r="W581" s="9" t="s">
        <v>1848</v>
      </c>
    </row>
    <row r="582" spans="1:23" ht="29" customHeight="1" x14ac:dyDescent="0.2">
      <c r="A582" s="9" t="s">
        <v>1849</v>
      </c>
      <c r="B582" s="10" t="s">
        <v>1850</v>
      </c>
      <c r="C582" s="9" t="s">
        <v>25</v>
      </c>
      <c r="D582" s="9" t="s">
        <v>25</v>
      </c>
      <c r="E582" s="9" t="s">
        <v>26</v>
      </c>
      <c r="F582" s="9" t="s">
        <v>1851</v>
      </c>
      <c r="G582" s="9">
        <v>199</v>
      </c>
      <c r="H582" s="9">
        <v>599</v>
      </c>
      <c r="I582" s="9">
        <v>67</v>
      </c>
      <c r="J582" s="11">
        <v>4.5</v>
      </c>
      <c r="K582" s="9">
        <v>13568</v>
      </c>
      <c r="L582" s="9">
        <v>4.4098230917561994</v>
      </c>
      <c r="M582" s="9" t="s">
        <v>28</v>
      </c>
      <c r="N582" s="9" t="s">
        <v>29</v>
      </c>
      <c r="O582" s="9">
        <v>87.9</v>
      </c>
      <c r="P582" s="9" t="s">
        <v>36</v>
      </c>
      <c r="Q582" s="9" t="b">
        <v>1</v>
      </c>
      <c r="R582" s="9" t="b">
        <v>0</v>
      </c>
      <c r="S582" s="9" t="b">
        <v>0</v>
      </c>
      <c r="U582" s="9">
        <v>1</v>
      </c>
      <c r="V582" s="9" t="b">
        <v>1</v>
      </c>
      <c r="W582" s="9" t="s">
        <v>1852</v>
      </c>
    </row>
    <row r="583" spans="1:23" ht="29" customHeight="1" x14ac:dyDescent="0.2">
      <c r="A583" s="9" t="s">
        <v>1853</v>
      </c>
      <c r="B583" s="10" t="s">
        <v>1854</v>
      </c>
      <c r="C583" s="9" t="s">
        <v>44</v>
      </c>
      <c r="D583" s="9" t="s">
        <v>44</v>
      </c>
      <c r="E583" s="9" t="s">
        <v>1009</v>
      </c>
      <c r="F583" s="9" t="s">
        <v>1010</v>
      </c>
      <c r="G583" s="9">
        <v>999</v>
      </c>
      <c r="H583" s="9">
        <v>4499</v>
      </c>
      <c r="I583" s="9">
        <v>78</v>
      </c>
      <c r="J583" s="11">
        <v>3.8</v>
      </c>
      <c r="K583" s="9">
        <v>3390</v>
      </c>
      <c r="L583" s="9">
        <v>3.9497293382287051</v>
      </c>
      <c r="M583" s="9" t="s">
        <v>28</v>
      </c>
      <c r="N583" s="9" t="s">
        <v>93</v>
      </c>
      <c r="O583" s="9">
        <v>41</v>
      </c>
      <c r="P583" s="9" t="s">
        <v>30</v>
      </c>
      <c r="Q583" s="9" t="b">
        <v>0</v>
      </c>
      <c r="R583" s="9" t="b">
        <v>0</v>
      </c>
      <c r="S583" s="9" t="b">
        <v>1</v>
      </c>
      <c r="T583" s="9">
        <v>1.05</v>
      </c>
      <c r="U583" s="9">
        <v>1</v>
      </c>
      <c r="V583" s="9" t="b">
        <v>1</v>
      </c>
      <c r="W583" s="9" t="s">
        <v>1855</v>
      </c>
    </row>
    <row r="584" spans="1:23" ht="29" customHeight="1" x14ac:dyDescent="0.2">
      <c r="A584" s="9" t="s">
        <v>1856</v>
      </c>
      <c r="B584" s="10" t="s">
        <v>1857</v>
      </c>
      <c r="C584" s="9" t="s">
        <v>44</v>
      </c>
      <c r="D584" s="9" t="s">
        <v>44</v>
      </c>
      <c r="E584" s="9" t="s">
        <v>1009</v>
      </c>
      <c r="F584" s="9" t="s">
        <v>1010</v>
      </c>
      <c r="G584" s="9">
        <v>899</v>
      </c>
      <c r="H584" s="9">
        <v>4499</v>
      </c>
      <c r="I584" s="9">
        <v>80</v>
      </c>
      <c r="J584" s="11">
        <v>3.8</v>
      </c>
      <c r="K584" s="9">
        <v>103052</v>
      </c>
      <c r="L584" s="9">
        <v>3.8100261583556612</v>
      </c>
      <c r="M584" s="9" t="s">
        <v>28</v>
      </c>
      <c r="N584" s="9" t="s">
        <v>93</v>
      </c>
      <c r="O584" s="9">
        <v>39.1</v>
      </c>
      <c r="P584" s="9" t="s">
        <v>30</v>
      </c>
      <c r="Q584" s="9" t="b">
        <v>0</v>
      </c>
      <c r="R584" s="9" t="b">
        <v>0</v>
      </c>
      <c r="S584" s="9" t="b">
        <v>1</v>
      </c>
      <c r="T584" s="9">
        <v>0.95</v>
      </c>
      <c r="U584" s="9">
        <v>1</v>
      </c>
      <c r="V584" s="9" t="b">
        <v>1</v>
      </c>
      <c r="W584" s="9" t="s">
        <v>1858</v>
      </c>
    </row>
    <row r="585" spans="1:23" ht="29" customHeight="1" x14ac:dyDescent="0.2">
      <c r="A585" s="9" t="s">
        <v>1859</v>
      </c>
      <c r="B585" s="10" t="s">
        <v>1860</v>
      </c>
      <c r="C585" s="9" t="s">
        <v>25</v>
      </c>
      <c r="D585" s="9" t="s">
        <v>25</v>
      </c>
      <c r="E585" s="9" t="s">
        <v>26</v>
      </c>
      <c r="F585" s="9" t="s">
        <v>27</v>
      </c>
      <c r="G585" s="9">
        <v>176.63</v>
      </c>
      <c r="H585" s="9">
        <v>499</v>
      </c>
      <c r="I585" s="9">
        <v>65</v>
      </c>
      <c r="J585" s="11">
        <v>4.0999999999999996</v>
      </c>
      <c r="K585" s="9">
        <v>15189</v>
      </c>
      <c r="L585" s="9">
        <v>4.0969495338986794</v>
      </c>
      <c r="M585" s="9" t="s">
        <v>28</v>
      </c>
      <c r="N585" s="9" t="s">
        <v>29</v>
      </c>
      <c r="O585" s="9">
        <v>64.8</v>
      </c>
      <c r="P585" s="9" t="s">
        <v>36</v>
      </c>
      <c r="Q585" s="9" t="b">
        <v>0</v>
      </c>
      <c r="R585" s="9" t="b">
        <v>0</v>
      </c>
      <c r="S585" s="9" t="b">
        <v>0</v>
      </c>
      <c r="T585" s="9">
        <v>0.59</v>
      </c>
      <c r="U585" s="9">
        <v>1</v>
      </c>
      <c r="V585" s="9" t="b">
        <v>1</v>
      </c>
      <c r="W585" s="9" t="s">
        <v>1861</v>
      </c>
    </row>
    <row r="586" spans="1:23" ht="29" customHeight="1" x14ac:dyDescent="0.2">
      <c r="A586" s="9" t="s">
        <v>1862</v>
      </c>
      <c r="B586" s="10" t="s">
        <v>1863</v>
      </c>
      <c r="C586" s="9" t="s">
        <v>1735</v>
      </c>
      <c r="D586" s="9" t="s">
        <v>1724</v>
      </c>
      <c r="E586" s="9" t="s">
        <v>1799</v>
      </c>
      <c r="F586" s="9" t="s">
        <v>1800</v>
      </c>
      <c r="G586" s="9">
        <v>522</v>
      </c>
      <c r="H586" s="9">
        <v>550</v>
      </c>
      <c r="I586" s="9">
        <v>5</v>
      </c>
      <c r="J586" s="11">
        <v>4.4000000000000004</v>
      </c>
      <c r="K586" s="9">
        <v>12179</v>
      </c>
      <c r="L586" s="9">
        <v>4.3255678005006324</v>
      </c>
      <c r="M586" s="9" t="s">
        <v>28</v>
      </c>
      <c r="N586" s="9" t="s">
        <v>93</v>
      </c>
      <c r="O586" s="9">
        <v>58.3</v>
      </c>
      <c r="P586" s="9" t="s">
        <v>53</v>
      </c>
      <c r="Q586" s="9" t="b">
        <v>0</v>
      </c>
      <c r="R586" s="9" t="b">
        <v>0</v>
      </c>
      <c r="S586" s="9" t="b">
        <v>0</v>
      </c>
      <c r="U586" s="9">
        <v>1</v>
      </c>
      <c r="V586" s="9" t="b">
        <v>1</v>
      </c>
      <c r="W586" s="9" t="s">
        <v>1864</v>
      </c>
    </row>
    <row r="587" spans="1:23" ht="29" customHeight="1" x14ac:dyDescent="0.2">
      <c r="A587" s="9" t="s">
        <v>1865</v>
      </c>
      <c r="B587" s="10" t="s">
        <v>1866</v>
      </c>
      <c r="C587" s="9" t="s">
        <v>44</v>
      </c>
      <c r="D587" s="9" t="s">
        <v>44</v>
      </c>
      <c r="E587" s="9" t="s">
        <v>1769</v>
      </c>
      <c r="F587" s="9" t="s">
        <v>1867</v>
      </c>
      <c r="G587" s="9">
        <v>799</v>
      </c>
      <c r="H587" s="9">
        <v>1999</v>
      </c>
      <c r="I587" s="9">
        <v>60</v>
      </c>
      <c r="J587" s="11">
        <v>3.8</v>
      </c>
      <c r="K587" s="9">
        <v>12958</v>
      </c>
      <c r="L587" s="9">
        <v>3.8640494657265521</v>
      </c>
      <c r="M587" s="9" t="s">
        <v>28</v>
      </c>
      <c r="N587" s="9" t="s">
        <v>93</v>
      </c>
      <c r="O587" s="9">
        <v>32.5</v>
      </c>
      <c r="P587" s="9" t="s">
        <v>40</v>
      </c>
      <c r="Q587" s="9" t="b">
        <v>0</v>
      </c>
      <c r="R587" s="9" t="b">
        <v>0</v>
      </c>
      <c r="S587" s="9" t="b">
        <v>1</v>
      </c>
      <c r="U587" s="9">
        <v>1</v>
      </c>
      <c r="V587" s="9" t="b">
        <v>1</v>
      </c>
      <c r="W587" s="9" t="s">
        <v>1868</v>
      </c>
    </row>
    <row r="588" spans="1:23" ht="29" customHeight="1" x14ac:dyDescent="0.2">
      <c r="A588" s="9" t="s">
        <v>1869</v>
      </c>
      <c r="B588" s="10" t="s">
        <v>1870</v>
      </c>
      <c r="C588" s="9" t="s">
        <v>25</v>
      </c>
      <c r="D588" s="9" t="s">
        <v>25</v>
      </c>
      <c r="E588" s="9" t="s">
        <v>26</v>
      </c>
      <c r="F588" s="9" t="s">
        <v>1656</v>
      </c>
      <c r="G588" s="9">
        <v>681</v>
      </c>
      <c r="H588" s="9">
        <v>1199</v>
      </c>
      <c r="I588" s="9">
        <v>43</v>
      </c>
      <c r="J588" s="11">
        <v>4.2</v>
      </c>
      <c r="K588" s="9">
        <v>8258</v>
      </c>
      <c r="L588" s="9">
        <v>4.1638899456495837</v>
      </c>
      <c r="M588" s="9" t="s">
        <v>28</v>
      </c>
      <c r="N588" s="9" t="s">
        <v>93</v>
      </c>
      <c r="O588" s="9">
        <v>52.2</v>
      </c>
      <c r="P588" s="9" t="s">
        <v>53</v>
      </c>
      <c r="Q588" s="9" t="b">
        <v>0</v>
      </c>
      <c r="R588" s="9" t="b">
        <v>0</v>
      </c>
      <c r="S588" s="9" t="b">
        <v>0</v>
      </c>
      <c r="T588" s="9">
        <v>1.19</v>
      </c>
      <c r="U588" s="9">
        <v>1</v>
      </c>
      <c r="V588" s="9" t="b">
        <v>1</v>
      </c>
      <c r="W588" s="9" t="s">
        <v>1871</v>
      </c>
    </row>
    <row r="589" spans="1:23" ht="29" customHeight="1" x14ac:dyDescent="0.2">
      <c r="A589" s="9" t="s">
        <v>1872</v>
      </c>
      <c r="B589" s="10" t="s">
        <v>1873</v>
      </c>
      <c r="C589" s="9" t="s">
        <v>25</v>
      </c>
      <c r="D589" s="9" t="s">
        <v>25</v>
      </c>
      <c r="E589" s="9" t="s">
        <v>34</v>
      </c>
      <c r="F589" s="9" t="s">
        <v>34</v>
      </c>
      <c r="G589" s="9">
        <v>1199</v>
      </c>
      <c r="H589" s="9">
        <v>3490</v>
      </c>
      <c r="I589" s="9">
        <v>66</v>
      </c>
      <c r="J589" s="11">
        <v>4.0999999999999996</v>
      </c>
      <c r="K589" s="9">
        <v>11716</v>
      </c>
      <c r="L589" s="9">
        <v>4.0962650832884844</v>
      </c>
      <c r="M589" s="9" t="s">
        <v>28</v>
      </c>
      <c r="N589" s="9" t="s">
        <v>179</v>
      </c>
      <c r="O589" s="9">
        <v>59.7</v>
      </c>
      <c r="P589" s="9" t="s">
        <v>53</v>
      </c>
      <c r="Q589" s="9" t="b">
        <v>0</v>
      </c>
      <c r="R589" s="9" t="b">
        <v>0</v>
      </c>
      <c r="S589" s="9" t="b">
        <v>0</v>
      </c>
      <c r="U589" s="9">
        <v>1</v>
      </c>
      <c r="V589" s="9" t="b">
        <v>1</v>
      </c>
      <c r="W589" s="9" t="s">
        <v>1874</v>
      </c>
    </row>
    <row r="590" spans="1:23" ht="29" customHeight="1" x14ac:dyDescent="0.2">
      <c r="A590" s="9" t="s">
        <v>1875</v>
      </c>
      <c r="B590" s="10" t="s">
        <v>1876</v>
      </c>
      <c r="C590" s="9" t="s">
        <v>25</v>
      </c>
      <c r="D590" s="9" t="s">
        <v>25</v>
      </c>
      <c r="E590" s="9" t="s">
        <v>34</v>
      </c>
      <c r="F590" s="9" t="s">
        <v>1877</v>
      </c>
      <c r="G590" s="9">
        <v>2499</v>
      </c>
      <c r="H590" s="9">
        <v>4999</v>
      </c>
      <c r="I590" s="9">
        <v>50</v>
      </c>
      <c r="J590" s="11">
        <v>4.4000000000000004</v>
      </c>
      <c r="K590" s="9">
        <v>35024</v>
      </c>
      <c r="L590" s="9">
        <v>4.3694078891284551</v>
      </c>
      <c r="M590" s="9" t="s">
        <v>28</v>
      </c>
      <c r="N590" s="9" t="s">
        <v>179</v>
      </c>
      <c r="O590" s="9">
        <v>68.900000000000006</v>
      </c>
      <c r="P590" s="9" t="s">
        <v>36</v>
      </c>
      <c r="Q590" s="9" t="b">
        <v>0</v>
      </c>
      <c r="R590" s="9" t="b">
        <v>0</v>
      </c>
      <c r="S590" s="9" t="b">
        <v>0</v>
      </c>
      <c r="U590" s="9">
        <v>1</v>
      </c>
      <c r="V590" s="9" t="b">
        <v>1</v>
      </c>
      <c r="W590" s="9" t="s">
        <v>1878</v>
      </c>
    </row>
    <row r="591" spans="1:23" ht="29" customHeight="1" x14ac:dyDescent="0.2">
      <c r="A591" s="9" t="s">
        <v>1879</v>
      </c>
      <c r="B591" s="10" t="s">
        <v>1880</v>
      </c>
      <c r="C591" s="9" t="s">
        <v>44</v>
      </c>
      <c r="D591" s="9" t="s">
        <v>44</v>
      </c>
      <c r="E591" s="9" t="s">
        <v>1009</v>
      </c>
      <c r="F591" s="9" t="s">
        <v>1881</v>
      </c>
      <c r="G591" s="9">
        <v>1799</v>
      </c>
      <c r="H591" s="9">
        <v>4999</v>
      </c>
      <c r="I591" s="9">
        <v>64</v>
      </c>
      <c r="J591" s="11">
        <v>4.0999999999999996</v>
      </c>
      <c r="K591" s="9">
        <v>55192</v>
      </c>
      <c r="L591" s="9">
        <v>4.0990193978692178</v>
      </c>
      <c r="M591" s="9" t="s">
        <v>28</v>
      </c>
      <c r="N591" s="9" t="s">
        <v>179</v>
      </c>
      <c r="O591" s="9">
        <v>56.2</v>
      </c>
      <c r="P591" s="9" t="s">
        <v>53</v>
      </c>
      <c r="Q591" s="9" t="b">
        <v>0</v>
      </c>
      <c r="R591" s="9" t="b">
        <v>0</v>
      </c>
      <c r="S591" s="9" t="b">
        <v>0</v>
      </c>
      <c r="U591" s="9">
        <v>1</v>
      </c>
      <c r="V591" s="9" t="b">
        <v>1</v>
      </c>
      <c r="W591" s="9" t="s">
        <v>1882</v>
      </c>
    </row>
    <row r="592" spans="1:23" ht="29" customHeight="1" x14ac:dyDescent="0.2">
      <c r="A592" s="9" t="s">
        <v>1883</v>
      </c>
      <c r="B592" s="10" t="s">
        <v>1884</v>
      </c>
      <c r="C592" s="9" t="s">
        <v>44</v>
      </c>
      <c r="D592" s="9" t="s">
        <v>44</v>
      </c>
      <c r="E592" s="9" t="s">
        <v>1009</v>
      </c>
      <c r="F592" s="9" t="s">
        <v>1010</v>
      </c>
      <c r="G592" s="9">
        <v>429</v>
      </c>
      <c r="H592" s="9">
        <v>599</v>
      </c>
      <c r="I592" s="9">
        <v>28</v>
      </c>
      <c r="J592" s="11">
        <v>4.0999999999999996</v>
      </c>
      <c r="K592" s="9">
        <v>119466</v>
      </c>
      <c r="L592" s="9">
        <v>4.0995308641400392</v>
      </c>
      <c r="M592" s="9" t="s">
        <v>28</v>
      </c>
      <c r="N592" s="9" t="s">
        <v>29</v>
      </c>
      <c r="O592" s="9">
        <v>49.9</v>
      </c>
      <c r="P592" s="9" t="s">
        <v>30</v>
      </c>
      <c r="Q592" s="9" t="b">
        <v>0</v>
      </c>
      <c r="R592" s="9" t="b">
        <v>0</v>
      </c>
      <c r="S592" s="9" t="b">
        <v>0</v>
      </c>
      <c r="T592" s="9">
        <v>0.45</v>
      </c>
      <c r="U592" s="9">
        <v>1</v>
      </c>
      <c r="V592" s="9" t="b">
        <v>1</v>
      </c>
      <c r="W592" s="9" t="s">
        <v>1885</v>
      </c>
    </row>
    <row r="593" spans="1:23" ht="29" customHeight="1" x14ac:dyDescent="0.2">
      <c r="A593" s="9" t="s">
        <v>1886</v>
      </c>
      <c r="B593" s="10" t="s">
        <v>1887</v>
      </c>
      <c r="C593" s="9" t="s">
        <v>25</v>
      </c>
      <c r="D593" s="9" t="s">
        <v>25</v>
      </c>
      <c r="E593" s="9" t="s">
        <v>26</v>
      </c>
      <c r="F593" s="9" t="s">
        <v>1660</v>
      </c>
      <c r="G593" s="9">
        <v>100</v>
      </c>
      <c r="H593" s="9">
        <v>499</v>
      </c>
      <c r="I593" s="9">
        <v>80</v>
      </c>
      <c r="J593" s="11">
        <v>3.5</v>
      </c>
      <c r="K593" s="9">
        <v>9638</v>
      </c>
      <c r="L593" s="9">
        <v>3.6641497773725469</v>
      </c>
      <c r="M593" s="9" t="s">
        <v>28</v>
      </c>
      <c r="N593" s="9" t="s">
        <v>29</v>
      </c>
      <c r="O593" s="9">
        <v>46.8</v>
      </c>
      <c r="P593" s="9" t="s">
        <v>30</v>
      </c>
      <c r="Q593" s="9" t="b">
        <v>0</v>
      </c>
      <c r="R593" s="9" t="b">
        <v>0</v>
      </c>
      <c r="S593" s="9" t="b">
        <v>1</v>
      </c>
      <c r="T593" s="9">
        <v>0.35</v>
      </c>
      <c r="U593" s="9">
        <v>1</v>
      </c>
      <c r="V593" s="9" t="b">
        <v>1</v>
      </c>
      <c r="W593" s="9" t="s">
        <v>1888</v>
      </c>
    </row>
    <row r="594" spans="1:23" ht="29" customHeight="1" x14ac:dyDescent="0.2">
      <c r="A594" s="9" t="s">
        <v>1889</v>
      </c>
      <c r="B594" s="10" t="s">
        <v>1890</v>
      </c>
      <c r="C594" s="9" t="s">
        <v>25</v>
      </c>
      <c r="D594" s="9" t="s">
        <v>25</v>
      </c>
      <c r="E594" s="9" t="s">
        <v>26</v>
      </c>
      <c r="F594" s="9" t="s">
        <v>1714</v>
      </c>
      <c r="G594" s="9">
        <v>329</v>
      </c>
      <c r="H594" s="9">
        <v>399</v>
      </c>
      <c r="I594" s="9">
        <v>18</v>
      </c>
      <c r="J594" s="11">
        <v>3.6</v>
      </c>
      <c r="K594" s="9">
        <v>33735</v>
      </c>
      <c r="L594" s="9">
        <v>3.6486282843304441</v>
      </c>
      <c r="M594" s="9" t="s">
        <v>28</v>
      </c>
      <c r="N594" s="9" t="s">
        <v>29</v>
      </c>
      <c r="O594" s="9">
        <v>14.4</v>
      </c>
      <c r="P594" s="9" t="s">
        <v>40</v>
      </c>
      <c r="Q594" s="9" t="b">
        <v>0</v>
      </c>
      <c r="R594" s="9" t="b">
        <v>0</v>
      </c>
      <c r="S594" s="9" t="b">
        <v>1</v>
      </c>
      <c r="U594" s="9">
        <v>1</v>
      </c>
      <c r="V594" s="9" t="b">
        <v>1</v>
      </c>
      <c r="W594" s="9" t="s">
        <v>1891</v>
      </c>
    </row>
    <row r="595" spans="1:23" ht="29" customHeight="1" x14ac:dyDescent="0.2">
      <c r="A595" s="9" t="s">
        <v>1892</v>
      </c>
      <c r="B595" s="10" t="s">
        <v>1893</v>
      </c>
      <c r="C595" s="9" t="s">
        <v>25</v>
      </c>
      <c r="D595" s="9" t="s">
        <v>25</v>
      </c>
      <c r="E595" s="9" t="s">
        <v>26</v>
      </c>
      <c r="F595" s="9" t="s">
        <v>27</v>
      </c>
      <c r="G595" s="9">
        <v>229</v>
      </c>
      <c r="H595" s="9">
        <v>299</v>
      </c>
      <c r="I595" s="9">
        <v>23</v>
      </c>
      <c r="J595" s="11">
        <v>4.3</v>
      </c>
      <c r="K595" s="9">
        <v>30411</v>
      </c>
      <c r="L595" s="9">
        <v>4.2762883255060444</v>
      </c>
      <c r="M595" s="9" t="s">
        <v>28</v>
      </c>
      <c r="N595" s="9" t="s">
        <v>29</v>
      </c>
      <c r="O595" s="9">
        <v>62.4</v>
      </c>
      <c r="P595" s="9" t="s">
        <v>36</v>
      </c>
      <c r="Q595" s="9" t="b">
        <v>0</v>
      </c>
      <c r="R595" s="9" t="b">
        <v>0</v>
      </c>
      <c r="S595" s="9" t="b">
        <v>0</v>
      </c>
      <c r="T595" s="9">
        <v>0.77</v>
      </c>
      <c r="U595" s="9">
        <v>2</v>
      </c>
      <c r="V595" s="9" t="b">
        <v>0</v>
      </c>
      <c r="W595" s="9" t="s">
        <v>1894</v>
      </c>
    </row>
    <row r="596" spans="1:23" ht="29" customHeight="1" x14ac:dyDescent="0.2">
      <c r="A596" s="9" t="s">
        <v>1895</v>
      </c>
      <c r="B596" s="10" t="s">
        <v>1896</v>
      </c>
      <c r="C596" s="9" t="s">
        <v>25</v>
      </c>
      <c r="D596" s="9" t="s">
        <v>25</v>
      </c>
      <c r="E596" s="9" t="s">
        <v>26</v>
      </c>
      <c r="F596" s="9" t="s">
        <v>1656</v>
      </c>
      <c r="G596" s="9">
        <v>139</v>
      </c>
      <c r="H596" s="9">
        <v>299</v>
      </c>
      <c r="I596" s="9">
        <v>54</v>
      </c>
      <c r="J596" s="11">
        <v>3.8</v>
      </c>
      <c r="K596" s="9">
        <v>3044</v>
      </c>
      <c r="L596" s="9">
        <v>3.9573406437494771</v>
      </c>
      <c r="M596" s="9" t="s">
        <v>28</v>
      </c>
      <c r="N596" s="9" t="s">
        <v>29</v>
      </c>
      <c r="O596" s="9">
        <v>39.799999999999997</v>
      </c>
      <c r="P596" s="9" t="s">
        <v>30</v>
      </c>
      <c r="Q596" s="9" t="b">
        <v>0</v>
      </c>
      <c r="R596" s="9" t="b">
        <v>0</v>
      </c>
      <c r="S596" s="9" t="b">
        <v>1</v>
      </c>
      <c r="T596" s="9">
        <v>0.24</v>
      </c>
      <c r="U596" s="9">
        <v>1</v>
      </c>
      <c r="V596" s="9" t="b">
        <v>1</v>
      </c>
      <c r="W596" s="9" t="s">
        <v>1897</v>
      </c>
    </row>
    <row r="597" spans="1:23" ht="29" customHeight="1" x14ac:dyDescent="0.2">
      <c r="A597" s="9" t="s">
        <v>1898</v>
      </c>
      <c r="B597" s="10" t="s">
        <v>1899</v>
      </c>
      <c r="C597" s="9" t="s">
        <v>44</v>
      </c>
      <c r="D597" s="9" t="s">
        <v>44</v>
      </c>
      <c r="E597" s="9" t="s">
        <v>1009</v>
      </c>
      <c r="F597" s="9" t="s">
        <v>1507</v>
      </c>
      <c r="G597" s="9">
        <v>1199</v>
      </c>
      <c r="H597" s="9">
        <v>2499</v>
      </c>
      <c r="I597" s="9">
        <v>52</v>
      </c>
      <c r="J597" s="11">
        <v>4</v>
      </c>
      <c r="K597" s="9">
        <v>33584</v>
      </c>
      <c r="L597" s="9">
        <v>4.0085266113740463</v>
      </c>
      <c r="M597" s="9" t="s">
        <v>28</v>
      </c>
      <c r="N597" s="9" t="s">
        <v>179</v>
      </c>
      <c r="O597" s="9">
        <v>31.6</v>
      </c>
      <c r="P597" s="9" t="s">
        <v>40</v>
      </c>
      <c r="Q597" s="9" t="b">
        <v>0</v>
      </c>
      <c r="R597" s="9" t="b">
        <v>0</v>
      </c>
      <c r="S597" s="9" t="b">
        <v>0</v>
      </c>
      <c r="U597" s="9">
        <v>1</v>
      </c>
      <c r="V597" s="9" t="b">
        <v>1</v>
      </c>
      <c r="W597" s="9" t="s">
        <v>1900</v>
      </c>
    </row>
    <row r="598" spans="1:23" ht="29" customHeight="1" x14ac:dyDescent="0.2">
      <c r="A598" s="9" t="s">
        <v>1901</v>
      </c>
      <c r="B598" s="10" t="s">
        <v>1902</v>
      </c>
      <c r="C598" s="9" t="s">
        <v>44</v>
      </c>
      <c r="D598" s="9" t="s">
        <v>44</v>
      </c>
      <c r="E598" s="9" t="s">
        <v>359</v>
      </c>
      <c r="F598" s="9" t="s">
        <v>1903</v>
      </c>
      <c r="G598" s="9">
        <v>1049</v>
      </c>
      <c r="H598" s="9">
        <v>2299</v>
      </c>
      <c r="I598" s="9">
        <v>54</v>
      </c>
      <c r="J598" s="11">
        <v>3.9</v>
      </c>
      <c r="K598" s="9">
        <v>1779</v>
      </c>
      <c r="L598" s="9">
        <v>4.0253612003394057</v>
      </c>
      <c r="M598" s="9" t="s">
        <v>28</v>
      </c>
      <c r="N598" s="9" t="s">
        <v>179</v>
      </c>
      <c r="O598" s="9">
        <v>37.200000000000003</v>
      </c>
      <c r="P598" s="9" t="s">
        <v>40</v>
      </c>
      <c r="Q598" s="9" t="b">
        <v>0</v>
      </c>
      <c r="R598" s="9" t="b">
        <v>0</v>
      </c>
      <c r="S598" s="9" t="b">
        <v>0</v>
      </c>
      <c r="U598" s="9">
        <v>1</v>
      </c>
      <c r="V598" s="9" t="b">
        <v>1</v>
      </c>
      <c r="W598" s="9" t="s">
        <v>1904</v>
      </c>
    </row>
    <row r="599" spans="1:23" ht="29" customHeight="1" x14ac:dyDescent="0.2">
      <c r="A599" s="9" t="s">
        <v>1905</v>
      </c>
      <c r="B599" s="10" t="s">
        <v>1906</v>
      </c>
      <c r="C599" s="9" t="s">
        <v>44</v>
      </c>
      <c r="D599" s="9" t="s">
        <v>44</v>
      </c>
      <c r="E599" s="9" t="s">
        <v>981</v>
      </c>
      <c r="F599" s="9" t="s">
        <v>1460</v>
      </c>
      <c r="G599" s="9">
        <v>119</v>
      </c>
      <c r="H599" s="9">
        <v>299</v>
      </c>
      <c r="I599" s="9">
        <v>60</v>
      </c>
      <c r="J599" s="11">
        <v>4.0999999999999996</v>
      </c>
      <c r="K599" s="9">
        <v>5999</v>
      </c>
      <c r="L599" s="9">
        <v>4.0940776613922871</v>
      </c>
      <c r="M599" s="9" t="s">
        <v>28</v>
      </c>
      <c r="N599" s="9" t="s">
        <v>29</v>
      </c>
      <c r="O599" s="9">
        <v>65.2</v>
      </c>
      <c r="P599" s="9" t="s">
        <v>36</v>
      </c>
      <c r="Q599" s="9" t="b">
        <v>0</v>
      </c>
      <c r="R599" s="9" t="b">
        <v>0</v>
      </c>
      <c r="S599" s="9" t="b">
        <v>0</v>
      </c>
      <c r="U599" s="9">
        <v>1</v>
      </c>
      <c r="V599" s="9" t="b">
        <v>1</v>
      </c>
      <c r="W599" s="9" t="s">
        <v>1907</v>
      </c>
    </row>
    <row r="600" spans="1:23" ht="29" customHeight="1" x14ac:dyDescent="0.2">
      <c r="A600" s="9" t="s">
        <v>1908</v>
      </c>
      <c r="B600" s="10" t="s">
        <v>1909</v>
      </c>
      <c r="C600" s="9" t="s">
        <v>25</v>
      </c>
      <c r="D600" s="9" t="s">
        <v>25</v>
      </c>
      <c r="E600" s="9" t="s">
        <v>26</v>
      </c>
      <c r="F600" s="9" t="s">
        <v>27</v>
      </c>
      <c r="G600" s="9">
        <v>154</v>
      </c>
      <c r="H600" s="9">
        <v>339</v>
      </c>
      <c r="I600" s="9">
        <v>55</v>
      </c>
      <c r="J600" s="11">
        <v>4.3</v>
      </c>
      <c r="K600" s="9">
        <v>13391</v>
      </c>
      <c r="L600" s="9">
        <v>4.2527611911085677</v>
      </c>
      <c r="M600" s="9" t="s">
        <v>28</v>
      </c>
      <c r="N600" s="9" t="s">
        <v>29</v>
      </c>
      <c r="O600" s="9">
        <v>77</v>
      </c>
      <c r="P600" s="9" t="s">
        <v>36</v>
      </c>
      <c r="Q600" s="9" t="b">
        <v>0</v>
      </c>
      <c r="R600" s="9" t="b">
        <v>0</v>
      </c>
      <c r="S600" s="9" t="b">
        <v>0</v>
      </c>
      <c r="T600" s="9">
        <v>0.52</v>
      </c>
      <c r="U600" s="9">
        <v>1</v>
      </c>
      <c r="V600" s="9" t="b">
        <v>1</v>
      </c>
      <c r="W600" s="9" t="s">
        <v>1910</v>
      </c>
    </row>
    <row r="601" spans="1:23" ht="29" customHeight="1" x14ac:dyDescent="0.2">
      <c r="A601" s="9" t="s">
        <v>1911</v>
      </c>
      <c r="B601" s="10" t="s">
        <v>1912</v>
      </c>
      <c r="C601" s="9" t="s">
        <v>44</v>
      </c>
      <c r="D601" s="9" t="s">
        <v>44</v>
      </c>
      <c r="E601" s="9" t="s">
        <v>1730</v>
      </c>
      <c r="F601" s="9" t="s">
        <v>1730</v>
      </c>
      <c r="G601" s="9">
        <v>225</v>
      </c>
      <c r="H601" s="9">
        <v>250</v>
      </c>
      <c r="I601" s="9">
        <v>10</v>
      </c>
      <c r="J601" s="11">
        <v>4.4000000000000004</v>
      </c>
      <c r="K601" s="9">
        <v>26556</v>
      </c>
      <c r="L601" s="9">
        <v>4.3608634692244284</v>
      </c>
      <c r="M601" s="9" t="s">
        <v>28</v>
      </c>
      <c r="N601" s="9" t="s">
        <v>29</v>
      </c>
      <c r="O601" s="9">
        <v>60.6</v>
      </c>
      <c r="P601" s="9" t="s">
        <v>36</v>
      </c>
      <c r="Q601" s="9" t="b">
        <v>0</v>
      </c>
      <c r="R601" s="9" t="b">
        <v>0</v>
      </c>
      <c r="S601" s="9" t="b">
        <v>0</v>
      </c>
      <c r="U601" s="9">
        <v>1</v>
      </c>
      <c r="V601" s="9" t="b">
        <v>1</v>
      </c>
      <c r="W601" s="9" t="s">
        <v>1913</v>
      </c>
    </row>
    <row r="602" spans="1:23" ht="29" customHeight="1" x14ac:dyDescent="0.2">
      <c r="A602" s="9" t="s">
        <v>1914</v>
      </c>
      <c r="B602" s="10" t="s">
        <v>1915</v>
      </c>
      <c r="C602" s="9" t="s">
        <v>25</v>
      </c>
      <c r="D602" s="9" t="s">
        <v>25</v>
      </c>
      <c r="E602" s="9" t="s">
        <v>26</v>
      </c>
      <c r="F602" s="9" t="s">
        <v>1667</v>
      </c>
      <c r="G602" s="9">
        <v>656</v>
      </c>
      <c r="H602" s="9">
        <v>1499</v>
      </c>
      <c r="I602" s="9">
        <v>56</v>
      </c>
      <c r="J602" s="11">
        <v>4.3</v>
      </c>
      <c r="K602" s="9">
        <v>25903</v>
      </c>
      <c r="L602" s="9">
        <v>4.2726850749753353</v>
      </c>
      <c r="M602" s="9" t="s">
        <v>28</v>
      </c>
      <c r="N602" s="9" t="s">
        <v>93</v>
      </c>
      <c r="O602" s="9">
        <v>68.3</v>
      </c>
      <c r="P602" s="9" t="s">
        <v>36</v>
      </c>
      <c r="Q602" s="9" t="b">
        <v>0</v>
      </c>
      <c r="R602" s="9" t="b">
        <v>0</v>
      </c>
      <c r="S602" s="9" t="b">
        <v>0</v>
      </c>
      <c r="T602" s="9">
        <v>1.1399999999999999</v>
      </c>
      <c r="U602" s="9">
        <v>1</v>
      </c>
      <c r="V602" s="9" t="b">
        <v>1</v>
      </c>
      <c r="W602" s="9" t="s">
        <v>1916</v>
      </c>
    </row>
    <row r="603" spans="1:23" ht="29" customHeight="1" x14ac:dyDescent="0.2">
      <c r="A603" s="9" t="s">
        <v>1917</v>
      </c>
      <c r="B603" s="10" t="s">
        <v>1918</v>
      </c>
      <c r="C603" s="9" t="s">
        <v>25</v>
      </c>
      <c r="D603" s="9" t="s">
        <v>25</v>
      </c>
      <c r="E603" s="9" t="s">
        <v>1651</v>
      </c>
      <c r="F603" s="9" t="s">
        <v>1652</v>
      </c>
      <c r="G603" s="9">
        <v>1109</v>
      </c>
      <c r="H603" s="9">
        <v>2800</v>
      </c>
      <c r="I603" s="9">
        <v>60</v>
      </c>
      <c r="J603" s="11">
        <v>4.3</v>
      </c>
      <c r="K603" s="9">
        <v>53464</v>
      </c>
      <c r="L603" s="9">
        <v>4.2858402853866799</v>
      </c>
      <c r="M603" s="9" t="s">
        <v>28</v>
      </c>
      <c r="N603" s="9" t="s">
        <v>179</v>
      </c>
      <c r="O603" s="9">
        <v>72.400000000000006</v>
      </c>
      <c r="P603" s="9" t="s">
        <v>36</v>
      </c>
      <c r="Q603" s="9" t="b">
        <v>0</v>
      </c>
      <c r="R603" s="9" t="b">
        <v>0</v>
      </c>
      <c r="S603" s="9" t="b">
        <v>0</v>
      </c>
      <c r="T603" s="9">
        <v>2.02</v>
      </c>
      <c r="U603" s="9">
        <v>1</v>
      </c>
      <c r="V603" s="9" t="b">
        <v>1</v>
      </c>
      <c r="W603" s="9" t="s">
        <v>1919</v>
      </c>
    </row>
    <row r="604" spans="1:23" ht="29" customHeight="1" x14ac:dyDescent="0.2">
      <c r="A604" s="9" t="s">
        <v>1920</v>
      </c>
      <c r="B604" s="10" t="s">
        <v>1921</v>
      </c>
      <c r="C604" s="9" t="s">
        <v>25</v>
      </c>
      <c r="D604" s="9" t="s">
        <v>25</v>
      </c>
      <c r="E604" s="9" t="s">
        <v>26</v>
      </c>
      <c r="F604" s="9" t="s">
        <v>1847</v>
      </c>
      <c r="G604" s="9">
        <v>169</v>
      </c>
      <c r="H604" s="9">
        <v>299</v>
      </c>
      <c r="I604" s="9">
        <v>43</v>
      </c>
      <c r="J604" s="11">
        <v>4.4000000000000004</v>
      </c>
      <c r="K604" s="9">
        <v>5176</v>
      </c>
      <c r="L604" s="9">
        <v>4.267252793162255</v>
      </c>
      <c r="M604" s="9" t="s">
        <v>28</v>
      </c>
      <c r="N604" s="9" t="s">
        <v>29</v>
      </c>
      <c r="O604" s="9">
        <v>71.599999999999994</v>
      </c>
      <c r="P604" s="9" t="s">
        <v>36</v>
      </c>
      <c r="Q604" s="9" t="b">
        <v>0</v>
      </c>
      <c r="R604" s="9" t="b">
        <v>0</v>
      </c>
      <c r="S604" s="9" t="b">
        <v>0</v>
      </c>
      <c r="U604" s="9">
        <v>1</v>
      </c>
      <c r="V604" s="9" t="b">
        <v>1</v>
      </c>
      <c r="W604" s="9" t="s">
        <v>1922</v>
      </c>
    </row>
    <row r="605" spans="1:23" ht="29" customHeight="1" x14ac:dyDescent="0.2">
      <c r="A605" s="9" t="s">
        <v>1923</v>
      </c>
      <c r="B605" s="10" t="s">
        <v>1924</v>
      </c>
      <c r="C605" s="9" t="s">
        <v>25</v>
      </c>
      <c r="D605" s="9" t="s">
        <v>25</v>
      </c>
      <c r="E605" s="9" t="s">
        <v>1815</v>
      </c>
      <c r="F605" s="9" t="s">
        <v>1816</v>
      </c>
      <c r="G605" s="9">
        <v>309</v>
      </c>
      <c r="H605" s="9">
        <v>404</v>
      </c>
      <c r="I605" s="9">
        <v>24</v>
      </c>
      <c r="J605" s="11">
        <v>4.4000000000000004</v>
      </c>
      <c r="K605" s="9">
        <v>8614</v>
      </c>
      <c r="L605" s="9">
        <v>4.3041279110960948</v>
      </c>
      <c r="M605" s="9" t="s">
        <v>28</v>
      </c>
      <c r="N605" s="9" t="s">
        <v>29</v>
      </c>
      <c r="O605" s="9">
        <v>67.7</v>
      </c>
      <c r="P605" s="9" t="s">
        <v>36</v>
      </c>
      <c r="Q605" s="9" t="b">
        <v>0</v>
      </c>
      <c r="R605" s="9" t="b">
        <v>0</v>
      </c>
      <c r="S605" s="9" t="b">
        <v>0</v>
      </c>
      <c r="U605" s="9">
        <v>1</v>
      </c>
      <c r="V605" s="9" t="b">
        <v>1</v>
      </c>
      <c r="W605" s="9" t="s">
        <v>1925</v>
      </c>
    </row>
    <row r="606" spans="1:23" ht="29" customHeight="1" x14ac:dyDescent="0.2">
      <c r="A606" s="9" t="s">
        <v>1926</v>
      </c>
      <c r="B606" s="10" t="s">
        <v>1927</v>
      </c>
      <c r="C606" s="9" t="s">
        <v>44</v>
      </c>
      <c r="D606" s="9" t="s">
        <v>44</v>
      </c>
      <c r="E606" s="9" t="s">
        <v>1009</v>
      </c>
      <c r="F606" s="9" t="s">
        <v>1507</v>
      </c>
      <c r="G606" s="9">
        <v>599</v>
      </c>
      <c r="H606" s="9">
        <v>1399</v>
      </c>
      <c r="I606" s="9">
        <v>57</v>
      </c>
      <c r="J606" s="11">
        <v>3.8</v>
      </c>
      <c r="K606" s="9">
        <v>60026</v>
      </c>
      <c r="L606" s="9">
        <v>3.8167889053933051</v>
      </c>
      <c r="M606" s="9" t="s">
        <v>28</v>
      </c>
      <c r="N606" s="9" t="s">
        <v>93</v>
      </c>
      <c r="O606" s="9">
        <v>33.799999999999997</v>
      </c>
      <c r="P606" s="9" t="s">
        <v>40</v>
      </c>
      <c r="Q606" s="9" t="b">
        <v>0</v>
      </c>
      <c r="R606" s="9" t="b">
        <v>0</v>
      </c>
      <c r="S606" s="9" t="b">
        <v>1</v>
      </c>
      <c r="U606" s="9">
        <v>1</v>
      </c>
      <c r="V606" s="9" t="b">
        <v>1</v>
      </c>
      <c r="W606" s="9" t="s">
        <v>1928</v>
      </c>
    </row>
    <row r="607" spans="1:23" ht="29" customHeight="1" x14ac:dyDescent="0.2">
      <c r="A607" s="9" t="s">
        <v>1929</v>
      </c>
      <c r="B607" s="10" t="s">
        <v>1930</v>
      </c>
      <c r="C607" s="9" t="s">
        <v>25</v>
      </c>
      <c r="D607" s="9" t="s">
        <v>25</v>
      </c>
      <c r="E607" s="9" t="s">
        <v>26</v>
      </c>
      <c r="F607" s="9" t="s">
        <v>1714</v>
      </c>
      <c r="G607" s="9">
        <v>299</v>
      </c>
      <c r="H607" s="9">
        <v>599</v>
      </c>
      <c r="I607" s="9">
        <v>50</v>
      </c>
      <c r="J607" s="11">
        <v>3.8</v>
      </c>
      <c r="K607" s="9">
        <v>3066</v>
      </c>
      <c r="L607" s="9">
        <v>3.9568337250759051</v>
      </c>
      <c r="M607" s="9" t="s">
        <v>28</v>
      </c>
      <c r="N607" s="9" t="s">
        <v>29</v>
      </c>
      <c r="O607" s="9">
        <v>32.6</v>
      </c>
      <c r="P607" s="9" t="s">
        <v>40</v>
      </c>
      <c r="Q607" s="9" t="b">
        <v>0</v>
      </c>
      <c r="R607" s="9" t="b">
        <v>0</v>
      </c>
      <c r="S607" s="9" t="b">
        <v>1</v>
      </c>
      <c r="U607" s="9">
        <v>1</v>
      </c>
      <c r="V607" s="9" t="b">
        <v>1</v>
      </c>
      <c r="W607" s="9" t="s">
        <v>1931</v>
      </c>
    </row>
    <row r="608" spans="1:23" ht="29" customHeight="1" x14ac:dyDescent="0.2">
      <c r="A608" s="9" t="s">
        <v>1932</v>
      </c>
      <c r="B608" s="10" t="s">
        <v>1933</v>
      </c>
      <c r="C608" s="9" t="s">
        <v>25</v>
      </c>
      <c r="D608" s="9" t="s">
        <v>25</v>
      </c>
      <c r="E608" s="9" t="s">
        <v>26</v>
      </c>
      <c r="F608" s="9" t="s">
        <v>1667</v>
      </c>
      <c r="G608" s="9">
        <v>449</v>
      </c>
      <c r="H608" s="9">
        <v>999</v>
      </c>
      <c r="I608" s="9">
        <v>55</v>
      </c>
      <c r="J608" s="11">
        <v>4</v>
      </c>
      <c r="K608" s="9">
        <v>2102</v>
      </c>
      <c r="L608" s="9">
        <v>4.0542994443994909</v>
      </c>
      <c r="M608" s="9" t="s">
        <v>28</v>
      </c>
      <c r="N608" s="9" t="s">
        <v>29</v>
      </c>
      <c r="O608" s="9">
        <v>39.5</v>
      </c>
      <c r="P608" s="9" t="s">
        <v>30</v>
      </c>
      <c r="Q608" s="9" t="b">
        <v>0</v>
      </c>
      <c r="R608" s="9" t="b">
        <v>0</v>
      </c>
      <c r="S608" s="9" t="b">
        <v>0</v>
      </c>
      <c r="T608" s="9">
        <v>0.78</v>
      </c>
      <c r="U608" s="9">
        <v>1</v>
      </c>
      <c r="V608" s="9" t="b">
        <v>1</v>
      </c>
      <c r="W608" s="9" t="s">
        <v>1934</v>
      </c>
    </row>
    <row r="609" spans="1:23" ht="29" customHeight="1" x14ac:dyDescent="0.2">
      <c r="A609" s="9" t="s">
        <v>1935</v>
      </c>
      <c r="B609" s="10" t="s">
        <v>1936</v>
      </c>
      <c r="C609" s="9" t="s">
        <v>25</v>
      </c>
      <c r="D609" s="9" t="s">
        <v>25</v>
      </c>
      <c r="E609" s="9" t="s">
        <v>26</v>
      </c>
      <c r="F609" s="9" t="s">
        <v>1656</v>
      </c>
      <c r="G609" s="9">
        <v>799</v>
      </c>
      <c r="H609" s="9">
        <v>1295</v>
      </c>
      <c r="I609" s="9">
        <v>38</v>
      </c>
      <c r="J609" s="11">
        <v>4.4000000000000004</v>
      </c>
      <c r="K609" s="9">
        <v>34852</v>
      </c>
      <c r="L609" s="9">
        <v>4.3692716231384798</v>
      </c>
      <c r="M609" s="9" t="s">
        <v>28</v>
      </c>
      <c r="N609" s="9" t="s">
        <v>93</v>
      </c>
      <c r="O609" s="9">
        <v>62.7</v>
      </c>
      <c r="P609" s="9" t="s">
        <v>36</v>
      </c>
      <c r="Q609" s="9" t="b">
        <v>0</v>
      </c>
      <c r="R609" s="9" t="b">
        <v>0</v>
      </c>
      <c r="S609" s="9" t="b">
        <v>0</v>
      </c>
      <c r="T609" s="9">
        <v>1.39</v>
      </c>
      <c r="U609" s="9">
        <v>1</v>
      </c>
      <c r="V609" s="9" t="b">
        <v>1</v>
      </c>
      <c r="W609" s="9" t="s">
        <v>1937</v>
      </c>
    </row>
    <row r="610" spans="1:23" ht="29" customHeight="1" x14ac:dyDescent="0.2">
      <c r="A610" s="9" t="s">
        <v>1938</v>
      </c>
      <c r="B610" s="10" t="s">
        <v>1939</v>
      </c>
      <c r="C610" s="9" t="s">
        <v>1735</v>
      </c>
      <c r="D610" s="9" t="s">
        <v>1724</v>
      </c>
      <c r="E610" s="9" t="s">
        <v>1736</v>
      </c>
      <c r="F610" s="9" t="s">
        <v>1940</v>
      </c>
      <c r="G610" s="9">
        <v>157</v>
      </c>
      <c r="H610" s="9">
        <v>160</v>
      </c>
      <c r="I610" s="9">
        <v>2</v>
      </c>
      <c r="J610" s="11">
        <v>4.5</v>
      </c>
      <c r="K610" s="9">
        <v>8618</v>
      </c>
      <c r="L610" s="9">
        <v>4.3737683527871098</v>
      </c>
      <c r="M610" s="9" t="s">
        <v>28</v>
      </c>
      <c r="N610" s="9" t="s">
        <v>29</v>
      </c>
      <c r="O610" s="9">
        <v>59.1</v>
      </c>
      <c r="P610" s="9" t="s">
        <v>53</v>
      </c>
      <c r="Q610" s="9" t="b">
        <v>0</v>
      </c>
      <c r="R610" s="9" t="b">
        <v>0</v>
      </c>
      <c r="S610" s="9" t="b">
        <v>0</v>
      </c>
      <c r="U610" s="9">
        <v>1</v>
      </c>
      <c r="V610" s="9" t="b">
        <v>1</v>
      </c>
      <c r="W610" s="9" t="s">
        <v>1941</v>
      </c>
    </row>
    <row r="611" spans="1:23" ht="29" customHeight="1" x14ac:dyDescent="0.2">
      <c r="A611" s="9" t="s">
        <v>1942</v>
      </c>
      <c r="B611" s="10" t="s">
        <v>1943</v>
      </c>
      <c r="C611" s="9" t="s">
        <v>25</v>
      </c>
      <c r="D611" s="9" t="s">
        <v>25</v>
      </c>
      <c r="E611" s="9" t="s">
        <v>26</v>
      </c>
      <c r="F611" s="9" t="s">
        <v>1656</v>
      </c>
      <c r="G611" s="9">
        <v>599</v>
      </c>
      <c r="H611" s="9">
        <v>899</v>
      </c>
      <c r="I611" s="9">
        <v>33</v>
      </c>
      <c r="J611" s="11">
        <v>4</v>
      </c>
      <c r="K611" s="9">
        <v>4018</v>
      </c>
      <c r="L611" s="9">
        <v>4.0409278441849246</v>
      </c>
      <c r="M611" s="9" t="s">
        <v>28</v>
      </c>
      <c r="N611" s="9" t="s">
        <v>93</v>
      </c>
      <c r="O611" s="9">
        <v>26.1</v>
      </c>
      <c r="P611" s="9" t="s">
        <v>40</v>
      </c>
      <c r="Q611" s="9" t="b">
        <v>0</v>
      </c>
      <c r="R611" s="9" t="b">
        <v>0</v>
      </c>
      <c r="S611" s="9" t="b">
        <v>0</v>
      </c>
      <c r="T611" s="9">
        <v>1.04</v>
      </c>
      <c r="U611" s="9">
        <v>1</v>
      </c>
      <c r="V611" s="9" t="b">
        <v>1</v>
      </c>
      <c r="W611" s="9" t="s">
        <v>1944</v>
      </c>
    </row>
    <row r="612" spans="1:23" ht="29" customHeight="1" x14ac:dyDescent="0.2">
      <c r="A612" s="9" t="s">
        <v>1945</v>
      </c>
      <c r="B612" s="10" t="s">
        <v>1946</v>
      </c>
      <c r="C612" s="9" t="s">
        <v>44</v>
      </c>
      <c r="D612" s="9" t="s">
        <v>44</v>
      </c>
      <c r="E612" s="9" t="s">
        <v>1730</v>
      </c>
      <c r="F612" s="9" t="s">
        <v>1947</v>
      </c>
      <c r="G612" s="9">
        <v>479</v>
      </c>
      <c r="H612" s="9">
        <v>599</v>
      </c>
      <c r="I612" s="9">
        <v>20</v>
      </c>
      <c r="J612" s="11">
        <v>4.3</v>
      </c>
      <c r="K612" s="9">
        <v>11687</v>
      </c>
      <c r="L612" s="9">
        <v>4.2475509946393606</v>
      </c>
      <c r="M612" s="9" t="s">
        <v>28</v>
      </c>
      <c r="N612" s="9" t="s">
        <v>29</v>
      </c>
      <c r="O612" s="9">
        <v>51.7</v>
      </c>
      <c r="P612" s="9" t="s">
        <v>53</v>
      </c>
      <c r="Q612" s="9" t="b">
        <v>0</v>
      </c>
      <c r="R612" s="9" t="b">
        <v>0</v>
      </c>
      <c r="S612" s="9" t="b">
        <v>0</v>
      </c>
      <c r="U612" s="9">
        <v>1</v>
      </c>
      <c r="V612" s="9" t="b">
        <v>1</v>
      </c>
      <c r="W612" s="9" t="s">
        <v>1948</v>
      </c>
    </row>
    <row r="613" spans="1:23" ht="29" customHeight="1" x14ac:dyDescent="0.2">
      <c r="A613" s="9" t="s">
        <v>1949</v>
      </c>
      <c r="B613" s="10" t="s">
        <v>1950</v>
      </c>
      <c r="C613" s="9" t="s">
        <v>44</v>
      </c>
      <c r="D613" s="9" t="s">
        <v>44</v>
      </c>
      <c r="E613" s="9" t="s">
        <v>1009</v>
      </c>
      <c r="F613" s="9" t="s">
        <v>1010</v>
      </c>
      <c r="G613" s="9">
        <v>1598</v>
      </c>
      <c r="H613" s="9">
        <v>2990</v>
      </c>
      <c r="I613" s="9">
        <v>47</v>
      </c>
      <c r="J613" s="11">
        <v>3.8</v>
      </c>
      <c r="K613" s="9">
        <v>11015</v>
      </c>
      <c r="L613" s="9">
        <v>3.8724709248303708</v>
      </c>
      <c r="M613" s="9" t="s">
        <v>28</v>
      </c>
      <c r="N613" s="9" t="s">
        <v>179</v>
      </c>
      <c r="O613" s="9">
        <v>22</v>
      </c>
      <c r="P613" s="9" t="s">
        <v>40</v>
      </c>
      <c r="Q613" s="9" t="b">
        <v>0</v>
      </c>
      <c r="R613" s="9" t="b">
        <v>0</v>
      </c>
      <c r="S613" s="9" t="b">
        <v>1</v>
      </c>
      <c r="T613" s="9">
        <v>1.68</v>
      </c>
      <c r="U613" s="9">
        <v>1</v>
      </c>
      <c r="V613" s="9" t="b">
        <v>1</v>
      </c>
      <c r="W613" s="9" t="s">
        <v>1951</v>
      </c>
    </row>
    <row r="614" spans="1:23" ht="29" customHeight="1" x14ac:dyDescent="0.2">
      <c r="A614" s="9" t="s">
        <v>1952</v>
      </c>
      <c r="B614" s="10" t="s">
        <v>1953</v>
      </c>
      <c r="C614" s="9" t="s">
        <v>25</v>
      </c>
      <c r="D614" s="9" t="s">
        <v>25</v>
      </c>
      <c r="E614" s="9" t="s">
        <v>34</v>
      </c>
      <c r="F614" s="9" t="s">
        <v>1954</v>
      </c>
      <c r="G614" s="9">
        <v>599</v>
      </c>
      <c r="H614" s="9">
        <v>899</v>
      </c>
      <c r="I614" s="9">
        <v>33</v>
      </c>
      <c r="J614" s="11">
        <v>4.3</v>
      </c>
      <c r="K614" s="9">
        <v>95116</v>
      </c>
      <c r="L614" s="9">
        <v>4.2918049838102386</v>
      </c>
      <c r="M614" s="9" t="s">
        <v>28</v>
      </c>
      <c r="N614" s="9" t="s">
        <v>93</v>
      </c>
      <c r="O614" s="9">
        <v>68.8</v>
      </c>
      <c r="P614" s="9" t="s">
        <v>36</v>
      </c>
      <c r="Q614" s="9" t="b">
        <v>0</v>
      </c>
      <c r="R614" s="9" t="b">
        <v>0</v>
      </c>
      <c r="S614" s="9" t="b">
        <v>0</v>
      </c>
      <c r="U614" s="9">
        <v>1</v>
      </c>
      <c r="V614" s="9" t="b">
        <v>1</v>
      </c>
      <c r="W614" s="9" t="s">
        <v>1955</v>
      </c>
    </row>
    <row r="615" spans="1:23" ht="29" customHeight="1" x14ac:dyDescent="0.2">
      <c r="A615" s="9" t="s">
        <v>1956</v>
      </c>
      <c r="B615" s="10" t="s">
        <v>1957</v>
      </c>
      <c r="C615" s="9" t="s">
        <v>25</v>
      </c>
      <c r="D615" s="9" t="s">
        <v>25</v>
      </c>
      <c r="E615" s="9" t="s">
        <v>1651</v>
      </c>
      <c r="F615" s="9" t="s">
        <v>1652</v>
      </c>
      <c r="G615" s="9">
        <v>1299</v>
      </c>
      <c r="H615" s="9">
        <v>3000</v>
      </c>
      <c r="I615" s="9">
        <v>57</v>
      </c>
      <c r="J615" s="11">
        <v>4.3</v>
      </c>
      <c r="K615" s="9">
        <v>23022</v>
      </c>
      <c r="L615" s="9">
        <v>4.2697470212877153</v>
      </c>
      <c r="M615" s="9" t="s">
        <v>28</v>
      </c>
      <c r="N615" s="9" t="s">
        <v>179</v>
      </c>
      <c r="O615" s="9">
        <v>68.7</v>
      </c>
      <c r="P615" s="9" t="s">
        <v>36</v>
      </c>
      <c r="Q615" s="9" t="b">
        <v>0</v>
      </c>
      <c r="R615" s="9" t="b">
        <v>0</v>
      </c>
      <c r="S615" s="9" t="b">
        <v>0</v>
      </c>
      <c r="T615" s="9">
        <v>2.37</v>
      </c>
      <c r="U615" s="9">
        <v>1</v>
      </c>
      <c r="V615" s="9" t="b">
        <v>1</v>
      </c>
      <c r="W615" s="9" t="s">
        <v>1958</v>
      </c>
    </row>
    <row r="616" spans="1:23" ht="29" customHeight="1" x14ac:dyDescent="0.2">
      <c r="A616" s="9" t="s">
        <v>1959</v>
      </c>
      <c r="B616" s="10" t="s">
        <v>1960</v>
      </c>
      <c r="C616" s="9" t="s">
        <v>44</v>
      </c>
      <c r="D616" s="9" t="s">
        <v>44</v>
      </c>
      <c r="E616" s="9" t="s">
        <v>976</v>
      </c>
      <c r="F616" s="9" t="s">
        <v>977</v>
      </c>
      <c r="G616" s="9">
        <v>1599</v>
      </c>
      <c r="H616" s="9">
        <v>4999</v>
      </c>
      <c r="I616" s="9">
        <v>68</v>
      </c>
      <c r="J616" s="11">
        <v>4</v>
      </c>
      <c r="K616" s="9">
        <v>67951</v>
      </c>
      <c r="L616" s="9">
        <v>4.0044404343907471</v>
      </c>
      <c r="M616" s="9" t="s">
        <v>28</v>
      </c>
      <c r="N616" s="9" t="s">
        <v>179</v>
      </c>
      <c r="O616" s="9">
        <v>43.9</v>
      </c>
      <c r="P616" s="9" t="s">
        <v>30</v>
      </c>
      <c r="Q616" s="9" t="b">
        <v>0</v>
      </c>
      <c r="R616" s="9" t="b">
        <v>0</v>
      </c>
      <c r="S616" s="9" t="b">
        <v>0</v>
      </c>
      <c r="T616" s="9">
        <v>0.73</v>
      </c>
      <c r="U616" s="9">
        <v>1</v>
      </c>
      <c r="V616" s="9" t="b">
        <v>1</v>
      </c>
      <c r="W616" s="9" t="s">
        <v>1961</v>
      </c>
    </row>
    <row r="617" spans="1:23" ht="29" customHeight="1" x14ac:dyDescent="0.2">
      <c r="A617" s="9" t="s">
        <v>1962</v>
      </c>
      <c r="B617" s="10" t="s">
        <v>1963</v>
      </c>
      <c r="C617" s="9" t="s">
        <v>25</v>
      </c>
      <c r="D617" s="9" t="s">
        <v>25</v>
      </c>
      <c r="E617" s="9" t="s">
        <v>26</v>
      </c>
      <c r="F617" s="9" t="s">
        <v>1964</v>
      </c>
      <c r="G617" s="9">
        <v>294</v>
      </c>
      <c r="H617" s="9">
        <v>4999</v>
      </c>
      <c r="I617" s="9">
        <v>94</v>
      </c>
      <c r="J617" s="11">
        <v>4.3</v>
      </c>
      <c r="K617" s="9">
        <v>4426</v>
      </c>
      <c r="L617" s="9">
        <v>4.2010428151286332</v>
      </c>
      <c r="M617" s="9" t="s">
        <v>28</v>
      </c>
      <c r="N617" s="9" t="s">
        <v>29</v>
      </c>
      <c r="O617" s="9">
        <v>81.599999999999994</v>
      </c>
      <c r="P617" s="9" t="s">
        <v>36</v>
      </c>
      <c r="Q617" s="9" t="b">
        <v>0</v>
      </c>
      <c r="R617" s="9" t="b">
        <v>0</v>
      </c>
      <c r="S617" s="9" t="b">
        <v>0</v>
      </c>
      <c r="U617" s="9">
        <v>1</v>
      </c>
      <c r="V617" s="9" t="b">
        <v>1</v>
      </c>
      <c r="W617" s="9" t="s">
        <v>1965</v>
      </c>
    </row>
    <row r="618" spans="1:23" ht="29" customHeight="1" x14ac:dyDescent="0.2">
      <c r="A618" s="9" t="s">
        <v>1966</v>
      </c>
      <c r="B618" s="10" t="s">
        <v>1967</v>
      </c>
      <c r="C618" s="9" t="s">
        <v>25</v>
      </c>
      <c r="D618" s="9" t="s">
        <v>25</v>
      </c>
      <c r="E618" s="9" t="s">
        <v>1815</v>
      </c>
      <c r="F618" s="9" t="s">
        <v>1816</v>
      </c>
      <c r="G618" s="9">
        <v>828</v>
      </c>
      <c r="H618" s="9">
        <v>861</v>
      </c>
      <c r="I618" s="9">
        <v>4</v>
      </c>
      <c r="J618" s="11">
        <v>4.2</v>
      </c>
      <c r="K618" s="9">
        <v>4567</v>
      </c>
      <c r="L618" s="9">
        <v>4.147888719812812</v>
      </c>
      <c r="M618" s="9" t="s">
        <v>28</v>
      </c>
      <c r="N618" s="9" t="s">
        <v>93</v>
      </c>
      <c r="O618" s="9">
        <v>44.2</v>
      </c>
      <c r="P618" s="9" t="s">
        <v>30</v>
      </c>
      <c r="Q618" s="9" t="b">
        <v>0</v>
      </c>
      <c r="R618" s="9" t="b">
        <v>0</v>
      </c>
      <c r="S618" s="9" t="b">
        <v>0</v>
      </c>
      <c r="U618" s="9">
        <v>1</v>
      </c>
      <c r="V618" s="9" t="b">
        <v>1</v>
      </c>
      <c r="W618" s="9" t="s">
        <v>1968</v>
      </c>
    </row>
    <row r="619" spans="1:23" ht="29" customHeight="1" x14ac:dyDescent="0.2">
      <c r="A619" s="9" t="s">
        <v>1969</v>
      </c>
      <c r="B619" s="10" t="s">
        <v>1970</v>
      </c>
      <c r="C619" s="9" t="s">
        <v>44</v>
      </c>
      <c r="D619" s="9" t="s">
        <v>44</v>
      </c>
      <c r="E619" s="9" t="s">
        <v>1009</v>
      </c>
      <c r="F619" s="9" t="s">
        <v>1507</v>
      </c>
      <c r="G619" s="9">
        <v>745</v>
      </c>
      <c r="H619" s="9">
        <v>795</v>
      </c>
      <c r="I619" s="9">
        <v>6</v>
      </c>
      <c r="J619" s="11">
        <v>4</v>
      </c>
      <c r="K619" s="9">
        <v>13797</v>
      </c>
      <c r="L619" s="9">
        <v>4.0181348609972272</v>
      </c>
      <c r="M619" s="9" t="s">
        <v>28</v>
      </c>
      <c r="N619" s="9" t="s">
        <v>93</v>
      </c>
      <c r="O619" s="9">
        <v>21.4</v>
      </c>
      <c r="P619" s="9" t="s">
        <v>40</v>
      </c>
      <c r="Q619" s="9" t="b">
        <v>0</v>
      </c>
      <c r="R619" s="9" t="b">
        <v>0</v>
      </c>
      <c r="S619" s="9" t="b">
        <v>0</v>
      </c>
      <c r="U619" s="9">
        <v>1</v>
      </c>
      <c r="V619" s="9" t="b">
        <v>1</v>
      </c>
      <c r="W619" s="9" t="s">
        <v>1971</v>
      </c>
    </row>
    <row r="620" spans="1:23" ht="29" customHeight="1" x14ac:dyDescent="0.2">
      <c r="A620" s="9" t="s">
        <v>1972</v>
      </c>
      <c r="B620" s="10" t="s">
        <v>1973</v>
      </c>
      <c r="C620" s="9" t="s">
        <v>44</v>
      </c>
      <c r="D620" s="9" t="s">
        <v>44</v>
      </c>
      <c r="E620" s="9" t="s">
        <v>1769</v>
      </c>
      <c r="F620" s="9" t="s">
        <v>1974</v>
      </c>
      <c r="G620" s="9">
        <v>1549</v>
      </c>
      <c r="H620" s="9">
        <v>2495</v>
      </c>
      <c r="I620" s="9">
        <v>38</v>
      </c>
      <c r="J620" s="11">
        <v>4.4000000000000004</v>
      </c>
      <c r="K620" s="9">
        <v>15137</v>
      </c>
      <c r="L620" s="9">
        <v>4.3372173386428647</v>
      </c>
      <c r="M620" s="9" t="s">
        <v>28</v>
      </c>
      <c r="N620" s="9" t="s">
        <v>179</v>
      </c>
      <c r="O620" s="9">
        <v>62</v>
      </c>
      <c r="P620" s="9" t="s">
        <v>36</v>
      </c>
      <c r="Q620" s="9" t="b">
        <v>0</v>
      </c>
      <c r="R620" s="9" t="b">
        <v>0</v>
      </c>
      <c r="S620" s="9" t="b">
        <v>0</v>
      </c>
      <c r="U620" s="9">
        <v>1</v>
      </c>
      <c r="V620" s="9" t="b">
        <v>1</v>
      </c>
      <c r="W620" s="9" t="s">
        <v>1975</v>
      </c>
    </row>
    <row r="621" spans="1:23" ht="29" customHeight="1" x14ac:dyDescent="0.2">
      <c r="A621" s="9" t="s">
        <v>1976</v>
      </c>
      <c r="B621" s="10" t="s">
        <v>1977</v>
      </c>
      <c r="C621" s="9" t="s">
        <v>25</v>
      </c>
      <c r="D621" s="9" t="s">
        <v>25</v>
      </c>
      <c r="E621" s="9" t="s">
        <v>26</v>
      </c>
      <c r="F621" s="9" t="s">
        <v>27</v>
      </c>
      <c r="G621" s="9">
        <v>970</v>
      </c>
      <c r="H621" s="9">
        <v>1799</v>
      </c>
      <c r="I621" s="9">
        <v>46</v>
      </c>
      <c r="J621" s="11">
        <v>4.5</v>
      </c>
      <c r="K621" s="9">
        <v>815</v>
      </c>
      <c r="L621" s="9">
        <v>4.1585885508860327</v>
      </c>
      <c r="M621" s="9" t="s">
        <v>89</v>
      </c>
      <c r="N621" s="9" t="s">
        <v>93</v>
      </c>
      <c r="O621" s="9">
        <v>52</v>
      </c>
      <c r="P621" s="9" t="s">
        <v>53</v>
      </c>
      <c r="Q621" s="9" t="b">
        <v>0</v>
      </c>
      <c r="R621" s="9" t="b">
        <v>0</v>
      </c>
      <c r="S621" s="9" t="b">
        <v>0</v>
      </c>
      <c r="T621" s="9">
        <v>3.24</v>
      </c>
      <c r="U621" s="9">
        <v>1</v>
      </c>
      <c r="V621" s="9" t="b">
        <v>1</v>
      </c>
      <c r="W621" s="9" t="s">
        <v>1978</v>
      </c>
    </row>
    <row r="622" spans="1:23" ht="29" customHeight="1" x14ac:dyDescent="0.2">
      <c r="A622" s="9" t="s">
        <v>1979</v>
      </c>
      <c r="B622" s="10" t="s">
        <v>1980</v>
      </c>
      <c r="C622" s="9" t="s">
        <v>25</v>
      </c>
      <c r="D622" s="9" t="s">
        <v>25</v>
      </c>
      <c r="E622" s="9" t="s">
        <v>34</v>
      </c>
      <c r="F622" s="9" t="s">
        <v>1804</v>
      </c>
      <c r="G622" s="9">
        <v>1469</v>
      </c>
      <c r="H622" s="9">
        <v>2499</v>
      </c>
      <c r="I622" s="9">
        <v>41</v>
      </c>
      <c r="J622" s="11">
        <v>4.2</v>
      </c>
      <c r="K622" s="9">
        <v>156638</v>
      </c>
      <c r="L622" s="9">
        <v>4.1972938930469734</v>
      </c>
      <c r="M622" s="9" t="s">
        <v>28</v>
      </c>
      <c r="N622" s="9" t="s">
        <v>179</v>
      </c>
      <c r="O622" s="9">
        <v>59.2</v>
      </c>
      <c r="P622" s="9" t="s">
        <v>53</v>
      </c>
      <c r="Q622" s="9" t="b">
        <v>0</v>
      </c>
      <c r="R622" s="9" t="b">
        <v>0</v>
      </c>
      <c r="S622" s="9" t="b">
        <v>0</v>
      </c>
      <c r="U622" s="9">
        <v>1</v>
      </c>
      <c r="V622" s="9" t="b">
        <v>1</v>
      </c>
      <c r="W622" s="9" t="s">
        <v>1981</v>
      </c>
    </row>
    <row r="623" spans="1:23" ht="29" customHeight="1" x14ac:dyDescent="0.2">
      <c r="A623" s="9" t="s">
        <v>1982</v>
      </c>
      <c r="B623" s="10" t="s">
        <v>1983</v>
      </c>
      <c r="C623" s="9" t="s">
        <v>1735</v>
      </c>
      <c r="D623" s="9" t="s">
        <v>1724</v>
      </c>
      <c r="E623" s="9" t="s">
        <v>1736</v>
      </c>
      <c r="F623" s="9" t="s">
        <v>1984</v>
      </c>
      <c r="G623" s="9">
        <v>198</v>
      </c>
      <c r="H623" s="9">
        <v>800</v>
      </c>
      <c r="I623" s="9">
        <v>75</v>
      </c>
      <c r="J623" s="11">
        <v>4.0999999999999996</v>
      </c>
      <c r="K623" s="9">
        <v>9344</v>
      </c>
      <c r="L623" s="9">
        <v>4.0955891421570074</v>
      </c>
      <c r="M623" s="9" t="s">
        <v>28</v>
      </c>
      <c r="N623" s="9" t="s">
        <v>29</v>
      </c>
      <c r="O623" s="9">
        <v>59.8</v>
      </c>
      <c r="P623" s="9" t="s">
        <v>53</v>
      </c>
      <c r="Q623" s="9" t="b">
        <v>0</v>
      </c>
      <c r="R623" s="9" t="b">
        <v>0</v>
      </c>
      <c r="S623" s="9" t="b">
        <v>0</v>
      </c>
      <c r="U623" s="9">
        <v>1</v>
      </c>
      <c r="V623" s="9" t="b">
        <v>1</v>
      </c>
      <c r="W623" s="9" t="s">
        <v>1985</v>
      </c>
    </row>
    <row r="624" spans="1:23" ht="29" customHeight="1" x14ac:dyDescent="0.2">
      <c r="A624" s="9" t="s">
        <v>1986</v>
      </c>
      <c r="B624" s="10" t="s">
        <v>1987</v>
      </c>
      <c r="C624" s="9" t="s">
        <v>44</v>
      </c>
      <c r="D624" s="9" t="s">
        <v>44</v>
      </c>
      <c r="E624" s="9" t="s">
        <v>1769</v>
      </c>
      <c r="F624" s="9" t="s">
        <v>1988</v>
      </c>
      <c r="G624" s="9">
        <v>549</v>
      </c>
      <c r="H624" s="9">
        <v>549</v>
      </c>
      <c r="I624" s="9">
        <v>0</v>
      </c>
      <c r="J624" s="11">
        <v>4.5</v>
      </c>
      <c r="K624" s="9">
        <v>4875</v>
      </c>
      <c r="L624" s="9">
        <v>4.3190667544637709</v>
      </c>
      <c r="M624" s="9" t="s">
        <v>28</v>
      </c>
      <c r="N624" s="9" t="s">
        <v>93</v>
      </c>
      <c r="O624" s="9">
        <v>59.6</v>
      </c>
      <c r="P624" s="9" t="s">
        <v>53</v>
      </c>
      <c r="Q624" s="9" t="b">
        <v>0</v>
      </c>
      <c r="R624" s="9" t="b">
        <v>0</v>
      </c>
      <c r="S624" s="9" t="b">
        <v>0</v>
      </c>
      <c r="U624" s="9">
        <v>1</v>
      </c>
      <c r="V624" s="9" t="b">
        <v>1</v>
      </c>
      <c r="W624" s="9" t="s">
        <v>1989</v>
      </c>
    </row>
    <row r="625" spans="1:23" ht="29" customHeight="1" x14ac:dyDescent="0.2">
      <c r="A625" s="9" t="s">
        <v>1990</v>
      </c>
      <c r="B625" s="10" t="s">
        <v>1991</v>
      </c>
      <c r="C625" s="9" t="s">
        <v>44</v>
      </c>
      <c r="D625" s="9" t="s">
        <v>44</v>
      </c>
      <c r="E625" s="9" t="s">
        <v>976</v>
      </c>
      <c r="F625" s="9" t="s">
        <v>977</v>
      </c>
      <c r="G625" s="9">
        <v>2999</v>
      </c>
      <c r="H625" s="9">
        <v>9999</v>
      </c>
      <c r="I625" s="9">
        <v>70</v>
      </c>
      <c r="J625" s="11">
        <v>4.2</v>
      </c>
      <c r="K625" s="9">
        <v>20881</v>
      </c>
      <c r="L625" s="9">
        <v>4.182386393640547</v>
      </c>
      <c r="M625" s="9" t="s">
        <v>28</v>
      </c>
      <c r="N625" s="9" t="s">
        <v>144</v>
      </c>
      <c r="O625" s="9">
        <v>69</v>
      </c>
      <c r="P625" s="9" t="s">
        <v>36</v>
      </c>
      <c r="Q625" s="9" t="b">
        <v>0</v>
      </c>
      <c r="R625" s="9" t="b">
        <v>0</v>
      </c>
      <c r="S625" s="9" t="b">
        <v>0</v>
      </c>
      <c r="T625" s="9">
        <v>1.36</v>
      </c>
      <c r="U625" s="9">
        <v>1</v>
      </c>
      <c r="V625" s="9" t="b">
        <v>1</v>
      </c>
      <c r="W625" s="9" t="s">
        <v>1992</v>
      </c>
    </row>
    <row r="626" spans="1:23" ht="29" customHeight="1" x14ac:dyDescent="0.2">
      <c r="A626" s="9" t="s">
        <v>1993</v>
      </c>
      <c r="B626" s="10" t="s">
        <v>1994</v>
      </c>
      <c r="C626" s="9" t="s">
        <v>44</v>
      </c>
      <c r="D626" s="9" t="s">
        <v>44</v>
      </c>
      <c r="E626" s="9" t="s">
        <v>976</v>
      </c>
      <c r="F626" s="9" t="s">
        <v>977</v>
      </c>
      <c r="G626" s="9">
        <v>12000</v>
      </c>
      <c r="H626" s="9">
        <v>29999</v>
      </c>
      <c r="I626" s="9">
        <v>60</v>
      </c>
      <c r="J626" s="11">
        <v>4.3</v>
      </c>
      <c r="K626" s="9">
        <v>4744</v>
      </c>
      <c r="L626" s="9">
        <v>4.2047421491425174</v>
      </c>
      <c r="M626" s="9" t="s">
        <v>28</v>
      </c>
      <c r="N626" s="9" t="s">
        <v>58</v>
      </c>
      <c r="O626" s="9">
        <v>63.6</v>
      </c>
      <c r="P626" s="9" t="s">
        <v>36</v>
      </c>
      <c r="Q626" s="9" t="b">
        <v>0</v>
      </c>
      <c r="R626" s="9" t="b">
        <v>0</v>
      </c>
      <c r="S626" s="9" t="b">
        <v>0</v>
      </c>
      <c r="T626" s="9">
        <v>5.46</v>
      </c>
      <c r="U626" s="9">
        <v>1</v>
      </c>
      <c r="V626" s="9" t="b">
        <v>1</v>
      </c>
      <c r="W626" s="9" t="s">
        <v>1995</v>
      </c>
    </row>
    <row r="627" spans="1:23" ht="29" customHeight="1" x14ac:dyDescent="0.2">
      <c r="A627" s="9" t="s">
        <v>1996</v>
      </c>
      <c r="B627" s="10" t="s">
        <v>1997</v>
      </c>
      <c r="C627" s="9" t="s">
        <v>44</v>
      </c>
      <c r="D627" s="9" t="s">
        <v>44</v>
      </c>
      <c r="E627" s="9" t="s">
        <v>1009</v>
      </c>
      <c r="F627" s="9" t="s">
        <v>1010</v>
      </c>
      <c r="G627" s="9">
        <v>1299</v>
      </c>
      <c r="H627" s="9">
        <v>3499</v>
      </c>
      <c r="I627" s="9">
        <v>63</v>
      </c>
      <c r="J627" s="11">
        <v>3.9</v>
      </c>
      <c r="K627" s="9">
        <v>12452</v>
      </c>
      <c r="L627" s="9">
        <v>3.9428436949446981</v>
      </c>
      <c r="M627" s="9" t="s">
        <v>28</v>
      </c>
      <c r="N627" s="9" t="s">
        <v>179</v>
      </c>
      <c r="O627" s="9">
        <v>34.1</v>
      </c>
      <c r="P627" s="9" t="s">
        <v>40</v>
      </c>
      <c r="Q627" s="9" t="b">
        <v>0</v>
      </c>
      <c r="R627" s="9" t="b">
        <v>0</v>
      </c>
      <c r="S627" s="9" t="b">
        <v>0</v>
      </c>
      <c r="T627" s="9">
        <v>1.37</v>
      </c>
      <c r="U627" s="9">
        <v>1</v>
      </c>
      <c r="V627" s="9" t="b">
        <v>1</v>
      </c>
      <c r="W627" s="9" t="s">
        <v>1998</v>
      </c>
    </row>
    <row r="628" spans="1:23" ht="29" customHeight="1" x14ac:dyDescent="0.2">
      <c r="A628" s="9" t="s">
        <v>1999</v>
      </c>
      <c r="B628" s="10" t="s">
        <v>2000</v>
      </c>
      <c r="C628" s="9" t="s">
        <v>44</v>
      </c>
      <c r="D628" s="9" t="s">
        <v>44</v>
      </c>
      <c r="E628" s="9" t="s">
        <v>1730</v>
      </c>
      <c r="F628" s="9" t="s">
        <v>1731</v>
      </c>
      <c r="G628" s="9">
        <v>269</v>
      </c>
      <c r="H628" s="9">
        <v>315</v>
      </c>
      <c r="I628" s="9">
        <v>15</v>
      </c>
      <c r="J628" s="11">
        <v>4.5</v>
      </c>
      <c r="K628" s="9">
        <v>17810</v>
      </c>
      <c r="L628" s="9">
        <v>4.4275554104383268</v>
      </c>
      <c r="M628" s="9" t="s">
        <v>28</v>
      </c>
      <c r="N628" s="9" t="s">
        <v>29</v>
      </c>
      <c r="O628" s="9">
        <v>60.9</v>
      </c>
      <c r="P628" s="9" t="s">
        <v>36</v>
      </c>
      <c r="Q628" s="9" t="b">
        <v>0</v>
      </c>
      <c r="R628" s="9" t="b">
        <v>0</v>
      </c>
      <c r="S628" s="9" t="b">
        <v>0</v>
      </c>
      <c r="U628" s="9">
        <v>1</v>
      </c>
      <c r="V628" s="9" t="b">
        <v>1</v>
      </c>
      <c r="W628" s="9" t="s">
        <v>2001</v>
      </c>
    </row>
    <row r="629" spans="1:23" ht="29" customHeight="1" x14ac:dyDescent="0.2">
      <c r="A629" s="9" t="s">
        <v>2002</v>
      </c>
      <c r="B629" s="10" t="s">
        <v>2003</v>
      </c>
      <c r="C629" s="9" t="s">
        <v>44</v>
      </c>
      <c r="D629" s="9" t="s">
        <v>44</v>
      </c>
      <c r="E629" s="9" t="s">
        <v>1009</v>
      </c>
      <c r="F629" s="9" t="s">
        <v>1010</v>
      </c>
      <c r="G629" s="9">
        <v>799</v>
      </c>
      <c r="H629" s="9">
        <v>1499</v>
      </c>
      <c r="I629" s="9">
        <v>47</v>
      </c>
      <c r="J629" s="11">
        <v>4.0999999999999996</v>
      </c>
      <c r="K629" s="9">
        <v>53648</v>
      </c>
      <c r="L629" s="9">
        <v>4.0989930255211293</v>
      </c>
      <c r="M629" s="9" t="s">
        <v>28</v>
      </c>
      <c r="N629" s="9" t="s">
        <v>93</v>
      </c>
      <c r="O629" s="9">
        <v>52.7</v>
      </c>
      <c r="P629" s="9" t="s">
        <v>53</v>
      </c>
      <c r="Q629" s="9" t="b">
        <v>0</v>
      </c>
      <c r="R629" s="9" t="b">
        <v>0</v>
      </c>
      <c r="S629" s="9" t="b">
        <v>0</v>
      </c>
      <c r="T629" s="9">
        <v>0.84</v>
      </c>
      <c r="U629" s="9">
        <v>1</v>
      </c>
      <c r="V629" s="9" t="b">
        <v>1</v>
      </c>
      <c r="W629" s="9" t="s">
        <v>2004</v>
      </c>
    </row>
    <row r="630" spans="1:23" ht="29" customHeight="1" x14ac:dyDescent="0.2">
      <c r="A630" s="9" t="s">
        <v>2005</v>
      </c>
      <c r="B630" s="10" t="s">
        <v>2006</v>
      </c>
      <c r="C630" s="9" t="s">
        <v>25</v>
      </c>
      <c r="D630" s="9" t="s">
        <v>25</v>
      </c>
      <c r="E630" s="9" t="s">
        <v>2007</v>
      </c>
      <c r="F630" s="9" t="s">
        <v>2007</v>
      </c>
      <c r="G630" s="9">
        <v>6299</v>
      </c>
      <c r="H630" s="9">
        <v>13750</v>
      </c>
      <c r="I630" s="9">
        <v>54</v>
      </c>
      <c r="J630" s="11">
        <v>4.2</v>
      </c>
      <c r="K630" s="9">
        <v>2014</v>
      </c>
      <c r="L630" s="9">
        <v>4.1248574554974136</v>
      </c>
      <c r="M630" s="9" t="s">
        <v>28</v>
      </c>
      <c r="N630" s="9" t="s">
        <v>144</v>
      </c>
      <c r="O630" s="9">
        <v>60.9</v>
      </c>
      <c r="P630" s="9" t="s">
        <v>36</v>
      </c>
      <c r="Q630" s="9" t="b">
        <v>0</v>
      </c>
      <c r="R630" s="9" t="b">
        <v>0</v>
      </c>
      <c r="S630" s="9" t="b">
        <v>0</v>
      </c>
      <c r="U630" s="9">
        <v>1</v>
      </c>
      <c r="V630" s="9" t="b">
        <v>1</v>
      </c>
      <c r="W630" s="9" t="s">
        <v>2008</v>
      </c>
    </row>
    <row r="631" spans="1:23" ht="29" customHeight="1" x14ac:dyDescent="0.2">
      <c r="A631" s="9" t="s">
        <v>2009</v>
      </c>
      <c r="B631" s="10" t="s">
        <v>2010</v>
      </c>
      <c r="C631" s="9" t="s">
        <v>25</v>
      </c>
      <c r="D631" s="9" t="s">
        <v>25</v>
      </c>
      <c r="E631" s="9" t="s">
        <v>26</v>
      </c>
      <c r="F631" s="9" t="s">
        <v>2011</v>
      </c>
      <c r="G631" s="9">
        <v>59</v>
      </c>
      <c r="H631" s="9">
        <v>59</v>
      </c>
      <c r="I631" s="9">
        <v>0</v>
      </c>
      <c r="J631" s="11">
        <v>3.8</v>
      </c>
      <c r="K631" s="9">
        <v>5958</v>
      </c>
      <c r="L631" s="9">
        <v>3.9101732515488719</v>
      </c>
      <c r="M631" s="9" t="s">
        <v>28</v>
      </c>
      <c r="N631" s="9" t="s">
        <v>29</v>
      </c>
      <c r="O631" s="9">
        <v>22.5</v>
      </c>
      <c r="P631" s="9" t="s">
        <v>40</v>
      </c>
      <c r="Q631" s="9" t="b">
        <v>0</v>
      </c>
      <c r="R631" s="9" t="b">
        <v>0</v>
      </c>
      <c r="S631" s="9" t="b">
        <v>1</v>
      </c>
      <c r="U631" s="9">
        <v>1</v>
      </c>
      <c r="V631" s="9" t="b">
        <v>1</v>
      </c>
      <c r="W631" s="9" t="s">
        <v>2012</v>
      </c>
    </row>
    <row r="632" spans="1:23" ht="29" customHeight="1" x14ac:dyDescent="0.2">
      <c r="A632" s="9" t="s">
        <v>2013</v>
      </c>
      <c r="B632" s="10" t="s">
        <v>2014</v>
      </c>
      <c r="C632" s="9" t="s">
        <v>44</v>
      </c>
      <c r="D632" s="9" t="s">
        <v>44</v>
      </c>
      <c r="E632" s="9" t="s">
        <v>981</v>
      </c>
      <c r="F632" s="9" t="s">
        <v>1099</v>
      </c>
      <c r="G632" s="9">
        <v>571</v>
      </c>
      <c r="H632" s="9">
        <v>999</v>
      </c>
      <c r="I632" s="9">
        <v>43</v>
      </c>
      <c r="J632" s="11">
        <v>4.3</v>
      </c>
      <c r="K632" s="9">
        <v>38221</v>
      </c>
      <c r="L632" s="9">
        <v>4.2806993007176821</v>
      </c>
      <c r="M632" s="9" t="s">
        <v>28</v>
      </c>
      <c r="N632" s="9" t="s">
        <v>93</v>
      </c>
      <c r="O632" s="9">
        <v>74.7</v>
      </c>
      <c r="P632" s="9" t="s">
        <v>36</v>
      </c>
      <c r="Q632" s="9" t="b">
        <v>0</v>
      </c>
      <c r="R632" s="9" t="b">
        <v>0</v>
      </c>
      <c r="S632" s="9" t="b">
        <v>0</v>
      </c>
      <c r="U632" s="9">
        <v>1</v>
      </c>
      <c r="V632" s="9" t="b">
        <v>1</v>
      </c>
      <c r="W632" s="9" t="s">
        <v>2015</v>
      </c>
    </row>
    <row r="633" spans="1:23" ht="29" customHeight="1" x14ac:dyDescent="0.2">
      <c r="A633" s="9" t="s">
        <v>2016</v>
      </c>
      <c r="B633" s="10" t="s">
        <v>2017</v>
      </c>
      <c r="C633" s="9" t="s">
        <v>44</v>
      </c>
      <c r="D633" s="9" t="s">
        <v>44</v>
      </c>
      <c r="E633" s="9" t="s">
        <v>359</v>
      </c>
      <c r="F633" s="9" t="s">
        <v>1903</v>
      </c>
      <c r="G633" s="9">
        <v>549</v>
      </c>
      <c r="H633" s="9">
        <v>999</v>
      </c>
      <c r="I633" s="9">
        <v>45</v>
      </c>
      <c r="J633" s="11">
        <v>3.9</v>
      </c>
      <c r="K633" s="9">
        <v>64705</v>
      </c>
      <c r="L633" s="9">
        <v>3.9101462605131019</v>
      </c>
      <c r="M633" s="9" t="s">
        <v>28</v>
      </c>
      <c r="N633" s="9" t="s">
        <v>93</v>
      </c>
      <c r="O633" s="9">
        <v>31.1</v>
      </c>
      <c r="P633" s="9" t="s">
        <v>40</v>
      </c>
      <c r="Q633" s="9" t="b">
        <v>0</v>
      </c>
      <c r="R633" s="9" t="b">
        <v>0</v>
      </c>
      <c r="S633" s="9" t="b">
        <v>0</v>
      </c>
      <c r="U633" s="9">
        <v>1</v>
      </c>
      <c r="V633" s="9" t="b">
        <v>1</v>
      </c>
      <c r="W633" s="9" t="s">
        <v>2018</v>
      </c>
    </row>
    <row r="634" spans="1:23" ht="29" customHeight="1" x14ac:dyDescent="0.2">
      <c r="A634" s="9" t="s">
        <v>2019</v>
      </c>
      <c r="B634" s="10" t="s">
        <v>2020</v>
      </c>
      <c r="C634" s="9" t="s">
        <v>44</v>
      </c>
      <c r="D634" s="9" t="s">
        <v>44</v>
      </c>
      <c r="E634" s="9" t="s">
        <v>45</v>
      </c>
      <c r="F634" s="9" t="s">
        <v>57</v>
      </c>
      <c r="G634" s="9">
        <v>13490</v>
      </c>
      <c r="H634" s="9">
        <v>21990</v>
      </c>
      <c r="I634" s="9">
        <v>39</v>
      </c>
      <c r="J634" s="11">
        <v>4.3</v>
      </c>
      <c r="K634" s="9">
        <v>11976</v>
      </c>
      <c r="L634" s="9">
        <v>4.2485140954780203</v>
      </c>
      <c r="M634" s="9" t="s">
        <v>28</v>
      </c>
      <c r="N634" s="9" t="s">
        <v>58</v>
      </c>
      <c r="O634" s="9">
        <v>53.9</v>
      </c>
      <c r="P634" s="9" t="s">
        <v>53</v>
      </c>
      <c r="Q634" s="9" t="b">
        <v>0</v>
      </c>
      <c r="R634" s="9" t="b">
        <v>0</v>
      </c>
      <c r="S634" s="9" t="b">
        <v>0</v>
      </c>
      <c r="T634" s="9">
        <v>0.71</v>
      </c>
      <c r="U634" s="9">
        <v>1</v>
      </c>
      <c r="V634" s="9" t="b">
        <v>1</v>
      </c>
      <c r="W634" s="9" t="s">
        <v>2021</v>
      </c>
    </row>
    <row r="635" spans="1:23" ht="29" customHeight="1" x14ac:dyDescent="0.2">
      <c r="A635" s="9" t="s">
        <v>2022</v>
      </c>
      <c r="B635" s="10" t="s">
        <v>2023</v>
      </c>
      <c r="C635" s="9" t="s">
        <v>25</v>
      </c>
      <c r="D635" s="9" t="s">
        <v>25</v>
      </c>
      <c r="E635" s="9" t="s">
        <v>26</v>
      </c>
      <c r="F635" s="9" t="s">
        <v>1755</v>
      </c>
      <c r="G635" s="9">
        <v>448</v>
      </c>
      <c r="H635" s="9">
        <v>699</v>
      </c>
      <c r="I635" s="9">
        <v>36</v>
      </c>
      <c r="J635" s="11">
        <v>3.9</v>
      </c>
      <c r="K635" s="9">
        <v>17348</v>
      </c>
      <c r="L635" s="9">
        <v>3.9329072779745058</v>
      </c>
      <c r="M635" s="9" t="s">
        <v>28</v>
      </c>
      <c r="N635" s="9" t="s">
        <v>29</v>
      </c>
      <c r="O635" s="9">
        <v>21.1</v>
      </c>
      <c r="P635" s="9" t="s">
        <v>40</v>
      </c>
      <c r="Q635" s="9" t="b">
        <v>0</v>
      </c>
      <c r="R635" s="9" t="b">
        <v>0</v>
      </c>
      <c r="S635" s="9" t="b">
        <v>0</v>
      </c>
      <c r="T635" s="9">
        <v>0.34</v>
      </c>
      <c r="U635" s="9">
        <v>1</v>
      </c>
      <c r="V635" s="9" t="b">
        <v>1</v>
      </c>
      <c r="W635" s="9" t="s">
        <v>2024</v>
      </c>
    </row>
    <row r="636" spans="1:23" ht="29" customHeight="1" x14ac:dyDescent="0.2">
      <c r="A636" s="9" t="s">
        <v>2025</v>
      </c>
      <c r="B636" s="10" t="s">
        <v>2026</v>
      </c>
      <c r="C636" s="9" t="s">
        <v>44</v>
      </c>
      <c r="D636" s="9" t="s">
        <v>44</v>
      </c>
      <c r="E636" s="9" t="s">
        <v>1009</v>
      </c>
      <c r="F636" s="9" t="s">
        <v>1010</v>
      </c>
      <c r="G636" s="9">
        <v>1499</v>
      </c>
      <c r="H636" s="9">
        <v>2999</v>
      </c>
      <c r="I636" s="9">
        <v>50</v>
      </c>
      <c r="J636" s="11">
        <v>3.7</v>
      </c>
      <c r="K636" s="9">
        <v>87798</v>
      </c>
      <c r="L636" s="9">
        <v>3.7158058233810518</v>
      </c>
      <c r="M636" s="9" t="s">
        <v>28</v>
      </c>
      <c r="N636" s="9" t="s">
        <v>179</v>
      </c>
      <c r="O636" s="9">
        <v>22.6</v>
      </c>
      <c r="P636" s="9" t="s">
        <v>40</v>
      </c>
      <c r="Q636" s="9" t="b">
        <v>0</v>
      </c>
      <c r="R636" s="9" t="b">
        <v>0</v>
      </c>
      <c r="S636" s="9" t="b">
        <v>1</v>
      </c>
      <c r="T636" s="9">
        <v>1.58</v>
      </c>
      <c r="U636" s="9">
        <v>1</v>
      </c>
      <c r="V636" s="9" t="b">
        <v>1</v>
      </c>
      <c r="W636" s="9" t="s">
        <v>2027</v>
      </c>
    </row>
    <row r="637" spans="1:23" ht="29" customHeight="1" x14ac:dyDescent="0.2">
      <c r="A637" s="9" t="s">
        <v>2028</v>
      </c>
      <c r="B637" s="10" t="s">
        <v>2029</v>
      </c>
      <c r="C637" s="9" t="s">
        <v>44</v>
      </c>
      <c r="D637" s="9" t="s">
        <v>44</v>
      </c>
      <c r="E637" s="9" t="s">
        <v>1769</v>
      </c>
      <c r="F637" s="9" t="s">
        <v>2030</v>
      </c>
      <c r="G637" s="9">
        <v>299</v>
      </c>
      <c r="H637" s="9">
        <v>499</v>
      </c>
      <c r="I637" s="9">
        <v>40</v>
      </c>
      <c r="J637" s="11">
        <v>4.2</v>
      </c>
      <c r="K637" s="9">
        <v>24432</v>
      </c>
      <c r="L637" s="9">
        <v>4.1846047665920949</v>
      </c>
      <c r="M637" s="9" t="s">
        <v>28</v>
      </c>
      <c r="N637" s="9" t="s">
        <v>29</v>
      </c>
      <c r="O637" s="9">
        <v>64.8</v>
      </c>
      <c r="P637" s="9" t="s">
        <v>36</v>
      </c>
      <c r="Q637" s="9" t="b">
        <v>0</v>
      </c>
      <c r="R637" s="9" t="b">
        <v>0</v>
      </c>
      <c r="S637" s="9" t="b">
        <v>0</v>
      </c>
      <c r="U637" s="9">
        <v>1</v>
      </c>
      <c r="V637" s="9" t="b">
        <v>1</v>
      </c>
      <c r="W637" s="9" t="s">
        <v>2031</v>
      </c>
    </row>
    <row r="638" spans="1:23" ht="29" customHeight="1" x14ac:dyDescent="0.2">
      <c r="A638" s="9" t="s">
        <v>2032</v>
      </c>
      <c r="B638" s="10" t="s">
        <v>2033</v>
      </c>
      <c r="C638" s="9" t="s">
        <v>25</v>
      </c>
      <c r="D638" s="9" t="s">
        <v>25</v>
      </c>
      <c r="E638" s="9" t="s">
        <v>1651</v>
      </c>
      <c r="F638" s="9" t="s">
        <v>1652</v>
      </c>
      <c r="G638" s="9">
        <v>579</v>
      </c>
      <c r="H638" s="9">
        <v>1400</v>
      </c>
      <c r="I638" s="9">
        <v>59</v>
      </c>
      <c r="J638" s="11">
        <v>4.3</v>
      </c>
      <c r="K638" s="9">
        <v>189104</v>
      </c>
      <c r="L638" s="9">
        <v>4.2957985917288939</v>
      </c>
      <c r="M638" s="9" t="s">
        <v>28</v>
      </c>
      <c r="N638" s="9" t="s">
        <v>93</v>
      </c>
      <c r="O638" s="9">
        <v>77.599999999999994</v>
      </c>
      <c r="P638" s="9" t="s">
        <v>36</v>
      </c>
      <c r="Q638" s="9" t="b">
        <v>0</v>
      </c>
      <c r="R638" s="9" t="b">
        <v>0</v>
      </c>
      <c r="S638" s="9" t="b">
        <v>0</v>
      </c>
      <c r="T638" s="9">
        <v>1.05</v>
      </c>
      <c r="U638" s="9">
        <v>1</v>
      </c>
      <c r="V638" s="9" t="b">
        <v>1</v>
      </c>
      <c r="W638" s="9" t="s">
        <v>2034</v>
      </c>
    </row>
    <row r="639" spans="1:23" ht="29" customHeight="1" x14ac:dyDescent="0.2">
      <c r="A639" s="9" t="s">
        <v>2035</v>
      </c>
      <c r="B639" s="10" t="s">
        <v>2036</v>
      </c>
      <c r="C639" s="9" t="s">
        <v>44</v>
      </c>
      <c r="D639" s="9" t="s">
        <v>44</v>
      </c>
      <c r="E639" s="9" t="s">
        <v>1769</v>
      </c>
      <c r="F639" s="9" t="s">
        <v>2037</v>
      </c>
      <c r="G639" s="9">
        <v>2499</v>
      </c>
      <c r="H639" s="9">
        <v>3299</v>
      </c>
      <c r="I639" s="9">
        <v>24</v>
      </c>
      <c r="J639" s="11">
        <v>4.2</v>
      </c>
      <c r="K639" s="9">
        <v>93112</v>
      </c>
      <c r="L639" s="9">
        <v>4.1955193481430184</v>
      </c>
      <c r="M639" s="9" t="s">
        <v>28</v>
      </c>
      <c r="N639" s="9" t="s">
        <v>179</v>
      </c>
      <c r="O639" s="9">
        <v>47.8</v>
      </c>
      <c r="P639" s="9" t="s">
        <v>30</v>
      </c>
      <c r="Q639" s="9" t="b">
        <v>0</v>
      </c>
      <c r="R639" s="9" t="b">
        <v>0</v>
      </c>
      <c r="S639" s="9" t="b">
        <v>0</v>
      </c>
      <c r="U639" s="9">
        <v>1</v>
      </c>
      <c r="V639" s="9" t="b">
        <v>1</v>
      </c>
      <c r="W639" s="9" t="s">
        <v>2038</v>
      </c>
    </row>
    <row r="640" spans="1:23" ht="29" customHeight="1" x14ac:dyDescent="0.2">
      <c r="A640" s="9" t="s">
        <v>2039</v>
      </c>
      <c r="B640" s="10" t="s">
        <v>2040</v>
      </c>
      <c r="C640" s="9" t="s">
        <v>44</v>
      </c>
      <c r="D640" s="9" t="s">
        <v>44</v>
      </c>
      <c r="E640" s="9" t="s">
        <v>1009</v>
      </c>
      <c r="F640" s="9" t="s">
        <v>1010</v>
      </c>
      <c r="G640" s="9">
        <v>1199</v>
      </c>
      <c r="H640" s="9">
        <v>5999</v>
      </c>
      <c r="I640" s="9">
        <v>80</v>
      </c>
      <c r="J640" s="11">
        <v>3.9</v>
      </c>
      <c r="K640" s="9">
        <v>47521</v>
      </c>
      <c r="L640" s="9">
        <v>3.9135460546117331</v>
      </c>
      <c r="M640" s="9" t="s">
        <v>28</v>
      </c>
      <c r="N640" s="9" t="s">
        <v>179</v>
      </c>
      <c r="O640" s="9">
        <v>38.9</v>
      </c>
      <c r="P640" s="9" t="s">
        <v>30</v>
      </c>
      <c r="Q640" s="9" t="b">
        <v>0</v>
      </c>
      <c r="R640" s="9" t="b">
        <v>0</v>
      </c>
      <c r="S640" s="9" t="b">
        <v>0</v>
      </c>
      <c r="T640" s="9">
        <v>1.26</v>
      </c>
      <c r="U640" s="9">
        <v>1</v>
      </c>
      <c r="V640" s="9" t="b">
        <v>1</v>
      </c>
      <c r="W640" s="9" t="s">
        <v>2041</v>
      </c>
    </row>
    <row r="641" spans="1:23" ht="29" customHeight="1" x14ac:dyDescent="0.2">
      <c r="A641" s="9" t="s">
        <v>2042</v>
      </c>
      <c r="B641" s="10" t="s">
        <v>2043</v>
      </c>
      <c r="C641" s="9" t="s">
        <v>44</v>
      </c>
      <c r="D641" s="9" t="s">
        <v>44</v>
      </c>
      <c r="E641" s="9" t="s">
        <v>1730</v>
      </c>
      <c r="F641" s="9" t="s">
        <v>1947</v>
      </c>
      <c r="G641" s="9">
        <v>399</v>
      </c>
      <c r="H641" s="9">
        <v>499</v>
      </c>
      <c r="I641" s="9">
        <v>20</v>
      </c>
      <c r="J641" s="11">
        <v>4.3</v>
      </c>
      <c r="K641" s="9">
        <v>27201</v>
      </c>
      <c r="L641" s="9">
        <v>4.2738301255245954</v>
      </c>
      <c r="M641" s="9" t="s">
        <v>28</v>
      </c>
      <c r="N641" s="9" t="s">
        <v>29</v>
      </c>
      <c r="O641" s="9">
        <v>54.3</v>
      </c>
      <c r="P641" s="9" t="s">
        <v>53</v>
      </c>
      <c r="Q641" s="9" t="b">
        <v>0</v>
      </c>
      <c r="R641" s="9" t="b">
        <v>0</v>
      </c>
      <c r="S641" s="9" t="b">
        <v>0</v>
      </c>
      <c r="U641" s="9">
        <v>1</v>
      </c>
      <c r="V641" s="9" t="b">
        <v>1</v>
      </c>
      <c r="W641" s="9" t="s">
        <v>2044</v>
      </c>
    </row>
    <row r="642" spans="1:23" ht="29" customHeight="1" x14ac:dyDescent="0.2">
      <c r="A642" s="9" t="s">
        <v>2045</v>
      </c>
      <c r="B642" s="10" t="s">
        <v>2046</v>
      </c>
      <c r="C642" s="9" t="s">
        <v>44</v>
      </c>
      <c r="D642" s="9" t="s">
        <v>44</v>
      </c>
      <c r="E642" s="9" t="s">
        <v>45</v>
      </c>
      <c r="F642" s="9" t="s">
        <v>46</v>
      </c>
      <c r="G642" s="9">
        <v>279</v>
      </c>
      <c r="H642" s="9">
        <v>499</v>
      </c>
      <c r="I642" s="9">
        <v>44</v>
      </c>
      <c r="J642" s="11">
        <v>3.7</v>
      </c>
      <c r="K642" s="9">
        <v>10962</v>
      </c>
      <c r="L642" s="9">
        <v>3.7982844301457308</v>
      </c>
      <c r="M642" s="9" t="s">
        <v>28</v>
      </c>
      <c r="N642" s="9" t="s">
        <v>29</v>
      </c>
      <c r="O642" s="9">
        <v>32.700000000000003</v>
      </c>
      <c r="P642" s="9" t="s">
        <v>40</v>
      </c>
      <c r="Q642" s="9" t="b">
        <v>0</v>
      </c>
      <c r="R642" s="9" t="b">
        <v>0</v>
      </c>
      <c r="S642" s="9" t="b">
        <v>1</v>
      </c>
      <c r="T642" s="9">
        <v>0.73</v>
      </c>
      <c r="U642" s="9">
        <v>1</v>
      </c>
      <c r="V642" s="9" t="b">
        <v>1</v>
      </c>
      <c r="W642" s="9" t="s">
        <v>2047</v>
      </c>
    </row>
    <row r="643" spans="1:23" ht="29" customHeight="1" x14ac:dyDescent="0.2">
      <c r="A643" s="9" t="s">
        <v>2048</v>
      </c>
      <c r="B643" s="10" t="s">
        <v>2049</v>
      </c>
      <c r="C643" s="9" t="s">
        <v>25</v>
      </c>
      <c r="D643" s="9" t="s">
        <v>25</v>
      </c>
      <c r="E643" s="9" t="s">
        <v>26</v>
      </c>
      <c r="F643" s="9" t="s">
        <v>1656</v>
      </c>
      <c r="G643" s="9">
        <v>279</v>
      </c>
      <c r="H643" s="9">
        <v>375</v>
      </c>
      <c r="I643" s="9">
        <v>26</v>
      </c>
      <c r="J643" s="11">
        <v>4.3</v>
      </c>
      <c r="K643" s="9">
        <v>31534</v>
      </c>
      <c r="L643" s="9">
        <v>4.2770427405459692</v>
      </c>
      <c r="M643" s="9" t="s">
        <v>28</v>
      </c>
      <c r="N643" s="9" t="s">
        <v>29</v>
      </c>
      <c r="O643" s="9">
        <v>62.1</v>
      </c>
      <c r="P643" s="9" t="s">
        <v>36</v>
      </c>
      <c r="Q643" s="9" t="b">
        <v>0</v>
      </c>
      <c r="R643" s="9" t="b">
        <v>0</v>
      </c>
      <c r="S643" s="9" t="b">
        <v>0</v>
      </c>
      <c r="T643" s="9">
        <v>0.49</v>
      </c>
      <c r="U643" s="9">
        <v>1</v>
      </c>
      <c r="V643" s="9" t="b">
        <v>1</v>
      </c>
      <c r="W643" s="9" t="s">
        <v>2050</v>
      </c>
    </row>
    <row r="644" spans="1:23" ht="29" customHeight="1" x14ac:dyDescent="0.2">
      <c r="A644" s="9" t="s">
        <v>2051</v>
      </c>
      <c r="B644" s="10" t="s">
        <v>2052</v>
      </c>
      <c r="C644" s="9" t="s">
        <v>44</v>
      </c>
      <c r="D644" s="9" t="s">
        <v>44</v>
      </c>
      <c r="E644" s="9" t="s">
        <v>976</v>
      </c>
      <c r="F644" s="9" t="s">
        <v>977</v>
      </c>
      <c r="G644" s="9">
        <v>2499</v>
      </c>
      <c r="H644" s="9">
        <v>4999</v>
      </c>
      <c r="I644" s="9">
        <v>50</v>
      </c>
      <c r="J644" s="11">
        <v>3.9</v>
      </c>
      <c r="K644" s="9">
        <v>7571</v>
      </c>
      <c r="L644" s="9">
        <v>3.961295194924852</v>
      </c>
      <c r="M644" s="9" t="s">
        <v>28</v>
      </c>
      <c r="N644" s="9" t="s">
        <v>179</v>
      </c>
      <c r="O644" s="9">
        <v>29.4</v>
      </c>
      <c r="P644" s="9" t="s">
        <v>40</v>
      </c>
      <c r="Q644" s="9" t="b">
        <v>0</v>
      </c>
      <c r="R644" s="9" t="b">
        <v>0</v>
      </c>
      <c r="S644" s="9" t="b">
        <v>0</v>
      </c>
      <c r="T644" s="9">
        <v>1.1399999999999999</v>
      </c>
      <c r="U644" s="9">
        <v>2</v>
      </c>
      <c r="V644" s="9" t="b">
        <v>0</v>
      </c>
      <c r="W644" s="9" t="s">
        <v>2053</v>
      </c>
    </row>
    <row r="645" spans="1:23" ht="29" customHeight="1" x14ac:dyDescent="0.2">
      <c r="A645" s="9" t="s">
        <v>2054</v>
      </c>
      <c r="B645" s="10" t="s">
        <v>2055</v>
      </c>
      <c r="C645" s="9" t="s">
        <v>1735</v>
      </c>
      <c r="D645" s="9" t="s">
        <v>1724</v>
      </c>
      <c r="E645" s="9" t="s">
        <v>1736</v>
      </c>
      <c r="F645" s="9" t="s">
        <v>1940</v>
      </c>
      <c r="G645" s="9">
        <v>137</v>
      </c>
      <c r="H645" s="9">
        <v>160</v>
      </c>
      <c r="I645" s="9">
        <v>14</v>
      </c>
      <c r="J645" s="11">
        <v>4.4000000000000004</v>
      </c>
      <c r="K645" s="9">
        <v>6537</v>
      </c>
      <c r="L645" s="9">
        <v>4.2847943193049014</v>
      </c>
      <c r="M645" s="9" t="s">
        <v>28</v>
      </c>
      <c r="N645" s="9" t="s">
        <v>29</v>
      </c>
      <c r="O645" s="9">
        <v>58.5</v>
      </c>
      <c r="P645" s="9" t="s">
        <v>53</v>
      </c>
      <c r="Q645" s="9" t="b">
        <v>0</v>
      </c>
      <c r="R645" s="9" t="b">
        <v>0</v>
      </c>
      <c r="S645" s="9" t="b">
        <v>0</v>
      </c>
      <c r="U645" s="9">
        <v>1</v>
      </c>
      <c r="V645" s="9" t="b">
        <v>1</v>
      </c>
      <c r="W645" s="9" t="s">
        <v>2056</v>
      </c>
    </row>
    <row r="646" spans="1:23" ht="29" customHeight="1" x14ac:dyDescent="0.2">
      <c r="A646" s="9" t="s">
        <v>2057</v>
      </c>
      <c r="B646" s="10" t="s">
        <v>2058</v>
      </c>
      <c r="C646" s="9" t="s">
        <v>25</v>
      </c>
      <c r="D646" s="9" t="s">
        <v>25</v>
      </c>
      <c r="E646" s="9" t="s">
        <v>26</v>
      </c>
      <c r="F646" s="9" t="s">
        <v>1851</v>
      </c>
      <c r="G646" s="9">
        <v>299</v>
      </c>
      <c r="H646" s="9">
        <v>499</v>
      </c>
      <c r="I646" s="9">
        <v>40</v>
      </c>
      <c r="J646" s="11">
        <v>4.5</v>
      </c>
      <c r="K646" s="9">
        <v>21010</v>
      </c>
      <c r="L646" s="9">
        <v>4.4369134763015774</v>
      </c>
      <c r="M646" s="9" t="s">
        <v>28</v>
      </c>
      <c r="N646" s="9" t="s">
        <v>29</v>
      </c>
      <c r="O646" s="9">
        <v>71.400000000000006</v>
      </c>
      <c r="P646" s="9" t="s">
        <v>36</v>
      </c>
      <c r="Q646" s="9" t="b">
        <v>0</v>
      </c>
      <c r="R646" s="9" t="b">
        <v>0</v>
      </c>
      <c r="S646" s="9" t="b">
        <v>0</v>
      </c>
      <c r="U646" s="9">
        <v>1</v>
      </c>
      <c r="V646" s="9" t="b">
        <v>1</v>
      </c>
      <c r="W646" s="9" t="s">
        <v>2059</v>
      </c>
    </row>
    <row r="647" spans="1:23" ht="29" customHeight="1" x14ac:dyDescent="0.2">
      <c r="A647" s="9" t="s">
        <v>2060</v>
      </c>
      <c r="B647" s="10" t="s">
        <v>2061</v>
      </c>
      <c r="C647" s="9" t="s">
        <v>44</v>
      </c>
      <c r="D647" s="9" t="s">
        <v>44</v>
      </c>
      <c r="E647" s="9" t="s">
        <v>1009</v>
      </c>
      <c r="F647" s="9" t="s">
        <v>1010</v>
      </c>
      <c r="G647" s="9">
        <v>1799</v>
      </c>
      <c r="H647" s="9">
        <v>3999</v>
      </c>
      <c r="I647" s="9">
        <v>55</v>
      </c>
      <c r="J647" s="11">
        <v>3.9</v>
      </c>
      <c r="K647" s="9">
        <v>3517</v>
      </c>
      <c r="L647" s="9">
        <v>3.9954308800990201</v>
      </c>
      <c r="M647" s="9" t="s">
        <v>28</v>
      </c>
      <c r="N647" s="9" t="s">
        <v>179</v>
      </c>
      <c r="O647" s="9">
        <v>30</v>
      </c>
      <c r="P647" s="9" t="s">
        <v>40</v>
      </c>
      <c r="Q647" s="9" t="b">
        <v>0</v>
      </c>
      <c r="R647" s="9" t="b">
        <v>0</v>
      </c>
      <c r="S647" s="9" t="b">
        <v>0</v>
      </c>
      <c r="T647" s="9">
        <v>1.9</v>
      </c>
      <c r="U647" s="9">
        <v>1</v>
      </c>
      <c r="V647" s="9" t="b">
        <v>1</v>
      </c>
      <c r="W647" s="9" t="s">
        <v>2062</v>
      </c>
    </row>
    <row r="648" spans="1:23" ht="29" customHeight="1" x14ac:dyDescent="0.2">
      <c r="A648" s="9" t="s">
        <v>2063</v>
      </c>
      <c r="B648" s="10" t="s">
        <v>2064</v>
      </c>
      <c r="C648" s="9" t="s">
        <v>44</v>
      </c>
      <c r="D648" s="9" t="s">
        <v>44</v>
      </c>
      <c r="E648" s="9" t="s">
        <v>359</v>
      </c>
      <c r="F648" s="9" t="s">
        <v>1903</v>
      </c>
      <c r="G648" s="9">
        <v>1999</v>
      </c>
      <c r="H648" s="9">
        <v>2999</v>
      </c>
      <c r="I648" s="9">
        <v>33</v>
      </c>
      <c r="J648" s="11">
        <v>4.3</v>
      </c>
      <c r="K648" s="9">
        <v>63899</v>
      </c>
      <c r="L648" s="9">
        <v>4.2880240475260054</v>
      </c>
      <c r="M648" s="9" t="s">
        <v>28</v>
      </c>
      <c r="N648" s="9" t="s">
        <v>179</v>
      </c>
      <c r="O648" s="9">
        <v>58.6</v>
      </c>
      <c r="P648" s="9" t="s">
        <v>53</v>
      </c>
      <c r="Q648" s="9" t="b">
        <v>0</v>
      </c>
      <c r="R648" s="9" t="b">
        <v>0</v>
      </c>
      <c r="S648" s="9" t="b">
        <v>0</v>
      </c>
      <c r="U648" s="9">
        <v>1</v>
      </c>
      <c r="V648" s="9" t="b">
        <v>1</v>
      </c>
      <c r="W648" s="9" t="s">
        <v>2065</v>
      </c>
    </row>
    <row r="649" spans="1:23" ht="29" customHeight="1" x14ac:dyDescent="0.2">
      <c r="A649" s="9" t="s">
        <v>2066</v>
      </c>
      <c r="B649" s="10" t="s">
        <v>2067</v>
      </c>
      <c r="C649" s="9" t="s">
        <v>25</v>
      </c>
      <c r="D649" s="9" t="s">
        <v>25</v>
      </c>
      <c r="E649" s="9" t="s">
        <v>26</v>
      </c>
      <c r="F649" s="9" t="s">
        <v>1272</v>
      </c>
      <c r="G649" s="9">
        <v>399</v>
      </c>
      <c r="H649" s="9">
        <v>1499</v>
      </c>
      <c r="I649" s="9">
        <v>73</v>
      </c>
      <c r="J649" s="11">
        <v>4.0999999999999996</v>
      </c>
      <c r="K649" s="9">
        <v>5730</v>
      </c>
      <c r="L649" s="9">
        <v>4.0939098332031403</v>
      </c>
      <c r="M649" s="9" t="s">
        <v>28</v>
      </c>
      <c r="N649" s="9" t="s">
        <v>29</v>
      </c>
      <c r="O649" s="9">
        <v>58.9</v>
      </c>
      <c r="P649" s="9" t="s">
        <v>53</v>
      </c>
      <c r="Q649" s="9" t="b">
        <v>0</v>
      </c>
      <c r="R649" s="9" t="b">
        <v>0</v>
      </c>
      <c r="S649" s="9" t="b">
        <v>0</v>
      </c>
      <c r="T649" s="9">
        <v>1.03</v>
      </c>
      <c r="U649" s="9">
        <v>1</v>
      </c>
      <c r="V649" s="9" t="b">
        <v>1</v>
      </c>
      <c r="W649" s="9" t="s">
        <v>2068</v>
      </c>
    </row>
    <row r="650" spans="1:23" ht="29" customHeight="1" x14ac:dyDescent="0.2">
      <c r="A650" s="9" t="s">
        <v>2069</v>
      </c>
      <c r="B650" s="10" t="s">
        <v>2070</v>
      </c>
      <c r="C650" s="9" t="s">
        <v>25</v>
      </c>
      <c r="D650" s="9" t="s">
        <v>25</v>
      </c>
      <c r="E650" s="9" t="s">
        <v>26</v>
      </c>
      <c r="F650" s="9" t="s">
        <v>2071</v>
      </c>
      <c r="G650" s="9">
        <v>1699</v>
      </c>
      <c r="H650" s="9">
        <v>3999</v>
      </c>
      <c r="I650" s="9">
        <v>58</v>
      </c>
      <c r="J650" s="11">
        <v>4.2</v>
      </c>
      <c r="K650" s="9">
        <v>25488</v>
      </c>
      <c r="L650" s="9">
        <v>4.1851605644922589</v>
      </c>
      <c r="M650" s="9" t="s">
        <v>28</v>
      </c>
      <c r="N650" s="9" t="s">
        <v>179</v>
      </c>
      <c r="O650" s="9">
        <v>59.9</v>
      </c>
      <c r="P650" s="9" t="s">
        <v>53</v>
      </c>
      <c r="Q650" s="9" t="b">
        <v>0</v>
      </c>
      <c r="R650" s="9" t="b">
        <v>0</v>
      </c>
      <c r="S650" s="9" t="b">
        <v>0</v>
      </c>
      <c r="U650" s="9">
        <v>1</v>
      </c>
      <c r="V650" s="9" t="b">
        <v>1</v>
      </c>
      <c r="W650" s="9" t="s">
        <v>2072</v>
      </c>
    </row>
    <row r="651" spans="1:23" ht="29" customHeight="1" x14ac:dyDescent="0.2">
      <c r="A651" s="9" t="s">
        <v>2073</v>
      </c>
      <c r="B651" s="10" t="s">
        <v>2074</v>
      </c>
      <c r="C651" s="9" t="s">
        <v>25</v>
      </c>
      <c r="D651" s="9" t="s">
        <v>25</v>
      </c>
      <c r="E651" s="9" t="s">
        <v>26</v>
      </c>
      <c r="F651" s="9" t="s">
        <v>1656</v>
      </c>
      <c r="G651" s="9">
        <v>699</v>
      </c>
      <c r="H651" s="9">
        <v>995</v>
      </c>
      <c r="I651" s="9">
        <v>30</v>
      </c>
      <c r="J651" s="11">
        <v>4.5</v>
      </c>
      <c r="K651" s="9">
        <v>54405</v>
      </c>
      <c r="L651" s="9">
        <v>4.4731325756080427</v>
      </c>
      <c r="M651" s="9" t="s">
        <v>28</v>
      </c>
      <c r="N651" s="9" t="s">
        <v>93</v>
      </c>
      <c r="O651" s="9">
        <v>62.2</v>
      </c>
      <c r="P651" s="9" t="s">
        <v>36</v>
      </c>
      <c r="Q651" s="9" t="b">
        <v>0</v>
      </c>
      <c r="R651" s="9" t="b">
        <v>0</v>
      </c>
      <c r="S651" s="9" t="b">
        <v>0</v>
      </c>
      <c r="T651" s="9">
        <v>1.22</v>
      </c>
      <c r="U651" s="9">
        <v>1</v>
      </c>
      <c r="V651" s="9" t="b">
        <v>1</v>
      </c>
      <c r="W651" s="9" t="s">
        <v>2075</v>
      </c>
    </row>
    <row r="652" spans="1:23" ht="29" customHeight="1" x14ac:dyDescent="0.2">
      <c r="A652" s="9" t="s">
        <v>2076</v>
      </c>
      <c r="B652" s="10" t="s">
        <v>2077</v>
      </c>
      <c r="C652" s="9" t="s">
        <v>44</v>
      </c>
      <c r="D652" s="9" t="s">
        <v>44</v>
      </c>
      <c r="E652" s="9" t="s">
        <v>981</v>
      </c>
      <c r="F652" s="9" t="s">
        <v>1460</v>
      </c>
      <c r="G652" s="9">
        <v>95</v>
      </c>
      <c r="H652" s="9">
        <v>499</v>
      </c>
      <c r="I652" s="9">
        <v>81</v>
      </c>
      <c r="J652" s="11">
        <v>4.2</v>
      </c>
      <c r="K652" s="9">
        <v>1949</v>
      </c>
      <c r="L652" s="9">
        <v>4.1240022921615713</v>
      </c>
      <c r="M652" s="9" t="s">
        <v>28</v>
      </c>
      <c r="N652" s="9" t="s">
        <v>29</v>
      </c>
      <c r="O652" s="9">
        <v>79.8</v>
      </c>
      <c r="P652" s="9" t="s">
        <v>36</v>
      </c>
      <c r="Q652" s="9" t="b">
        <v>0</v>
      </c>
      <c r="R652" s="9" t="b">
        <v>0</v>
      </c>
      <c r="S652" s="9" t="b">
        <v>0</v>
      </c>
      <c r="U652" s="9">
        <v>2</v>
      </c>
      <c r="V652" s="9" t="b">
        <v>0</v>
      </c>
      <c r="W652" s="9" t="s">
        <v>2078</v>
      </c>
    </row>
    <row r="653" spans="1:23" ht="29" customHeight="1" x14ac:dyDescent="0.2">
      <c r="A653" s="9" t="s">
        <v>2079</v>
      </c>
      <c r="B653" s="10" t="s">
        <v>2080</v>
      </c>
      <c r="C653" s="9" t="s">
        <v>25</v>
      </c>
      <c r="D653" s="9" t="s">
        <v>25</v>
      </c>
      <c r="E653" s="9" t="s">
        <v>34</v>
      </c>
      <c r="F653" s="9" t="s">
        <v>1877</v>
      </c>
      <c r="G653" s="9">
        <v>1149</v>
      </c>
      <c r="H653" s="9">
        <v>1699</v>
      </c>
      <c r="I653" s="9">
        <v>32</v>
      </c>
      <c r="J653" s="11">
        <v>4.2</v>
      </c>
      <c r="K653" s="9">
        <v>122478</v>
      </c>
      <c r="L653" s="9">
        <v>4.1965616350670416</v>
      </c>
      <c r="M653" s="9" t="s">
        <v>28</v>
      </c>
      <c r="N653" s="9" t="s">
        <v>179</v>
      </c>
      <c r="O653" s="9">
        <v>58</v>
      </c>
      <c r="P653" s="9" t="s">
        <v>53</v>
      </c>
      <c r="Q653" s="9" t="b">
        <v>0</v>
      </c>
      <c r="R653" s="9" t="b">
        <v>0</v>
      </c>
      <c r="S653" s="9" t="b">
        <v>0</v>
      </c>
      <c r="U653" s="9">
        <v>1</v>
      </c>
      <c r="V653" s="9" t="b">
        <v>1</v>
      </c>
      <c r="W653" s="9" t="s">
        <v>2081</v>
      </c>
    </row>
    <row r="654" spans="1:23" ht="29" customHeight="1" x14ac:dyDescent="0.2">
      <c r="A654" s="9" t="s">
        <v>2082</v>
      </c>
      <c r="B654" s="10" t="s">
        <v>2083</v>
      </c>
      <c r="C654" s="9" t="s">
        <v>25</v>
      </c>
      <c r="D654" s="9" t="s">
        <v>25</v>
      </c>
      <c r="E654" s="9" t="s">
        <v>26</v>
      </c>
      <c r="F654" s="9" t="s">
        <v>1755</v>
      </c>
      <c r="G654" s="9">
        <v>1495</v>
      </c>
      <c r="H654" s="9">
        <v>1995</v>
      </c>
      <c r="I654" s="9">
        <v>25</v>
      </c>
      <c r="J654" s="11">
        <v>4.3</v>
      </c>
      <c r="K654" s="9">
        <v>7241</v>
      </c>
      <c r="L654" s="9">
        <v>4.2263588032608546</v>
      </c>
      <c r="M654" s="9" t="s">
        <v>28</v>
      </c>
      <c r="N654" s="9" t="s">
        <v>179</v>
      </c>
      <c r="O654" s="9">
        <v>49.7</v>
      </c>
      <c r="P654" s="9" t="s">
        <v>30</v>
      </c>
      <c r="Q654" s="9" t="b">
        <v>0</v>
      </c>
      <c r="R654" s="9" t="b">
        <v>0</v>
      </c>
      <c r="S654" s="9" t="b">
        <v>0</v>
      </c>
      <c r="T654" s="9">
        <v>1.1299999999999999</v>
      </c>
      <c r="U654" s="9">
        <v>1</v>
      </c>
      <c r="V654" s="9" t="b">
        <v>1</v>
      </c>
      <c r="W654" s="9" t="s">
        <v>2084</v>
      </c>
    </row>
    <row r="655" spans="1:23" ht="29" customHeight="1" x14ac:dyDescent="0.2">
      <c r="A655" s="9" t="s">
        <v>2085</v>
      </c>
      <c r="B655" s="10" t="s">
        <v>2086</v>
      </c>
      <c r="C655" s="9" t="s">
        <v>25</v>
      </c>
      <c r="D655" s="9" t="s">
        <v>25</v>
      </c>
      <c r="E655" s="9" t="s">
        <v>26</v>
      </c>
      <c r="F655" s="9" t="s">
        <v>1667</v>
      </c>
      <c r="G655" s="9">
        <v>849</v>
      </c>
      <c r="H655" s="9">
        <v>4999</v>
      </c>
      <c r="I655" s="9">
        <v>83</v>
      </c>
      <c r="J655" s="11">
        <v>4</v>
      </c>
      <c r="K655" s="9">
        <v>20457</v>
      </c>
      <c r="L655" s="9">
        <v>4.0131480456525033</v>
      </c>
      <c r="M655" s="9" t="s">
        <v>28</v>
      </c>
      <c r="N655" s="9" t="s">
        <v>93</v>
      </c>
      <c r="O655" s="9">
        <v>41.8</v>
      </c>
      <c r="P655" s="9" t="s">
        <v>30</v>
      </c>
      <c r="Q655" s="9" t="b">
        <v>0</v>
      </c>
      <c r="R655" s="9" t="b">
        <v>0</v>
      </c>
      <c r="S655" s="9" t="b">
        <v>0</v>
      </c>
      <c r="T655" s="9">
        <v>1.48</v>
      </c>
      <c r="U655" s="9">
        <v>1</v>
      </c>
      <c r="V655" s="9" t="b">
        <v>1</v>
      </c>
      <c r="W655" s="9" t="s">
        <v>2087</v>
      </c>
    </row>
    <row r="656" spans="1:23" ht="29" customHeight="1" x14ac:dyDescent="0.2">
      <c r="A656" s="9" t="s">
        <v>2088</v>
      </c>
      <c r="B656" s="10" t="s">
        <v>2089</v>
      </c>
      <c r="C656" s="9" t="s">
        <v>1735</v>
      </c>
      <c r="D656" s="9" t="s">
        <v>1724</v>
      </c>
      <c r="E656" s="9" t="s">
        <v>1799</v>
      </c>
      <c r="F656" s="9" t="s">
        <v>2090</v>
      </c>
      <c r="G656" s="9">
        <v>440</v>
      </c>
      <c r="H656" s="9">
        <v>440</v>
      </c>
      <c r="I656" s="9">
        <v>0</v>
      </c>
      <c r="J656" s="11">
        <v>4.5</v>
      </c>
      <c r="K656" s="9">
        <v>8610</v>
      </c>
      <c r="L656" s="9">
        <v>4.3736867320008743</v>
      </c>
      <c r="M656" s="9" t="s">
        <v>28</v>
      </c>
      <c r="N656" s="9" t="s">
        <v>29</v>
      </c>
      <c r="O656" s="9">
        <v>60.3</v>
      </c>
      <c r="P656" s="9" t="s">
        <v>53</v>
      </c>
      <c r="Q656" s="9" t="b">
        <v>0</v>
      </c>
      <c r="R656" s="9" t="b">
        <v>0</v>
      </c>
      <c r="S656" s="9" t="b">
        <v>0</v>
      </c>
      <c r="U656" s="9">
        <v>1</v>
      </c>
      <c r="V656" s="9" t="b">
        <v>1</v>
      </c>
      <c r="W656" s="9" t="s">
        <v>2091</v>
      </c>
    </row>
    <row r="657" spans="1:23" ht="29" customHeight="1" x14ac:dyDescent="0.2">
      <c r="A657" s="9" t="s">
        <v>2092</v>
      </c>
      <c r="B657" s="10" t="s">
        <v>2093</v>
      </c>
      <c r="C657" s="9" t="s">
        <v>25</v>
      </c>
      <c r="D657" s="9" t="s">
        <v>25</v>
      </c>
      <c r="E657" s="9" t="s">
        <v>26</v>
      </c>
      <c r="F657" s="9" t="s">
        <v>1667</v>
      </c>
      <c r="G657" s="9">
        <v>599</v>
      </c>
      <c r="H657" s="9">
        <v>3999</v>
      </c>
      <c r="I657" s="9">
        <v>85</v>
      </c>
      <c r="J657" s="11">
        <v>3.9</v>
      </c>
      <c r="K657" s="9">
        <v>1087</v>
      </c>
      <c r="L657" s="9">
        <v>4.0432496322674121</v>
      </c>
      <c r="M657" s="9" t="s">
        <v>28</v>
      </c>
      <c r="N657" s="9" t="s">
        <v>93</v>
      </c>
      <c r="O657" s="9">
        <v>47.4</v>
      </c>
      <c r="P657" s="9" t="s">
        <v>30</v>
      </c>
      <c r="Q657" s="9" t="b">
        <v>0</v>
      </c>
      <c r="R657" s="9" t="b">
        <v>0</v>
      </c>
      <c r="S657" s="9" t="b">
        <v>0</v>
      </c>
      <c r="T657" s="9">
        <v>1.04</v>
      </c>
      <c r="U657" s="9">
        <v>1</v>
      </c>
      <c r="V657" s="9" t="b">
        <v>1</v>
      </c>
      <c r="W657" s="9" t="s">
        <v>2094</v>
      </c>
    </row>
    <row r="658" spans="1:23" ht="29" customHeight="1" x14ac:dyDescent="0.2">
      <c r="A658" s="9" t="s">
        <v>2095</v>
      </c>
      <c r="B658" s="10" t="s">
        <v>2096</v>
      </c>
      <c r="C658" s="9" t="s">
        <v>25</v>
      </c>
      <c r="D658" s="9" t="s">
        <v>25</v>
      </c>
      <c r="E658" s="9" t="s">
        <v>26</v>
      </c>
      <c r="F658" s="9" t="s">
        <v>1964</v>
      </c>
      <c r="G658" s="9">
        <v>149</v>
      </c>
      <c r="H658" s="9">
        <v>399</v>
      </c>
      <c r="I658" s="9">
        <v>63</v>
      </c>
      <c r="J658" s="11">
        <v>4</v>
      </c>
      <c r="K658" s="9">
        <v>1540</v>
      </c>
      <c r="L658" s="9">
        <v>4.0600545198832281</v>
      </c>
      <c r="M658" s="9" t="s">
        <v>28</v>
      </c>
      <c r="N658" s="9" t="s">
        <v>29</v>
      </c>
      <c r="O658" s="9">
        <v>53.1</v>
      </c>
      <c r="P658" s="9" t="s">
        <v>53</v>
      </c>
      <c r="Q658" s="9" t="b">
        <v>0</v>
      </c>
      <c r="R658" s="9" t="b">
        <v>0</v>
      </c>
      <c r="S658" s="9" t="b">
        <v>0</v>
      </c>
      <c r="U658" s="9">
        <v>1</v>
      </c>
      <c r="V658" s="9" t="b">
        <v>1</v>
      </c>
      <c r="W658" s="9" t="s">
        <v>2097</v>
      </c>
    </row>
    <row r="659" spans="1:23" ht="29" customHeight="1" x14ac:dyDescent="0.2">
      <c r="A659" s="9" t="s">
        <v>2098</v>
      </c>
      <c r="B659" s="10" t="s">
        <v>2099</v>
      </c>
      <c r="C659" s="9" t="s">
        <v>25</v>
      </c>
      <c r="D659" s="9" t="s">
        <v>25</v>
      </c>
      <c r="E659" s="9" t="s">
        <v>26</v>
      </c>
      <c r="F659" s="9" t="s">
        <v>1660</v>
      </c>
      <c r="G659" s="9">
        <v>289</v>
      </c>
      <c r="H659" s="9">
        <v>999</v>
      </c>
      <c r="I659" s="9">
        <v>71</v>
      </c>
      <c r="J659" s="11">
        <v>4.0999999999999996</v>
      </c>
      <c r="K659" s="9">
        <v>401</v>
      </c>
      <c r="L659" s="9">
        <v>4.0861148292736438</v>
      </c>
      <c r="M659" s="9" t="s">
        <v>89</v>
      </c>
      <c r="N659" s="9" t="s">
        <v>29</v>
      </c>
      <c r="O659" s="9">
        <v>57.4</v>
      </c>
      <c r="P659" s="9" t="s">
        <v>53</v>
      </c>
      <c r="Q659" s="9" t="b">
        <v>0</v>
      </c>
      <c r="R659" s="9" t="b">
        <v>0</v>
      </c>
      <c r="S659" s="9" t="b">
        <v>0</v>
      </c>
      <c r="T659" s="9">
        <v>1</v>
      </c>
      <c r="U659" s="9">
        <v>1</v>
      </c>
      <c r="V659" s="9" t="b">
        <v>1</v>
      </c>
      <c r="W659" s="9" t="s">
        <v>2100</v>
      </c>
    </row>
    <row r="660" spans="1:23" ht="29" customHeight="1" x14ac:dyDescent="0.2">
      <c r="A660" s="9" t="s">
        <v>2101</v>
      </c>
      <c r="B660" s="10" t="s">
        <v>2102</v>
      </c>
      <c r="C660" s="9" t="s">
        <v>25</v>
      </c>
      <c r="D660" s="9" t="s">
        <v>25</v>
      </c>
      <c r="E660" s="9" t="s">
        <v>26</v>
      </c>
      <c r="F660" s="9" t="s">
        <v>2103</v>
      </c>
      <c r="G660" s="9">
        <v>179</v>
      </c>
      <c r="H660" s="9">
        <v>499</v>
      </c>
      <c r="I660" s="9">
        <v>64</v>
      </c>
      <c r="J660" s="11">
        <v>3.4</v>
      </c>
      <c r="K660" s="9">
        <v>9385</v>
      </c>
      <c r="L660" s="9">
        <v>3.5959261526283179</v>
      </c>
      <c r="M660" s="9" t="s">
        <v>28</v>
      </c>
      <c r="N660" s="9" t="s">
        <v>29</v>
      </c>
      <c r="O660" s="9">
        <v>38.700000000000003</v>
      </c>
      <c r="P660" s="9" t="s">
        <v>30</v>
      </c>
      <c r="Q660" s="9" t="b">
        <v>0</v>
      </c>
      <c r="R660" s="9" t="b">
        <v>0</v>
      </c>
      <c r="S660" s="9" t="b">
        <v>1</v>
      </c>
      <c r="U660" s="9">
        <v>1</v>
      </c>
      <c r="V660" s="9" t="b">
        <v>1</v>
      </c>
      <c r="W660" s="9" t="s">
        <v>2104</v>
      </c>
    </row>
    <row r="661" spans="1:23" ht="29" customHeight="1" x14ac:dyDescent="0.2">
      <c r="A661" s="9" t="s">
        <v>2105</v>
      </c>
      <c r="B661" s="10" t="s">
        <v>2106</v>
      </c>
      <c r="C661" s="9" t="s">
        <v>44</v>
      </c>
      <c r="D661" s="9" t="s">
        <v>44</v>
      </c>
      <c r="E661" s="9" t="s">
        <v>976</v>
      </c>
      <c r="F661" s="9" t="s">
        <v>977</v>
      </c>
      <c r="G661" s="9">
        <v>1499</v>
      </c>
      <c r="H661" s="9">
        <v>4999</v>
      </c>
      <c r="I661" s="9">
        <v>70</v>
      </c>
      <c r="J661" s="11">
        <v>4</v>
      </c>
      <c r="K661" s="9">
        <v>92588</v>
      </c>
      <c r="L661" s="9">
        <v>4.0033050071528518</v>
      </c>
      <c r="M661" s="9" t="s">
        <v>28</v>
      </c>
      <c r="N661" s="9" t="s">
        <v>179</v>
      </c>
      <c r="O661" s="9">
        <v>44.9</v>
      </c>
      <c r="P661" s="9" t="s">
        <v>30</v>
      </c>
      <c r="Q661" s="9" t="b">
        <v>0</v>
      </c>
      <c r="R661" s="9" t="b">
        <v>0</v>
      </c>
      <c r="S661" s="9" t="b">
        <v>0</v>
      </c>
      <c r="T661" s="9">
        <v>0.68</v>
      </c>
      <c r="U661" s="9">
        <v>2</v>
      </c>
      <c r="V661" s="9" t="b">
        <v>0</v>
      </c>
      <c r="W661" s="9" t="s">
        <v>2107</v>
      </c>
    </row>
    <row r="662" spans="1:23" ht="29" customHeight="1" x14ac:dyDescent="0.2">
      <c r="A662" s="9" t="s">
        <v>2108</v>
      </c>
      <c r="B662" s="10" t="s">
        <v>2109</v>
      </c>
      <c r="C662" s="9" t="s">
        <v>44</v>
      </c>
      <c r="D662" s="9" t="s">
        <v>44</v>
      </c>
      <c r="E662" s="9" t="s">
        <v>1009</v>
      </c>
      <c r="F662" s="9" t="s">
        <v>1010</v>
      </c>
      <c r="G662" s="9">
        <v>399</v>
      </c>
      <c r="H662" s="9">
        <v>699</v>
      </c>
      <c r="I662" s="9">
        <v>43</v>
      </c>
      <c r="J662" s="11">
        <v>3.4</v>
      </c>
      <c r="K662" s="9">
        <v>3454</v>
      </c>
      <c r="L662" s="9">
        <v>3.7569513048819809</v>
      </c>
      <c r="M662" s="9" t="s">
        <v>28</v>
      </c>
      <c r="N662" s="9" t="s">
        <v>29</v>
      </c>
      <c r="O662" s="9">
        <v>29.2</v>
      </c>
      <c r="P662" s="9" t="s">
        <v>40</v>
      </c>
      <c r="Q662" s="9" t="b">
        <v>0</v>
      </c>
      <c r="R662" s="9" t="b">
        <v>0</v>
      </c>
      <c r="S662" s="9" t="b">
        <v>1</v>
      </c>
      <c r="T662" s="9">
        <v>0.42</v>
      </c>
      <c r="U662" s="9">
        <v>1</v>
      </c>
      <c r="V662" s="9" t="b">
        <v>1</v>
      </c>
      <c r="W662" s="9" t="s">
        <v>2110</v>
      </c>
    </row>
    <row r="663" spans="1:23" ht="29" customHeight="1" x14ac:dyDescent="0.2">
      <c r="A663" s="9" t="s">
        <v>2111</v>
      </c>
      <c r="B663" s="10" t="s">
        <v>2112</v>
      </c>
      <c r="C663" s="9" t="s">
        <v>25</v>
      </c>
      <c r="D663" s="9" t="s">
        <v>25</v>
      </c>
      <c r="E663" s="9" t="s">
        <v>26</v>
      </c>
      <c r="F663" s="9" t="s">
        <v>1839</v>
      </c>
      <c r="G663" s="9">
        <v>599</v>
      </c>
      <c r="H663" s="9">
        <v>799</v>
      </c>
      <c r="I663" s="9">
        <v>25</v>
      </c>
      <c r="J663" s="11">
        <v>4.3</v>
      </c>
      <c r="K663" s="9">
        <v>15790</v>
      </c>
      <c r="L663" s="9">
        <v>4.2585571712916916</v>
      </c>
      <c r="M663" s="9" t="s">
        <v>28</v>
      </c>
      <c r="N663" s="9" t="s">
        <v>93</v>
      </c>
      <c r="O663" s="9">
        <v>54.4</v>
      </c>
      <c r="P663" s="9" t="s">
        <v>53</v>
      </c>
      <c r="Q663" s="9" t="b">
        <v>0</v>
      </c>
      <c r="R663" s="9" t="b">
        <v>0</v>
      </c>
      <c r="S663" s="9" t="b">
        <v>0</v>
      </c>
      <c r="U663" s="9">
        <v>1</v>
      </c>
      <c r="V663" s="9" t="b">
        <v>1</v>
      </c>
      <c r="W663" s="9" t="s">
        <v>2113</v>
      </c>
    </row>
    <row r="664" spans="1:23" ht="29" customHeight="1" x14ac:dyDescent="0.2">
      <c r="A664" s="9" t="s">
        <v>2114</v>
      </c>
      <c r="B664" s="10" t="s">
        <v>2115</v>
      </c>
      <c r="C664" s="9" t="s">
        <v>25</v>
      </c>
      <c r="D664" s="9" t="s">
        <v>25</v>
      </c>
      <c r="E664" s="9" t="s">
        <v>26</v>
      </c>
      <c r="F664" s="9" t="s">
        <v>2116</v>
      </c>
      <c r="G664" s="9">
        <v>949</v>
      </c>
      <c r="H664" s="9">
        <v>2000</v>
      </c>
      <c r="I664" s="9">
        <v>53</v>
      </c>
      <c r="J664" s="11">
        <v>3.9</v>
      </c>
      <c r="K664" s="9">
        <v>14969</v>
      </c>
      <c r="L664" s="9">
        <v>3.9370866770776942</v>
      </c>
      <c r="M664" s="9" t="s">
        <v>28</v>
      </c>
      <c r="N664" s="9" t="s">
        <v>93</v>
      </c>
      <c r="O664" s="9">
        <v>25.8</v>
      </c>
      <c r="P664" s="9" t="s">
        <v>40</v>
      </c>
      <c r="Q664" s="9" t="b">
        <v>0</v>
      </c>
      <c r="R664" s="9" t="b">
        <v>0</v>
      </c>
      <c r="S664" s="9" t="b">
        <v>0</v>
      </c>
      <c r="U664" s="9">
        <v>1</v>
      </c>
      <c r="V664" s="9" t="b">
        <v>1</v>
      </c>
      <c r="W664" s="9" t="s">
        <v>2117</v>
      </c>
    </row>
    <row r="665" spans="1:23" ht="29" customHeight="1" x14ac:dyDescent="0.2">
      <c r="A665" s="9" t="s">
        <v>2118</v>
      </c>
      <c r="B665" s="10" t="s">
        <v>2119</v>
      </c>
      <c r="C665" s="9" t="s">
        <v>44</v>
      </c>
      <c r="D665" s="9" t="s">
        <v>44</v>
      </c>
      <c r="E665" s="9" t="s">
        <v>976</v>
      </c>
      <c r="F665" s="9" t="s">
        <v>977</v>
      </c>
      <c r="G665" s="9">
        <v>2499</v>
      </c>
      <c r="H665" s="9">
        <v>9999</v>
      </c>
      <c r="I665" s="9">
        <v>75</v>
      </c>
      <c r="J665" s="11">
        <v>4.0999999999999996</v>
      </c>
      <c r="K665" s="9">
        <v>42139</v>
      </c>
      <c r="L665" s="9">
        <v>4.0987405442454126</v>
      </c>
      <c r="M665" s="9" t="s">
        <v>28</v>
      </c>
      <c r="N665" s="9" t="s">
        <v>179</v>
      </c>
      <c r="O665" s="9">
        <v>62.4</v>
      </c>
      <c r="P665" s="9" t="s">
        <v>36</v>
      </c>
      <c r="Q665" s="9" t="b">
        <v>0</v>
      </c>
      <c r="R665" s="9" t="b">
        <v>0</v>
      </c>
      <c r="S665" s="9" t="b">
        <v>0</v>
      </c>
      <c r="T665" s="9">
        <v>1.1399999999999999</v>
      </c>
      <c r="U665" s="9">
        <v>1</v>
      </c>
      <c r="V665" s="9" t="b">
        <v>1</v>
      </c>
      <c r="W665" s="9" t="s">
        <v>2120</v>
      </c>
    </row>
    <row r="666" spans="1:23" ht="29" customHeight="1" x14ac:dyDescent="0.2">
      <c r="A666" s="9" t="s">
        <v>2121</v>
      </c>
      <c r="B666" s="10" t="s">
        <v>2122</v>
      </c>
      <c r="C666" s="9" t="s">
        <v>44</v>
      </c>
      <c r="D666" s="9" t="s">
        <v>44</v>
      </c>
      <c r="E666" s="9" t="s">
        <v>1730</v>
      </c>
      <c r="F666" s="9" t="s">
        <v>1731</v>
      </c>
      <c r="G666" s="9">
        <v>159</v>
      </c>
      <c r="H666" s="9">
        <v>180</v>
      </c>
      <c r="I666" s="9">
        <v>12</v>
      </c>
      <c r="J666" s="11">
        <v>4.3</v>
      </c>
      <c r="K666" s="9">
        <v>989</v>
      </c>
      <c r="L666" s="9">
        <v>4.1294620839063061</v>
      </c>
      <c r="M666" s="9" t="s">
        <v>89</v>
      </c>
      <c r="N666" s="9" t="s">
        <v>29</v>
      </c>
      <c r="O666" s="9">
        <v>47.1</v>
      </c>
      <c r="P666" s="9" t="s">
        <v>30</v>
      </c>
      <c r="Q666" s="9" t="b">
        <v>0</v>
      </c>
      <c r="R666" s="9" t="b">
        <v>0</v>
      </c>
      <c r="S666" s="9" t="b">
        <v>0</v>
      </c>
      <c r="U666" s="9">
        <v>1</v>
      </c>
      <c r="V666" s="9" t="b">
        <v>1</v>
      </c>
      <c r="W666" s="9" t="s">
        <v>2123</v>
      </c>
    </row>
    <row r="667" spans="1:23" ht="29" customHeight="1" x14ac:dyDescent="0.2">
      <c r="A667" s="9" t="s">
        <v>2124</v>
      </c>
      <c r="B667" s="10" t="s">
        <v>2125</v>
      </c>
      <c r="C667" s="9" t="s">
        <v>44</v>
      </c>
      <c r="D667" s="9" t="s">
        <v>44</v>
      </c>
      <c r="E667" s="9" t="s">
        <v>1026</v>
      </c>
      <c r="F667" s="9" t="s">
        <v>1027</v>
      </c>
      <c r="G667" s="9">
        <v>1329</v>
      </c>
      <c r="H667" s="9">
        <v>2900</v>
      </c>
      <c r="I667" s="9">
        <v>54</v>
      </c>
      <c r="J667" s="11">
        <v>4.5</v>
      </c>
      <c r="K667" s="9">
        <v>19624</v>
      </c>
      <c r="L667" s="9">
        <v>4.4331746559630902</v>
      </c>
      <c r="M667" s="9" t="s">
        <v>28</v>
      </c>
      <c r="N667" s="9" t="s">
        <v>179</v>
      </c>
      <c r="O667" s="9">
        <v>72</v>
      </c>
      <c r="P667" s="9" t="s">
        <v>36</v>
      </c>
      <c r="Q667" s="9" t="b">
        <v>0</v>
      </c>
      <c r="R667" s="9" t="b">
        <v>0</v>
      </c>
      <c r="S667" s="9" t="b">
        <v>0</v>
      </c>
      <c r="U667" s="9">
        <v>1</v>
      </c>
      <c r="V667" s="9" t="b">
        <v>1</v>
      </c>
      <c r="W667" s="9" t="s">
        <v>2126</v>
      </c>
    </row>
    <row r="668" spans="1:23" ht="29" customHeight="1" x14ac:dyDescent="0.2">
      <c r="A668" s="9" t="s">
        <v>2127</v>
      </c>
      <c r="B668" s="10" t="s">
        <v>2128</v>
      </c>
      <c r="C668" s="9" t="s">
        <v>25</v>
      </c>
      <c r="D668" s="9" t="s">
        <v>25</v>
      </c>
      <c r="E668" s="9" t="s">
        <v>26</v>
      </c>
      <c r="F668" s="9" t="s">
        <v>2103</v>
      </c>
      <c r="G668" s="9">
        <v>570</v>
      </c>
      <c r="H668" s="9">
        <v>999</v>
      </c>
      <c r="I668" s="9">
        <v>43</v>
      </c>
      <c r="J668" s="11">
        <v>4.2</v>
      </c>
      <c r="K668" s="9">
        <v>3201</v>
      </c>
      <c r="L668" s="9">
        <v>4.1376662729490654</v>
      </c>
      <c r="M668" s="9" t="s">
        <v>28</v>
      </c>
      <c r="N668" s="9" t="s">
        <v>93</v>
      </c>
      <c r="O668" s="9">
        <v>50.8</v>
      </c>
      <c r="P668" s="9" t="s">
        <v>53</v>
      </c>
      <c r="Q668" s="9" t="b">
        <v>0</v>
      </c>
      <c r="R668" s="9" t="b">
        <v>0</v>
      </c>
      <c r="S668" s="9" t="b">
        <v>0</v>
      </c>
      <c r="U668" s="9">
        <v>1</v>
      </c>
      <c r="V668" s="9" t="b">
        <v>1</v>
      </c>
      <c r="W668" s="9" t="s">
        <v>2129</v>
      </c>
    </row>
    <row r="669" spans="1:23" ht="29" customHeight="1" x14ac:dyDescent="0.2">
      <c r="A669" s="9" t="s">
        <v>2130</v>
      </c>
      <c r="B669" s="10" t="s">
        <v>2131</v>
      </c>
      <c r="C669" s="9" t="s">
        <v>44</v>
      </c>
      <c r="D669" s="9" t="s">
        <v>44</v>
      </c>
      <c r="E669" s="9" t="s">
        <v>359</v>
      </c>
      <c r="F669" s="9" t="s">
        <v>2132</v>
      </c>
      <c r="G669" s="9">
        <v>899</v>
      </c>
      <c r="H669" s="9">
        <v>1999</v>
      </c>
      <c r="I669" s="9">
        <v>55</v>
      </c>
      <c r="J669" s="11">
        <v>4.0999999999999996</v>
      </c>
      <c r="K669" s="9">
        <v>30469</v>
      </c>
      <c r="L669" s="9">
        <v>4.0983111780576609</v>
      </c>
      <c r="M669" s="9" t="s">
        <v>28</v>
      </c>
      <c r="N669" s="9" t="s">
        <v>93</v>
      </c>
      <c r="O669" s="9">
        <v>56.8</v>
      </c>
      <c r="P669" s="9" t="s">
        <v>53</v>
      </c>
      <c r="Q669" s="9" t="b">
        <v>0</v>
      </c>
      <c r="R669" s="9" t="b">
        <v>0</v>
      </c>
      <c r="S669" s="9" t="b">
        <v>0</v>
      </c>
      <c r="U669" s="9">
        <v>1</v>
      </c>
      <c r="V669" s="9" t="b">
        <v>1</v>
      </c>
      <c r="W669" s="9" t="s">
        <v>2133</v>
      </c>
    </row>
    <row r="670" spans="1:23" ht="29" customHeight="1" x14ac:dyDescent="0.2">
      <c r="A670" s="9" t="s">
        <v>2134</v>
      </c>
      <c r="B670" s="10" t="s">
        <v>2135</v>
      </c>
      <c r="C670" s="9" t="s">
        <v>25</v>
      </c>
      <c r="D670" s="9" t="s">
        <v>25</v>
      </c>
      <c r="E670" s="9" t="s">
        <v>26</v>
      </c>
      <c r="F670" s="9" t="s">
        <v>2136</v>
      </c>
      <c r="G670" s="9">
        <v>449</v>
      </c>
      <c r="H670" s="9">
        <v>999</v>
      </c>
      <c r="I670" s="9">
        <v>55</v>
      </c>
      <c r="J670" s="11">
        <v>4.4000000000000004</v>
      </c>
      <c r="K670" s="9">
        <v>9940</v>
      </c>
      <c r="L670" s="9">
        <v>4.3134055166342513</v>
      </c>
      <c r="M670" s="9" t="s">
        <v>28</v>
      </c>
      <c r="N670" s="9" t="s">
        <v>29</v>
      </c>
      <c r="O670" s="9">
        <v>72.3</v>
      </c>
      <c r="P670" s="9" t="s">
        <v>36</v>
      </c>
      <c r="Q670" s="9" t="b">
        <v>0</v>
      </c>
      <c r="R670" s="9" t="b">
        <v>0</v>
      </c>
      <c r="S670" s="9" t="b">
        <v>0</v>
      </c>
      <c r="U670" s="9">
        <v>1</v>
      </c>
      <c r="V670" s="9" t="b">
        <v>1</v>
      </c>
      <c r="W670" s="9" t="s">
        <v>2137</v>
      </c>
    </row>
    <row r="671" spans="1:23" ht="29" customHeight="1" x14ac:dyDescent="0.2">
      <c r="A671" s="9" t="s">
        <v>2138</v>
      </c>
      <c r="B671" s="10" t="s">
        <v>2139</v>
      </c>
      <c r="C671" s="9" t="s">
        <v>25</v>
      </c>
      <c r="D671" s="9" t="s">
        <v>25</v>
      </c>
      <c r="E671" s="9" t="s">
        <v>1651</v>
      </c>
      <c r="F671" s="9" t="s">
        <v>2140</v>
      </c>
      <c r="G671" s="9">
        <v>549</v>
      </c>
      <c r="H671" s="9">
        <v>999</v>
      </c>
      <c r="I671" s="9">
        <v>45</v>
      </c>
      <c r="J671" s="11">
        <v>4.3</v>
      </c>
      <c r="K671" s="9">
        <v>7758</v>
      </c>
      <c r="L671" s="9">
        <v>4.2296635642273177</v>
      </c>
      <c r="M671" s="9" t="s">
        <v>28</v>
      </c>
      <c r="N671" s="9" t="s">
        <v>93</v>
      </c>
      <c r="O671" s="9">
        <v>66.900000000000006</v>
      </c>
      <c r="P671" s="9" t="s">
        <v>36</v>
      </c>
      <c r="Q671" s="9" t="b">
        <v>0</v>
      </c>
      <c r="R671" s="9" t="b">
        <v>0</v>
      </c>
      <c r="S671" s="9" t="b">
        <v>0</v>
      </c>
      <c r="U671" s="9">
        <v>1</v>
      </c>
      <c r="V671" s="9" t="b">
        <v>1</v>
      </c>
      <c r="W671" s="9" t="s">
        <v>2141</v>
      </c>
    </row>
    <row r="672" spans="1:23" ht="29" customHeight="1" x14ac:dyDescent="0.2">
      <c r="A672" s="9" t="s">
        <v>2142</v>
      </c>
      <c r="B672" s="10" t="s">
        <v>2143</v>
      </c>
      <c r="C672" s="9" t="s">
        <v>25</v>
      </c>
      <c r="D672" s="9" t="s">
        <v>25</v>
      </c>
      <c r="E672" s="9" t="s">
        <v>34</v>
      </c>
      <c r="F672" s="9" t="s">
        <v>1877</v>
      </c>
      <c r="G672" s="9">
        <v>1529</v>
      </c>
      <c r="H672" s="9">
        <v>2399</v>
      </c>
      <c r="I672" s="9">
        <v>36</v>
      </c>
      <c r="J672" s="11">
        <v>4.3</v>
      </c>
      <c r="K672" s="9">
        <v>68409</v>
      </c>
      <c r="L672" s="9">
        <v>4.2887724252881094</v>
      </c>
      <c r="M672" s="9" t="s">
        <v>28</v>
      </c>
      <c r="N672" s="9" t="s">
        <v>179</v>
      </c>
      <c r="O672" s="9">
        <v>62</v>
      </c>
      <c r="P672" s="9" t="s">
        <v>36</v>
      </c>
      <c r="Q672" s="9" t="b">
        <v>0</v>
      </c>
      <c r="R672" s="9" t="b">
        <v>0</v>
      </c>
      <c r="S672" s="9" t="b">
        <v>0</v>
      </c>
      <c r="U672" s="9">
        <v>1</v>
      </c>
      <c r="V672" s="9" t="b">
        <v>1</v>
      </c>
      <c r="W672" s="9" t="s">
        <v>2144</v>
      </c>
    </row>
    <row r="673" spans="1:23" ht="29" customHeight="1" x14ac:dyDescent="0.2">
      <c r="A673" s="9" t="s">
        <v>2145</v>
      </c>
      <c r="B673" s="10" t="s">
        <v>2146</v>
      </c>
      <c r="C673" s="9" t="s">
        <v>1735</v>
      </c>
      <c r="D673" s="9" t="s">
        <v>1724</v>
      </c>
      <c r="E673" s="9" t="s">
        <v>1736</v>
      </c>
      <c r="F673" s="9" t="s">
        <v>2147</v>
      </c>
      <c r="G673" s="9">
        <v>100</v>
      </c>
      <c r="H673" s="9">
        <v>100</v>
      </c>
      <c r="I673" s="9">
        <v>0</v>
      </c>
      <c r="J673" s="11">
        <v>4.3</v>
      </c>
      <c r="K673" s="9">
        <v>3095</v>
      </c>
      <c r="L673" s="9">
        <v>4.1818358135881608</v>
      </c>
      <c r="M673" s="9" t="s">
        <v>28</v>
      </c>
      <c r="N673" s="9" t="s">
        <v>29</v>
      </c>
      <c r="O673" s="9">
        <v>50.7</v>
      </c>
      <c r="P673" s="9" t="s">
        <v>53</v>
      </c>
      <c r="Q673" s="9" t="b">
        <v>0</v>
      </c>
      <c r="R673" s="9" t="b">
        <v>0</v>
      </c>
      <c r="S673" s="9" t="b">
        <v>0</v>
      </c>
      <c r="U673" s="9">
        <v>1</v>
      </c>
      <c r="V673" s="9" t="b">
        <v>1</v>
      </c>
      <c r="W673" s="9" t="s">
        <v>2148</v>
      </c>
    </row>
    <row r="674" spans="1:23" ht="29" customHeight="1" x14ac:dyDescent="0.2">
      <c r="A674" s="9" t="s">
        <v>2149</v>
      </c>
      <c r="B674" s="10" t="s">
        <v>2150</v>
      </c>
      <c r="C674" s="9" t="s">
        <v>25</v>
      </c>
      <c r="D674" s="9" t="s">
        <v>25</v>
      </c>
      <c r="E674" s="9" t="s">
        <v>26</v>
      </c>
      <c r="F674" s="9" t="s">
        <v>1677</v>
      </c>
      <c r="G674" s="9">
        <v>299</v>
      </c>
      <c r="H674" s="9">
        <v>1499</v>
      </c>
      <c r="I674" s="9">
        <v>80</v>
      </c>
      <c r="J674" s="11">
        <v>4.2</v>
      </c>
      <c r="K674" s="9">
        <v>903</v>
      </c>
      <c r="L674" s="9">
        <v>4.1069636891396017</v>
      </c>
      <c r="M674" s="9" t="s">
        <v>89</v>
      </c>
      <c r="N674" s="9" t="s">
        <v>29</v>
      </c>
      <c r="O674" s="9">
        <v>69.400000000000006</v>
      </c>
      <c r="P674" s="9" t="s">
        <v>36</v>
      </c>
      <c r="Q674" s="9" t="b">
        <v>0</v>
      </c>
      <c r="R674" s="9" t="b">
        <v>0</v>
      </c>
      <c r="S674" s="9" t="b">
        <v>0</v>
      </c>
      <c r="U674" s="9">
        <v>1</v>
      </c>
      <c r="V674" s="9" t="b">
        <v>1</v>
      </c>
      <c r="W674" s="9" t="s">
        <v>2151</v>
      </c>
    </row>
    <row r="675" spans="1:23" ht="29" customHeight="1" x14ac:dyDescent="0.2">
      <c r="A675" s="9" t="s">
        <v>2152</v>
      </c>
      <c r="B675" s="10" t="s">
        <v>2153</v>
      </c>
      <c r="C675" s="9" t="s">
        <v>25</v>
      </c>
      <c r="D675" s="9" t="s">
        <v>25</v>
      </c>
      <c r="E675" s="9" t="s">
        <v>26</v>
      </c>
      <c r="F675" s="9" t="s">
        <v>1755</v>
      </c>
      <c r="G675" s="9">
        <v>1295</v>
      </c>
      <c r="H675" s="9">
        <v>1795</v>
      </c>
      <c r="I675" s="9">
        <v>28</v>
      </c>
      <c r="J675" s="11">
        <v>4.0999999999999996</v>
      </c>
      <c r="K675" s="9">
        <v>25771</v>
      </c>
      <c r="L675" s="9">
        <v>4.0980425310810027</v>
      </c>
      <c r="M675" s="9" t="s">
        <v>28</v>
      </c>
      <c r="N675" s="9" t="s">
        <v>179</v>
      </c>
      <c r="O675" s="9">
        <v>36.9</v>
      </c>
      <c r="P675" s="9" t="s">
        <v>40</v>
      </c>
      <c r="Q675" s="9" t="b">
        <v>0</v>
      </c>
      <c r="R675" s="9" t="b">
        <v>0</v>
      </c>
      <c r="S675" s="9" t="b">
        <v>0</v>
      </c>
      <c r="T675" s="9">
        <v>0.98</v>
      </c>
      <c r="U675" s="9">
        <v>1</v>
      </c>
      <c r="V675" s="9" t="b">
        <v>1</v>
      </c>
      <c r="W675" s="9" t="s">
        <v>2154</v>
      </c>
    </row>
    <row r="676" spans="1:23" ht="29" customHeight="1" x14ac:dyDescent="0.2">
      <c r="A676" s="9" t="s">
        <v>2155</v>
      </c>
      <c r="B676" s="10" t="s">
        <v>2156</v>
      </c>
      <c r="C676" s="9" t="s">
        <v>44</v>
      </c>
      <c r="D676" s="9" t="s">
        <v>44</v>
      </c>
      <c r="E676" s="9" t="s">
        <v>1009</v>
      </c>
      <c r="F676" s="9" t="s">
        <v>1010</v>
      </c>
      <c r="G676" s="9">
        <v>699</v>
      </c>
      <c r="H676" s="9">
        <v>999</v>
      </c>
      <c r="I676" s="9">
        <v>30</v>
      </c>
      <c r="J676" s="11">
        <v>4.0999999999999996</v>
      </c>
      <c r="K676" s="9">
        <v>273189</v>
      </c>
      <c r="L676" s="9">
        <v>4.0997912598114858</v>
      </c>
      <c r="M676" s="9" t="s">
        <v>28</v>
      </c>
      <c r="N676" s="9" t="s">
        <v>93</v>
      </c>
      <c r="O676" s="9">
        <v>47.7</v>
      </c>
      <c r="P676" s="9" t="s">
        <v>30</v>
      </c>
      <c r="Q676" s="9" t="b">
        <v>0</v>
      </c>
      <c r="R676" s="9" t="b">
        <v>0</v>
      </c>
      <c r="S676" s="9" t="b">
        <v>0</v>
      </c>
      <c r="T676" s="9">
        <v>0.74</v>
      </c>
      <c r="U676" s="9">
        <v>1</v>
      </c>
      <c r="V676" s="9" t="b">
        <v>1</v>
      </c>
      <c r="W676" s="9" t="s">
        <v>2157</v>
      </c>
    </row>
    <row r="677" spans="1:23" ht="29" customHeight="1" x14ac:dyDescent="0.2">
      <c r="A677" s="9" t="s">
        <v>2158</v>
      </c>
      <c r="B677" s="10" t="s">
        <v>2159</v>
      </c>
      <c r="C677" s="9" t="s">
        <v>1735</v>
      </c>
      <c r="D677" s="9" t="s">
        <v>1724</v>
      </c>
      <c r="E677" s="9" t="s">
        <v>1736</v>
      </c>
      <c r="F677" s="9" t="s">
        <v>2160</v>
      </c>
      <c r="G677" s="9">
        <v>252</v>
      </c>
      <c r="H677" s="9">
        <v>315</v>
      </c>
      <c r="I677" s="9">
        <v>20</v>
      </c>
      <c r="J677" s="11">
        <v>4.5</v>
      </c>
      <c r="K677" s="9">
        <v>3785</v>
      </c>
      <c r="L677" s="9">
        <v>4.29293661367086</v>
      </c>
      <c r="M677" s="9" t="s">
        <v>28</v>
      </c>
      <c r="N677" s="9" t="s">
        <v>29</v>
      </c>
      <c r="O677" s="9">
        <v>55.4</v>
      </c>
      <c r="P677" s="9" t="s">
        <v>53</v>
      </c>
      <c r="Q677" s="9" t="b">
        <v>0</v>
      </c>
      <c r="R677" s="9" t="b">
        <v>0</v>
      </c>
      <c r="S677" s="9" t="b">
        <v>0</v>
      </c>
      <c r="U677" s="9">
        <v>1</v>
      </c>
      <c r="V677" s="9" t="b">
        <v>1</v>
      </c>
      <c r="W677" s="9" t="s">
        <v>2161</v>
      </c>
    </row>
    <row r="678" spans="1:23" ht="29" customHeight="1" x14ac:dyDescent="0.2">
      <c r="A678" s="9" t="s">
        <v>2162</v>
      </c>
      <c r="B678" s="10" t="s">
        <v>2163</v>
      </c>
      <c r="C678" s="9" t="s">
        <v>44</v>
      </c>
      <c r="D678" s="9" t="s">
        <v>44</v>
      </c>
      <c r="E678" s="9" t="s">
        <v>1730</v>
      </c>
      <c r="F678" s="9" t="s">
        <v>1731</v>
      </c>
      <c r="G678" s="9">
        <v>190</v>
      </c>
      <c r="H678" s="9">
        <v>220</v>
      </c>
      <c r="I678" s="9">
        <v>14</v>
      </c>
      <c r="J678" s="11">
        <v>4.4000000000000004</v>
      </c>
      <c r="K678" s="9">
        <v>2866</v>
      </c>
      <c r="L678" s="9">
        <v>4.2209910374414754</v>
      </c>
      <c r="M678" s="9" t="s">
        <v>28</v>
      </c>
      <c r="N678" s="9" t="s">
        <v>29</v>
      </c>
      <c r="O678" s="9">
        <v>55.9</v>
      </c>
      <c r="P678" s="9" t="s">
        <v>53</v>
      </c>
      <c r="Q678" s="9" t="b">
        <v>0</v>
      </c>
      <c r="R678" s="9" t="b">
        <v>0</v>
      </c>
      <c r="S678" s="9" t="b">
        <v>0</v>
      </c>
      <c r="U678" s="9">
        <v>1</v>
      </c>
      <c r="V678" s="9" t="b">
        <v>1</v>
      </c>
      <c r="W678" s="9" t="s">
        <v>2164</v>
      </c>
    </row>
    <row r="679" spans="1:23" ht="29" customHeight="1" x14ac:dyDescent="0.2">
      <c r="A679" s="9" t="s">
        <v>2165</v>
      </c>
      <c r="B679" s="10" t="s">
        <v>2166</v>
      </c>
      <c r="C679" s="9" t="s">
        <v>25</v>
      </c>
      <c r="D679" s="9" t="s">
        <v>25</v>
      </c>
      <c r="E679" s="9" t="s">
        <v>26</v>
      </c>
      <c r="F679" s="9" t="s">
        <v>1755</v>
      </c>
      <c r="G679" s="9">
        <v>1299</v>
      </c>
      <c r="H679" s="9">
        <v>1599</v>
      </c>
      <c r="I679" s="9">
        <v>19</v>
      </c>
      <c r="J679" s="11">
        <v>4.3</v>
      </c>
      <c r="K679" s="9">
        <v>27223</v>
      </c>
      <c r="L679" s="9">
        <v>4.2738487063846264</v>
      </c>
      <c r="M679" s="9" t="s">
        <v>28</v>
      </c>
      <c r="N679" s="9" t="s">
        <v>179</v>
      </c>
      <c r="O679" s="9">
        <v>50.9</v>
      </c>
      <c r="P679" s="9" t="s">
        <v>53</v>
      </c>
      <c r="Q679" s="9" t="b">
        <v>0</v>
      </c>
      <c r="R679" s="9" t="b">
        <v>0</v>
      </c>
      <c r="S679" s="9" t="b">
        <v>0</v>
      </c>
      <c r="T679" s="9">
        <v>0.98</v>
      </c>
      <c r="U679" s="9">
        <v>1</v>
      </c>
      <c r="V679" s="9" t="b">
        <v>1</v>
      </c>
      <c r="W679" s="9" t="s">
        <v>2167</v>
      </c>
    </row>
    <row r="680" spans="1:23" ht="29" customHeight="1" x14ac:dyDescent="0.2">
      <c r="A680" s="9" t="s">
        <v>2168</v>
      </c>
      <c r="B680" s="10" t="s">
        <v>2169</v>
      </c>
      <c r="C680" s="9" t="s">
        <v>25</v>
      </c>
      <c r="D680" s="9" t="s">
        <v>25</v>
      </c>
      <c r="E680" s="9" t="s">
        <v>1651</v>
      </c>
      <c r="F680" s="9" t="s">
        <v>1652</v>
      </c>
      <c r="G680" s="9">
        <v>729</v>
      </c>
      <c r="H680" s="9">
        <v>1650</v>
      </c>
      <c r="I680" s="9">
        <v>56</v>
      </c>
      <c r="J680" s="11">
        <v>4.3</v>
      </c>
      <c r="K680" s="9">
        <v>82356</v>
      </c>
      <c r="L680" s="9">
        <v>4.29059074521364</v>
      </c>
      <c r="M680" s="9" t="s">
        <v>28</v>
      </c>
      <c r="N680" s="9" t="s">
        <v>93</v>
      </c>
      <c r="O680" s="9">
        <v>73.3</v>
      </c>
      <c r="P680" s="9" t="s">
        <v>36</v>
      </c>
      <c r="Q680" s="9" t="b">
        <v>0</v>
      </c>
      <c r="R680" s="9" t="b">
        <v>0</v>
      </c>
      <c r="S680" s="9" t="b">
        <v>0</v>
      </c>
      <c r="T680" s="9">
        <v>1.33</v>
      </c>
      <c r="U680" s="9">
        <v>1</v>
      </c>
      <c r="V680" s="9" t="b">
        <v>1</v>
      </c>
      <c r="W680" s="9" t="s">
        <v>2170</v>
      </c>
    </row>
    <row r="681" spans="1:23" ht="29" customHeight="1" x14ac:dyDescent="0.2">
      <c r="A681" s="9" t="s">
        <v>2171</v>
      </c>
      <c r="B681" s="10" t="s">
        <v>2172</v>
      </c>
      <c r="C681" s="9" t="s">
        <v>1735</v>
      </c>
      <c r="D681" s="9" t="s">
        <v>1724</v>
      </c>
      <c r="E681" s="9" t="s">
        <v>1736</v>
      </c>
      <c r="F681" s="9" t="s">
        <v>2173</v>
      </c>
      <c r="G681" s="9">
        <v>480</v>
      </c>
      <c r="H681" s="9">
        <v>600</v>
      </c>
      <c r="I681" s="9">
        <v>20</v>
      </c>
      <c r="J681" s="11">
        <v>4.3</v>
      </c>
      <c r="K681" s="9">
        <v>5719</v>
      </c>
      <c r="L681" s="9">
        <v>4.2145376883067884</v>
      </c>
      <c r="M681" s="9" t="s">
        <v>28</v>
      </c>
      <c r="N681" s="9" t="s">
        <v>29</v>
      </c>
      <c r="O681" s="9">
        <v>48.2</v>
      </c>
      <c r="P681" s="9" t="s">
        <v>30</v>
      </c>
      <c r="Q681" s="9" t="b">
        <v>0</v>
      </c>
      <c r="R681" s="9" t="b">
        <v>0</v>
      </c>
      <c r="S681" s="9" t="b">
        <v>0</v>
      </c>
      <c r="U681" s="9">
        <v>1</v>
      </c>
      <c r="V681" s="9" t="b">
        <v>1</v>
      </c>
      <c r="W681" s="9" t="s">
        <v>2174</v>
      </c>
    </row>
    <row r="682" spans="1:23" ht="29" customHeight="1" x14ac:dyDescent="0.2">
      <c r="A682" s="9" t="s">
        <v>2175</v>
      </c>
      <c r="B682" s="10" t="s">
        <v>2176</v>
      </c>
      <c r="C682" s="9" t="s">
        <v>25</v>
      </c>
      <c r="D682" s="9" t="s">
        <v>25</v>
      </c>
      <c r="E682" s="9" t="s">
        <v>26</v>
      </c>
      <c r="F682" s="9" t="s">
        <v>1667</v>
      </c>
      <c r="G682" s="9">
        <v>999</v>
      </c>
      <c r="H682" s="9">
        <v>2499</v>
      </c>
      <c r="I682" s="9">
        <v>60</v>
      </c>
      <c r="J682" s="11">
        <v>4.3</v>
      </c>
      <c r="K682" s="9">
        <v>1690</v>
      </c>
      <c r="L682" s="9">
        <v>4.1513872703678709</v>
      </c>
      <c r="M682" s="9" t="s">
        <v>28</v>
      </c>
      <c r="N682" s="9" t="s">
        <v>93</v>
      </c>
      <c r="O682" s="9">
        <v>58.6</v>
      </c>
      <c r="P682" s="9" t="s">
        <v>53</v>
      </c>
      <c r="Q682" s="9" t="b">
        <v>0</v>
      </c>
      <c r="R682" s="9" t="b">
        <v>0</v>
      </c>
      <c r="S682" s="9" t="b">
        <v>0</v>
      </c>
      <c r="T682" s="9">
        <v>1.74</v>
      </c>
      <c r="U682" s="9">
        <v>1</v>
      </c>
      <c r="V682" s="9" t="b">
        <v>1</v>
      </c>
      <c r="W682" s="9" t="s">
        <v>2177</v>
      </c>
    </row>
    <row r="683" spans="1:23" ht="29" customHeight="1" x14ac:dyDescent="0.2">
      <c r="A683" s="9" t="s">
        <v>2178</v>
      </c>
      <c r="B683" s="10" t="s">
        <v>2179</v>
      </c>
      <c r="C683" s="9" t="s">
        <v>25</v>
      </c>
      <c r="D683" s="9" t="s">
        <v>25</v>
      </c>
      <c r="E683" s="9" t="s">
        <v>26</v>
      </c>
      <c r="F683" s="9" t="s">
        <v>27</v>
      </c>
      <c r="G683" s="9">
        <v>299</v>
      </c>
      <c r="H683" s="9">
        <v>399</v>
      </c>
      <c r="I683" s="9">
        <v>25</v>
      </c>
      <c r="J683" s="11">
        <v>4</v>
      </c>
      <c r="K683" s="9">
        <v>2766</v>
      </c>
      <c r="L683" s="9">
        <v>4.0487767621476314</v>
      </c>
      <c r="M683" s="9" t="s">
        <v>28</v>
      </c>
      <c r="N683" s="9" t="s">
        <v>29</v>
      </c>
      <c r="O683" s="9">
        <v>29.8</v>
      </c>
      <c r="P683" s="9" t="s">
        <v>40</v>
      </c>
      <c r="Q683" s="9" t="b">
        <v>0</v>
      </c>
      <c r="R683" s="9" t="b">
        <v>0</v>
      </c>
      <c r="S683" s="9" t="b">
        <v>0</v>
      </c>
      <c r="T683" s="9">
        <v>1</v>
      </c>
      <c r="U683" s="9">
        <v>1</v>
      </c>
      <c r="V683" s="9" t="b">
        <v>1</v>
      </c>
      <c r="W683" s="9" t="s">
        <v>2180</v>
      </c>
    </row>
    <row r="684" spans="1:23" ht="29" customHeight="1" x14ac:dyDescent="0.2">
      <c r="A684" s="9" t="s">
        <v>2181</v>
      </c>
      <c r="B684" s="10" t="s">
        <v>2182</v>
      </c>
      <c r="C684" s="9" t="s">
        <v>25</v>
      </c>
      <c r="D684" s="9" t="s">
        <v>25</v>
      </c>
      <c r="E684" s="9" t="s">
        <v>26</v>
      </c>
      <c r="F684" s="9" t="s">
        <v>2183</v>
      </c>
      <c r="G684" s="9">
        <v>238</v>
      </c>
      <c r="H684" s="9">
        <v>699</v>
      </c>
      <c r="I684" s="9">
        <v>66</v>
      </c>
      <c r="J684" s="11">
        <v>4.4000000000000004</v>
      </c>
      <c r="K684" s="9">
        <v>8372</v>
      </c>
      <c r="L684" s="9">
        <v>4.3022159208604247</v>
      </c>
      <c r="M684" s="9" t="s">
        <v>28</v>
      </c>
      <c r="N684" s="9" t="s">
        <v>29</v>
      </c>
      <c r="O684" s="9">
        <v>83.3</v>
      </c>
      <c r="P684" s="9" t="s">
        <v>36</v>
      </c>
      <c r="Q684" s="9" t="b">
        <v>1</v>
      </c>
      <c r="R684" s="9" t="b">
        <v>0</v>
      </c>
      <c r="S684" s="9" t="b">
        <v>0</v>
      </c>
      <c r="U684" s="9">
        <v>1</v>
      </c>
      <c r="V684" s="9" t="b">
        <v>1</v>
      </c>
      <c r="W684" s="9" t="s">
        <v>2184</v>
      </c>
    </row>
    <row r="685" spans="1:23" ht="29" customHeight="1" x14ac:dyDescent="0.2">
      <c r="A685" s="9" t="s">
        <v>2185</v>
      </c>
      <c r="B685" s="10" t="s">
        <v>2186</v>
      </c>
      <c r="C685" s="9" t="s">
        <v>25</v>
      </c>
      <c r="D685" s="9" t="s">
        <v>25</v>
      </c>
      <c r="E685" s="9" t="s">
        <v>26</v>
      </c>
      <c r="F685" s="9" t="s">
        <v>1755</v>
      </c>
      <c r="G685" s="9">
        <v>1349</v>
      </c>
      <c r="H685" s="9">
        <v>2198</v>
      </c>
      <c r="I685" s="9">
        <v>39</v>
      </c>
      <c r="J685" s="11">
        <v>4</v>
      </c>
      <c r="K685" s="9">
        <v>7113</v>
      </c>
      <c r="L685" s="9">
        <v>4.0292804093311396</v>
      </c>
      <c r="M685" s="9" t="s">
        <v>28</v>
      </c>
      <c r="N685" s="9" t="s">
        <v>179</v>
      </c>
      <c r="O685" s="9">
        <v>24.4</v>
      </c>
      <c r="P685" s="9" t="s">
        <v>40</v>
      </c>
      <c r="Q685" s="9" t="b">
        <v>0</v>
      </c>
      <c r="R685" s="9" t="b">
        <v>0</v>
      </c>
      <c r="S685" s="9" t="b">
        <v>0</v>
      </c>
      <c r="T685" s="9">
        <v>1.02</v>
      </c>
      <c r="U685" s="9">
        <v>1</v>
      </c>
      <c r="V685" s="9" t="b">
        <v>1</v>
      </c>
      <c r="W685" s="9" t="s">
        <v>2187</v>
      </c>
    </row>
    <row r="686" spans="1:23" ht="29" customHeight="1" x14ac:dyDescent="0.2">
      <c r="A686" s="9" t="s">
        <v>2188</v>
      </c>
      <c r="B686" s="10" t="s">
        <v>2189</v>
      </c>
      <c r="C686" s="9" t="s">
        <v>25</v>
      </c>
      <c r="D686" s="9" t="s">
        <v>25</v>
      </c>
      <c r="E686" s="9" t="s">
        <v>26</v>
      </c>
      <c r="F686" s="9" t="s">
        <v>27</v>
      </c>
      <c r="G686" s="9">
        <v>299</v>
      </c>
      <c r="H686" s="9">
        <v>999</v>
      </c>
      <c r="I686" s="9">
        <v>70</v>
      </c>
      <c r="J686" s="11">
        <v>4.3</v>
      </c>
      <c r="K686" s="9">
        <v>20850</v>
      </c>
      <c r="L686" s="9">
        <v>4.2670772612160812</v>
      </c>
      <c r="M686" s="9" t="s">
        <v>28</v>
      </c>
      <c r="N686" s="9" t="s">
        <v>29</v>
      </c>
      <c r="O686" s="9">
        <v>80.599999999999994</v>
      </c>
      <c r="P686" s="9" t="s">
        <v>36</v>
      </c>
      <c r="Q686" s="9" t="b">
        <v>0</v>
      </c>
      <c r="R686" s="9" t="b">
        <v>0</v>
      </c>
      <c r="S686" s="9" t="b">
        <v>0</v>
      </c>
      <c r="T686" s="9">
        <v>1</v>
      </c>
      <c r="U686" s="9">
        <v>3</v>
      </c>
      <c r="V686" s="9" t="b">
        <v>0</v>
      </c>
      <c r="W686" s="9" t="s">
        <v>2190</v>
      </c>
    </row>
    <row r="687" spans="1:23" ht="29" customHeight="1" x14ac:dyDescent="0.2">
      <c r="A687" s="9" t="s">
        <v>2191</v>
      </c>
      <c r="B687" s="10" t="s">
        <v>2192</v>
      </c>
      <c r="C687" s="9" t="s">
        <v>25</v>
      </c>
      <c r="D687" s="9" t="s">
        <v>25</v>
      </c>
      <c r="E687" s="9" t="s">
        <v>26</v>
      </c>
      <c r="F687" s="9" t="s">
        <v>2116</v>
      </c>
      <c r="G687" s="9">
        <v>199</v>
      </c>
      <c r="H687" s="9">
        <v>499</v>
      </c>
      <c r="I687" s="9">
        <v>60</v>
      </c>
      <c r="J687" s="11">
        <v>3.3</v>
      </c>
      <c r="K687" s="9">
        <v>2804</v>
      </c>
      <c r="L687" s="9">
        <v>3.7495833536405718</v>
      </c>
      <c r="M687" s="9" t="s">
        <v>28</v>
      </c>
      <c r="N687" s="9" t="s">
        <v>29</v>
      </c>
      <c r="O687" s="9">
        <v>36.6</v>
      </c>
      <c r="P687" s="9" t="s">
        <v>40</v>
      </c>
      <c r="Q687" s="9" t="b">
        <v>0</v>
      </c>
      <c r="R687" s="9" t="b">
        <v>0</v>
      </c>
      <c r="S687" s="9" t="b">
        <v>1</v>
      </c>
      <c r="U687" s="9">
        <v>1</v>
      </c>
      <c r="V687" s="9" t="b">
        <v>1</v>
      </c>
      <c r="W687" s="9" t="s">
        <v>2193</v>
      </c>
    </row>
    <row r="688" spans="1:23" ht="29" customHeight="1" x14ac:dyDescent="0.2">
      <c r="A688" s="9" t="s">
        <v>2194</v>
      </c>
      <c r="B688" s="10" t="s">
        <v>2195</v>
      </c>
      <c r="C688" s="9" t="s">
        <v>44</v>
      </c>
      <c r="D688" s="9" t="s">
        <v>44</v>
      </c>
      <c r="E688" s="9" t="s">
        <v>1009</v>
      </c>
      <c r="F688" s="9" t="s">
        <v>1010</v>
      </c>
      <c r="G688" s="9">
        <v>1999</v>
      </c>
      <c r="H688" s="9">
        <v>9999</v>
      </c>
      <c r="I688" s="9">
        <v>80</v>
      </c>
      <c r="J688" s="11">
        <v>3.7</v>
      </c>
      <c r="K688" s="9">
        <v>1986</v>
      </c>
      <c r="L688" s="9">
        <v>3.9517507335271498</v>
      </c>
      <c r="M688" s="9" t="s">
        <v>28</v>
      </c>
      <c r="N688" s="9" t="s">
        <v>179</v>
      </c>
      <c r="O688" s="9">
        <v>38.200000000000003</v>
      </c>
      <c r="P688" s="9" t="s">
        <v>40</v>
      </c>
      <c r="Q688" s="9" t="b">
        <v>0</v>
      </c>
      <c r="R688" s="9" t="b">
        <v>0</v>
      </c>
      <c r="S688" s="9" t="b">
        <v>1</v>
      </c>
      <c r="T688" s="9">
        <v>2.11</v>
      </c>
      <c r="U688" s="9">
        <v>1</v>
      </c>
      <c r="V688" s="9" t="b">
        <v>1</v>
      </c>
      <c r="W688" s="9" t="s">
        <v>2196</v>
      </c>
    </row>
    <row r="689" spans="1:23" ht="29" customHeight="1" x14ac:dyDescent="0.2">
      <c r="A689" s="9" t="s">
        <v>2197</v>
      </c>
      <c r="B689" s="10" t="s">
        <v>2198</v>
      </c>
      <c r="C689" s="9" t="s">
        <v>44</v>
      </c>
      <c r="D689" s="9" t="s">
        <v>44</v>
      </c>
      <c r="E689" s="9" t="s">
        <v>981</v>
      </c>
      <c r="F689" s="9" t="s">
        <v>1158</v>
      </c>
      <c r="G689" s="9">
        <v>99</v>
      </c>
      <c r="H689" s="9">
        <v>499</v>
      </c>
      <c r="I689" s="9">
        <v>80</v>
      </c>
      <c r="J689" s="11">
        <v>4.0999999999999996</v>
      </c>
      <c r="K689" s="9">
        <v>2451</v>
      </c>
      <c r="L689" s="9">
        <v>4.0906959188349257</v>
      </c>
      <c r="M689" s="9" t="s">
        <v>28</v>
      </c>
      <c r="N689" s="9" t="s">
        <v>29</v>
      </c>
      <c r="O689" s="9">
        <v>70.8</v>
      </c>
      <c r="P689" s="9" t="s">
        <v>36</v>
      </c>
      <c r="Q689" s="9" t="b">
        <v>0</v>
      </c>
      <c r="R689" s="9" t="b">
        <v>0</v>
      </c>
      <c r="S689" s="9" t="b">
        <v>0</v>
      </c>
      <c r="U689" s="9">
        <v>2</v>
      </c>
      <c r="V689" s="9" t="b">
        <v>0</v>
      </c>
      <c r="W689" s="9" t="s">
        <v>2199</v>
      </c>
    </row>
    <row r="690" spans="1:23" ht="29" customHeight="1" x14ac:dyDescent="0.2">
      <c r="A690" s="9" t="s">
        <v>2200</v>
      </c>
      <c r="B690" s="10" t="s">
        <v>2201</v>
      </c>
      <c r="C690" s="9" t="s">
        <v>25</v>
      </c>
      <c r="D690" s="9" t="s">
        <v>25</v>
      </c>
      <c r="E690" s="9" t="s">
        <v>26</v>
      </c>
      <c r="F690" s="9" t="s">
        <v>1656</v>
      </c>
      <c r="G690" s="9">
        <v>499</v>
      </c>
      <c r="H690" s="9">
        <v>1000</v>
      </c>
      <c r="I690" s="9">
        <v>50</v>
      </c>
      <c r="J690" s="11">
        <v>5</v>
      </c>
      <c r="K690" s="9">
        <v>23</v>
      </c>
      <c r="L690" s="9">
        <v>4.0901965636457049</v>
      </c>
      <c r="M690" s="9" t="s">
        <v>204</v>
      </c>
      <c r="N690" s="9" t="s">
        <v>29</v>
      </c>
      <c r="O690" s="9">
        <v>45</v>
      </c>
      <c r="P690" s="9" t="s">
        <v>30</v>
      </c>
      <c r="Q690" s="9" t="b">
        <v>0</v>
      </c>
      <c r="R690" s="9" t="b">
        <v>0</v>
      </c>
      <c r="S690" s="9" t="b">
        <v>0</v>
      </c>
      <c r="T690" s="9">
        <v>0.87</v>
      </c>
      <c r="U690" s="9">
        <v>1</v>
      </c>
      <c r="V690" s="9" t="b">
        <v>1</v>
      </c>
      <c r="W690" s="9" t="s">
        <v>2202</v>
      </c>
    </row>
    <row r="691" spans="1:23" ht="29" customHeight="1" x14ac:dyDescent="0.2">
      <c r="A691" s="9" t="s">
        <v>2203</v>
      </c>
      <c r="B691" s="10" t="s">
        <v>2204</v>
      </c>
      <c r="C691" s="9" t="s">
        <v>25</v>
      </c>
      <c r="D691" s="9" t="s">
        <v>25</v>
      </c>
      <c r="E691" s="9" t="s">
        <v>2205</v>
      </c>
      <c r="F691" s="9" t="s">
        <v>2206</v>
      </c>
      <c r="G691" s="9">
        <v>1792</v>
      </c>
      <c r="H691" s="9">
        <v>3500</v>
      </c>
      <c r="I691" s="9">
        <v>49</v>
      </c>
      <c r="J691" s="11">
        <v>4.5</v>
      </c>
      <c r="K691" s="9">
        <v>26194</v>
      </c>
      <c r="L691" s="9">
        <v>4.4478306575094164</v>
      </c>
      <c r="M691" s="9" t="s">
        <v>28</v>
      </c>
      <c r="N691" s="9" t="s">
        <v>179</v>
      </c>
      <c r="O691" s="9">
        <v>74.2</v>
      </c>
      <c r="P691" s="9" t="s">
        <v>36</v>
      </c>
      <c r="Q691" s="9" t="b">
        <v>0</v>
      </c>
      <c r="R691" s="9" t="b">
        <v>0</v>
      </c>
      <c r="S691" s="9" t="b">
        <v>0</v>
      </c>
      <c r="U691" s="9">
        <v>1</v>
      </c>
      <c r="V691" s="9" t="b">
        <v>1</v>
      </c>
      <c r="W691" s="9" t="s">
        <v>2207</v>
      </c>
    </row>
    <row r="692" spans="1:23" ht="29" customHeight="1" x14ac:dyDescent="0.2">
      <c r="A692" s="9" t="s">
        <v>2208</v>
      </c>
      <c r="B692" s="10" t="s">
        <v>2209</v>
      </c>
      <c r="C692" s="9" t="s">
        <v>25</v>
      </c>
      <c r="D692" s="9" t="s">
        <v>25</v>
      </c>
      <c r="E692" s="9" t="s">
        <v>26</v>
      </c>
      <c r="F692" s="9" t="s">
        <v>2210</v>
      </c>
      <c r="G692" s="9">
        <v>3299</v>
      </c>
      <c r="H692" s="9">
        <v>4100</v>
      </c>
      <c r="I692" s="9">
        <v>20</v>
      </c>
      <c r="J692" s="11">
        <v>3.9</v>
      </c>
      <c r="K692" s="9">
        <v>15783</v>
      </c>
      <c r="L692" s="9">
        <v>3.93554214994146</v>
      </c>
      <c r="M692" s="9" t="s">
        <v>28</v>
      </c>
      <c r="N692" s="9" t="s">
        <v>144</v>
      </c>
      <c r="O692" s="9">
        <v>9.1</v>
      </c>
      <c r="P692" s="9" t="s">
        <v>40</v>
      </c>
      <c r="Q692" s="9" t="b">
        <v>0</v>
      </c>
      <c r="R692" s="9" t="b">
        <v>0</v>
      </c>
      <c r="S692" s="9" t="b">
        <v>0</v>
      </c>
      <c r="U692" s="9">
        <v>1</v>
      </c>
      <c r="V692" s="9" t="b">
        <v>1</v>
      </c>
      <c r="W692" s="9" t="s">
        <v>2211</v>
      </c>
    </row>
    <row r="693" spans="1:23" ht="29" customHeight="1" x14ac:dyDescent="0.2">
      <c r="A693" s="9" t="s">
        <v>2212</v>
      </c>
      <c r="B693" s="10" t="s">
        <v>2213</v>
      </c>
      <c r="C693" s="9" t="s">
        <v>1735</v>
      </c>
      <c r="D693" s="9" t="s">
        <v>1724</v>
      </c>
      <c r="E693" s="9" t="s">
        <v>1736</v>
      </c>
      <c r="F693" s="9" t="s">
        <v>2160</v>
      </c>
      <c r="G693" s="9">
        <v>125</v>
      </c>
      <c r="H693" s="9">
        <v>180</v>
      </c>
      <c r="I693" s="9">
        <v>31</v>
      </c>
      <c r="J693" s="11">
        <v>4.4000000000000004</v>
      </c>
      <c r="K693" s="9">
        <v>8053</v>
      </c>
      <c r="L693" s="9">
        <v>4.2995759038280914</v>
      </c>
      <c r="M693" s="9" t="s">
        <v>28</v>
      </c>
      <c r="N693" s="9" t="s">
        <v>29</v>
      </c>
      <c r="O693" s="9">
        <v>65.2</v>
      </c>
      <c r="P693" s="9" t="s">
        <v>36</v>
      </c>
      <c r="Q693" s="9" t="b">
        <v>0</v>
      </c>
      <c r="R693" s="9" t="b">
        <v>0</v>
      </c>
      <c r="S693" s="9" t="b">
        <v>0</v>
      </c>
      <c r="U693" s="9">
        <v>1</v>
      </c>
      <c r="V693" s="9" t="b">
        <v>1</v>
      </c>
      <c r="W693" s="9" t="s">
        <v>2214</v>
      </c>
    </row>
    <row r="694" spans="1:23" ht="29" customHeight="1" x14ac:dyDescent="0.2">
      <c r="A694" s="9" t="s">
        <v>2215</v>
      </c>
      <c r="B694" s="10" t="s">
        <v>2216</v>
      </c>
      <c r="C694" s="9" t="s">
        <v>25</v>
      </c>
      <c r="D694" s="9" t="s">
        <v>25</v>
      </c>
      <c r="E694" s="9" t="s">
        <v>26</v>
      </c>
      <c r="F694" s="9" t="s">
        <v>1656</v>
      </c>
      <c r="G694" s="9">
        <v>399</v>
      </c>
      <c r="H694" s="9">
        <v>1190</v>
      </c>
      <c r="I694" s="9">
        <v>66</v>
      </c>
      <c r="J694" s="11">
        <v>4.0999999999999996</v>
      </c>
      <c r="K694" s="9">
        <v>2809</v>
      </c>
      <c r="L694" s="9">
        <v>4.0912027834863904</v>
      </c>
      <c r="M694" s="9" t="s">
        <v>28</v>
      </c>
      <c r="N694" s="9" t="s">
        <v>29</v>
      </c>
      <c r="O694" s="9">
        <v>55.6</v>
      </c>
      <c r="P694" s="9" t="s">
        <v>53</v>
      </c>
      <c r="Q694" s="9" t="b">
        <v>0</v>
      </c>
      <c r="R694" s="9" t="b">
        <v>0</v>
      </c>
      <c r="S694" s="9" t="b">
        <v>0</v>
      </c>
      <c r="T694" s="9">
        <v>0.7</v>
      </c>
      <c r="U694" s="9">
        <v>1</v>
      </c>
      <c r="V694" s="9" t="b">
        <v>1</v>
      </c>
      <c r="W694" s="9" t="s">
        <v>2217</v>
      </c>
    </row>
    <row r="695" spans="1:23" ht="29" customHeight="1" x14ac:dyDescent="0.2">
      <c r="A695" s="9" t="s">
        <v>2218</v>
      </c>
      <c r="B695" s="10" t="s">
        <v>2219</v>
      </c>
      <c r="C695" s="9" t="s">
        <v>44</v>
      </c>
      <c r="D695" s="9" t="s">
        <v>44</v>
      </c>
      <c r="E695" s="9" t="s">
        <v>1009</v>
      </c>
      <c r="F695" s="9" t="s">
        <v>1010</v>
      </c>
      <c r="G695" s="9">
        <v>1199</v>
      </c>
      <c r="H695" s="9">
        <v>7999</v>
      </c>
      <c r="I695" s="9">
        <v>85</v>
      </c>
      <c r="J695" s="11">
        <v>3.6</v>
      </c>
      <c r="K695" s="9">
        <v>25910</v>
      </c>
      <c r="L695" s="9">
        <v>3.6614521557563671</v>
      </c>
      <c r="M695" s="9" t="s">
        <v>28</v>
      </c>
      <c r="N695" s="9" t="s">
        <v>179</v>
      </c>
      <c r="O695" s="9">
        <v>37.200000000000003</v>
      </c>
      <c r="P695" s="9" t="s">
        <v>40</v>
      </c>
      <c r="Q695" s="9" t="b">
        <v>0</v>
      </c>
      <c r="R695" s="9" t="b">
        <v>0</v>
      </c>
      <c r="S695" s="9" t="b">
        <v>1</v>
      </c>
      <c r="T695" s="9">
        <v>1.26</v>
      </c>
      <c r="U695" s="9">
        <v>1</v>
      </c>
      <c r="V695" s="9" t="b">
        <v>1</v>
      </c>
      <c r="W695" s="9" t="s">
        <v>2220</v>
      </c>
    </row>
    <row r="696" spans="1:23" ht="29" customHeight="1" x14ac:dyDescent="0.2">
      <c r="A696" s="9" t="s">
        <v>2221</v>
      </c>
      <c r="B696" s="10" t="s">
        <v>2222</v>
      </c>
      <c r="C696" s="9" t="s">
        <v>25</v>
      </c>
      <c r="D696" s="9" t="s">
        <v>25</v>
      </c>
      <c r="E696" s="9" t="s">
        <v>26</v>
      </c>
      <c r="F696" s="9" t="s">
        <v>1660</v>
      </c>
      <c r="G696" s="9">
        <v>235</v>
      </c>
      <c r="H696" s="9">
        <v>1599</v>
      </c>
      <c r="I696" s="9">
        <v>85</v>
      </c>
      <c r="J696" s="11">
        <v>3.8</v>
      </c>
      <c r="K696" s="9">
        <v>1173</v>
      </c>
      <c r="L696" s="9">
        <v>4.0169869499910469</v>
      </c>
      <c r="M696" s="9" t="s">
        <v>28</v>
      </c>
      <c r="N696" s="9" t="s">
        <v>29</v>
      </c>
      <c r="O696" s="9">
        <v>51.1</v>
      </c>
      <c r="P696" s="9" t="s">
        <v>53</v>
      </c>
      <c r="Q696" s="9" t="b">
        <v>0</v>
      </c>
      <c r="R696" s="9" t="b">
        <v>0</v>
      </c>
      <c r="S696" s="9" t="b">
        <v>1</v>
      </c>
      <c r="T696" s="9">
        <v>0.81</v>
      </c>
      <c r="U696" s="9">
        <v>1</v>
      </c>
      <c r="V696" s="9" t="b">
        <v>1</v>
      </c>
      <c r="W696" s="9" t="s">
        <v>2223</v>
      </c>
    </row>
    <row r="697" spans="1:23" ht="29" customHeight="1" x14ac:dyDescent="0.2">
      <c r="A697" s="9" t="s">
        <v>2224</v>
      </c>
      <c r="B697" s="10" t="s">
        <v>2225</v>
      </c>
      <c r="C697" s="9" t="s">
        <v>25</v>
      </c>
      <c r="D697" s="9" t="s">
        <v>25</v>
      </c>
      <c r="E697" s="9" t="s">
        <v>26</v>
      </c>
      <c r="F697" s="9" t="s">
        <v>1667</v>
      </c>
      <c r="G697" s="9">
        <v>549</v>
      </c>
      <c r="H697" s="9">
        <v>1999</v>
      </c>
      <c r="I697" s="9">
        <v>73</v>
      </c>
      <c r="J697" s="11">
        <v>3.6</v>
      </c>
      <c r="K697" s="9">
        <v>6422</v>
      </c>
      <c r="L697" s="9">
        <v>3.779040609915147</v>
      </c>
      <c r="M697" s="9" t="s">
        <v>28</v>
      </c>
      <c r="N697" s="9" t="s">
        <v>93</v>
      </c>
      <c r="O697" s="9">
        <v>34</v>
      </c>
      <c r="P697" s="9" t="s">
        <v>40</v>
      </c>
      <c r="Q697" s="9" t="b">
        <v>0</v>
      </c>
      <c r="R697" s="9" t="b">
        <v>0</v>
      </c>
      <c r="S697" s="9" t="b">
        <v>1</v>
      </c>
      <c r="T697" s="9">
        <v>0.96</v>
      </c>
      <c r="U697" s="9">
        <v>1</v>
      </c>
      <c r="V697" s="9" t="b">
        <v>1</v>
      </c>
      <c r="W697" s="9" t="s">
        <v>2226</v>
      </c>
    </row>
    <row r="698" spans="1:23" ht="29" customHeight="1" x14ac:dyDescent="0.2">
      <c r="A698" s="9" t="s">
        <v>2227</v>
      </c>
      <c r="B698" s="10" t="s">
        <v>2228</v>
      </c>
      <c r="C698" s="9" t="s">
        <v>25</v>
      </c>
      <c r="D698" s="9" t="s">
        <v>25</v>
      </c>
      <c r="E698" s="9" t="s">
        <v>26</v>
      </c>
      <c r="F698" s="9" t="s">
        <v>2011</v>
      </c>
      <c r="G698" s="9">
        <v>89</v>
      </c>
      <c r="H698" s="9">
        <v>99</v>
      </c>
      <c r="I698" s="9">
        <v>10</v>
      </c>
      <c r="J698" s="11">
        <v>4.2</v>
      </c>
      <c r="K698" s="9">
        <v>241</v>
      </c>
      <c r="L698" s="9">
        <v>4.0915796407345608</v>
      </c>
      <c r="M698" s="9" t="s">
        <v>89</v>
      </c>
      <c r="N698" s="9" t="s">
        <v>29</v>
      </c>
      <c r="O698" s="9">
        <v>42.4</v>
      </c>
      <c r="P698" s="9" t="s">
        <v>30</v>
      </c>
      <c r="Q698" s="9" t="b">
        <v>0</v>
      </c>
      <c r="R698" s="9" t="b">
        <v>0</v>
      </c>
      <c r="S698" s="9" t="b">
        <v>0</v>
      </c>
      <c r="U698" s="9">
        <v>1</v>
      </c>
      <c r="V698" s="9" t="b">
        <v>1</v>
      </c>
      <c r="W698" s="9" t="s">
        <v>2229</v>
      </c>
    </row>
    <row r="699" spans="1:23" ht="29" customHeight="1" x14ac:dyDescent="0.2">
      <c r="A699" s="9" t="s">
        <v>2230</v>
      </c>
      <c r="B699" s="10" t="s">
        <v>2231</v>
      </c>
      <c r="C699" s="9" t="s">
        <v>25</v>
      </c>
      <c r="D699" s="9" t="s">
        <v>25</v>
      </c>
      <c r="E699" s="9" t="s">
        <v>26</v>
      </c>
      <c r="F699" s="9" t="s">
        <v>27</v>
      </c>
      <c r="G699" s="9">
        <v>970</v>
      </c>
      <c r="H699" s="9">
        <v>1999</v>
      </c>
      <c r="I699" s="9">
        <v>51</v>
      </c>
      <c r="J699" s="11">
        <v>4.4000000000000004</v>
      </c>
      <c r="K699" s="9">
        <v>184</v>
      </c>
      <c r="L699" s="9">
        <v>4.0993384243458291</v>
      </c>
      <c r="M699" s="9" t="s">
        <v>89</v>
      </c>
      <c r="N699" s="9" t="s">
        <v>93</v>
      </c>
      <c r="O699" s="9">
        <v>48.8</v>
      </c>
      <c r="P699" s="9" t="s">
        <v>30</v>
      </c>
      <c r="Q699" s="9" t="b">
        <v>0</v>
      </c>
      <c r="R699" s="9" t="b">
        <v>1</v>
      </c>
      <c r="S699" s="9" t="b">
        <v>0</v>
      </c>
      <c r="T699" s="9">
        <v>3.24</v>
      </c>
      <c r="U699" s="9">
        <v>1</v>
      </c>
      <c r="V699" s="9" t="b">
        <v>1</v>
      </c>
      <c r="W699" s="9" t="s">
        <v>2232</v>
      </c>
    </row>
    <row r="700" spans="1:23" ht="29" customHeight="1" x14ac:dyDescent="0.2">
      <c r="A700" s="9" t="s">
        <v>2233</v>
      </c>
      <c r="B700" s="10" t="s">
        <v>2234</v>
      </c>
      <c r="C700" s="9" t="s">
        <v>44</v>
      </c>
      <c r="D700" s="9" t="s">
        <v>44</v>
      </c>
      <c r="E700" s="9" t="s">
        <v>1009</v>
      </c>
      <c r="F700" s="9" t="s">
        <v>1010</v>
      </c>
      <c r="G700" s="9">
        <v>1299</v>
      </c>
      <c r="H700" s="9">
        <v>2999</v>
      </c>
      <c r="I700" s="9">
        <v>57</v>
      </c>
      <c r="J700" s="11">
        <v>3.8</v>
      </c>
      <c r="K700" s="9">
        <v>14629</v>
      </c>
      <c r="L700" s="9">
        <v>3.8582301112840609</v>
      </c>
      <c r="M700" s="9" t="s">
        <v>28</v>
      </c>
      <c r="N700" s="9" t="s">
        <v>179</v>
      </c>
      <c r="O700" s="9">
        <v>28.1</v>
      </c>
      <c r="P700" s="9" t="s">
        <v>40</v>
      </c>
      <c r="Q700" s="9" t="b">
        <v>0</v>
      </c>
      <c r="R700" s="9" t="b">
        <v>0</v>
      </c>
      <c r="S700" s="9" t="b">
        <v>1</v>
      </c>
      <c r="T700" s="9">
        <v>1.37</v>
      </c>
      <c r="U700" s="9">
        <v>1</v>
      </c>
      <c r="V700" s="9" t="b">
        <v>1</v>
      </c>
      <c r="W700" s="9" t="s">
        <v>2235</v>
      </c>
    </row>
    <row r="701" spans="1:23" ht="29" customHeight="1" x14ac:dyDescent="0.2">
      <c r="A701" s="9" t="s">
        <v>2236</v>
      </c>
      <c r="B701" s="10" t="s">
        <v>2237</v>
      </c>
      <c r="C701" s="9" t="s">
        <v>25</v>
      </c>
      <c r="D701" s="9" t="s">
        <v>25</v>
      </c>
      <c r="E701" s="9" t="s">
        <v>26</v>
      </c>
      <c r="F701" s="9" t="s">
        <v>1847</v>
      </c>
      <c r="G701" s="9">
        <v>230</v>
      </c>
      <c r="H701" s="9">
        <v>999</v>
      </c>
      <c r="I701" s="9">
        <v>77</v>
      </c>
      <c r="J701" s="11">
        <v>4.2</v>
      </c>
      <c r="K701" s="9">
        <v>1528</v>
      </c>
      <c r="L701" s="9">
        <v>4.1179546529970352</v>
      </c>
      <c r="M701" s="9" t="s">
        <v>28</v>
      </c>
      <c r="N701" s="9" t="s">
        <v>29</v>
      </c>
      <c r="O701" s="9">
        <v>71.5</v>
      </c>
      <c r="P701" s="9" t="s">
        <v>36</v>
      </c>
      <c r="Q701" s="9" t="b">
        <v>0</v>
      </c>
      <c r="R701" s="9" t="b">
        <v>0</v>
      </c>
      <c r="S701" s="9" t="b">
        <v>0</v>
      </c>
      <c r="U701" s="9">
        <v>1</v>
      </c>
      <c r="V701" s="9" t="b">
        <v>1</v>
      </c>
      <c r="W701" s="9" t="s">
        <v>2238</v>
      </c>
    </row>
    <row r="702" spans="1:23" ht="29" customHeight="1" x14ac:dyDescent="0.2">
      <c r="A702" s="9" t="s">
        <v>2239</v>
      </c>
      <c r="B702" s="10" t="s">
        <v>2240</v>
      </c>
      <c r="C702" s="9" t="s">
        <v>44</v>
      </c>
      <c r="D702" s="9" t="s">
        <v>44</v>
      </c>
      <c r="E702" s="9" t="s">
        <v>1009</v>
      </c>
      <c r="F702" s="9" t="s">
        <v>2241</v>
      </c>
      <c r="G702" s="9">
        <v>119</v>
      </c>
      <c r="H702" s="9">
        <v>499</v>
      </c>
      <c r="I702" s="9">
        <v>76</v>
      </c>
      <c r="J702" s="11">
        <v>4.3</v>
      </c>
      <c r="K702" s="9">
        <v>15032</v>
      </c>
      <c r="L702" s="9">
        <v>4.2568857427269036</v>
      </c>
      <c r="M702" s="9" t="s">
        <v>28</v>
      </c>
      <c r="N702" s="9" t="s">
        <v>29</v>
      </c>
      <c r="O702" s="9">
        <v>89.6</v>
      </c>
      <c r="P702" s="9" t="s">
        <v>36</v>
      </c>
      <c r="Q702" s="9" t="b">
        <v>1</v>
      </c>
      <c r="R702" s="9" t="b">
        <v>0</v>
      </c>
      <c r="S702" s="9" t="b">
        <v>0</v>
      </c>
      <c r="U702" s="9">
        <v>1</v>
      </c>
      <c r="V702" s="9" t="b">
        <v>1</v>
      </c>
      <c r="W702" s="9" t="s">
        <v>2242</v>
      </c>
    </row>
    <row r="703" spans="1:23" ht="29" customHeight="1" x14ac:dyDescent="0.2">
      <c r="A703" s="9" t="s">
        <v>2243</v>
      </c>
      <c r="B703" s="10" t="s">
        <v>2244</v>
      </c>
      <c r="C703" s="9" t="s">
        <v>44</v>
      </c>
      <c r="D703" s="9" t="s">
        <v>44</v>
      </c>
      <c r="E703" s="9" t="s">
        <v>1026</v>
      </c>
      <c r="F703" s="9" t="s">
        <v>2245</v>
      </c>
      <c r="G703" s="9">
        <v>449</v>
      </c>
      <c r="H703" s="9">
        <v>800</v>
      </c>
      <c r="I703" s="9">
        <v>44</v>
      </c>
      <c r="J703" s="11">
        <v>4.4000000000000004</v>
      </c>
      <c r="K703" s="9">
        <v>69585</v>
      </c>
      <c r="L703" s="9">
        <v>4.3838227491282016</v>
      </c>
      <c r="M703" s="9" t="s">
        <v>28</v>
      </c>
      <c r="N703" s="9" t="s">
        <v>29</v>
      </c>
      <c r="O703" s="9">
        <v>74.5</v>
      </c>
      <c r="P703" s="9" t="s">
        <v>36</v>
      </c>
      <c r="Q703" s="9" t="b">
        <v>0</v>
      </c>
      <c r="R703" s="9" t="b">
        <v>0</v>
      </c>
      <c r="S703" s="9" t="b">
        <v>0</v>
      </c>
      <c r="U703" s="9">
        <v>1</v>
      </c>
      <c r="V703" s="9" t="b">
        <v>1</v>
      </c>
      <c r="W703" s="9" t="s">
        <v>2246</v>
      </c>
    </row>
    <row r="704" spans="1:23" ht="29" customHeight="1" x14ac:dyDescent="0.2">
      <c r="A704" s="9" t="s">
        <v>2247</v>
      </c>
      <c r="B704" s="10" t="s">
        <v>2248</v>
      </c>
      <c r="C704" s="9" t="s">
        <v>44</v>
      </c>
      <c r="D704" s="9" t="s">
        <v>44</v>
      </c>
      <c r="E704" s="9" t="s">
        <v>981</v>
      </c>
      <c r="F704" s="9" t="s">
        <v>2249</v>
      </c>
      <c r="G704" s="9">
        <v>1699</v>
      </c>
      <c r="H704" s="9">
        <v>3495</v>
      </c>
      <c r="I704" s="9">
        <v>51</v>
      </c>
      <c r="J704" s="11">
        <v>4.0999999999999996</v>
      </c>
      <c r="K704" s="9">
        <v>14371</v>
      </c>
      <c r="L704" s="9">
        <v>4.0968119277404149</v>
      </c>
      <c r="M704" s="9" t="s">
        <v>28</v>
      </c>
      <c r="N704" s="9" t="s">
        <v>179</v>
      </c>
      <c r="O704" s="9">
        <v>54</v>
      </c>
      <c r="P704" s="9" t="s">
        <v>53</v>
      </c>
      <c r="Q704" s="9" t="b">
        <v>0</v>
      </c>
      <c r="R704" s="9" t="b">
        <v>0</v>
      </c>
      <c r="S704" s="9" t="b">
        <v>0</v>
      </c>
      <c r="U704" s="9">
        <v>1</v>
      </c>
      <c r="V704" s="9" t="b">
        <v>1</v>
      </c>
      <c r="W704" s="9" t="s">
        <v>2250</v>
      </c>
    </row>
    <row r="705" spans="1:23" ht="29" customHeight="1" x14ac:dyDescent="0.2">
      <c r="A705" s="9" t="s">
        <v>2251</v>
      </c>
      <c r="B705" s="10" t="s">
        <v>2252</v>
      </c>
      <c r="C705" s="9" t="s">
        <v>1735</v>
      </c>
      <c r="D705" s="9" t="s">
        <v>1724</v>
      </c>
      <c r="E705" s="9" t="s">
        <v>1736</v>
      </c>
      <c r="F705" s="9" t="s">
        <v>2160</v>
      </c>
      <c r="G705" s="9">
        <v>561</v>
      </c>
      <c r="H705" s="9">
        <v>720</v>
      </c>
      <c r="I705" s="9">
        <v>22</v>
      </c>
      <c r="J705" s="11">
        <v>4.4000000000000004</v>
      </c>
      <c r="K705" s="9">
        <v>3182</v>
      </c>
      <c r="L705" s="9">
        <v>4.2291365961092691</v>
      </c>
      <c r="M705" s="9" t="s">
        <v>28</v>
      </c>
      <c r="N705" s="9" t="s">
        <v>93</v>
      </c>
      <c r="O705" s="9">
        <v>49.3</v>
      </c>
      <c r="P705" s="9" t="s">
        <v>30</v>
      </c>
      <c r="Q705" s="9" t="b">
        <v>0</v>
      </c>
      <c r="R705" s="9" t="b">
        <v>0</v>
      </c>
      <c r="S705" s="9" t="b">
        <v>0</v>
      </c>
      <c r="U705" s="9">
        <v>1</v>
      </c>
      <c r="V705" s="9" t="b">
        <v>1</v>
      </c>
      <c r="W705" s="9" t="s">
        <v>2253</v>
      </c>
    </row>
    <row r="706" spans="1:23" ht="29" customHeight="1" x14ac:dyDescent="0.2">
      <c r="A706" s="9" t="s">
        <v>2254</v>
      </c>
      <c r="B706" s="10" t="s">
        <v>2255</v>
      </c>
      <c r="C706" s="9" t="s">
        <v>25</v>
      </c>
      <c r="D706" s="9" t="s">
        <v>25</v>
      </c>
      <c r="E706" s="9" t="s">
        <v>26</v>
      </c>
      <c r="F706" s="9" t="s">
        <v>1656</v>
      </c>
      <c r="G706" s="9">
        <v>289</v>
      </c>
      <c r="H706" s="9">
        <v>590</v>
      </c>
      <c r="I706" s="9">
        <v>51</v>
      </c>
      <c r="J706" s="11">
        <v>4.4000000000000004</v>
      </c>
      <c r="K706" s="9">
        <v>25886</v>
      </c>
      <c r="L706" s="9">
        <v>4.3599790576818664</v>
      </c>
      <c r="M706" s="9" t="s">
        <v>28</v>
      </c>
      <c r="N706" s="9" t="s">
        <v>29</v>
      </c>
      <c r="O706" s="9">
        <v>76</v>
      </c>
      <c r="P706" s="9" t="s">
        <v>36</v>
      </c>
      <c r="Q706" s="9" t="b">
        <v>0</v>
      </c>
      <c r="R706" s="9" t="b">
        <v>0</v>
      </c>
      <c r="S706" s="9" t="b">
        <v>0</v>
      </c>
      <c r="T706" s="9">
        <v>0.5</v>
      </c>
      <c r="U706" s="9">
        <v>1</v>
      </c>
      <c r="V706" s="9" t="b">
        <v>1</v>
      </c>
      <c r="W706" s="9" t="s">
        <v>2256</v>
      </c>
    </row>
    <row r="707" spans="1:23" ht="29" customHeight="1" x14ac:dyDescent="0.2">
      <c r="A707" s="9" t="s">
        <v>2257</v>
      </c>
      <c r="B707" s="10" t="s">
        <v>2258</v>
      </c>
      <c r="C707" s="9" t="s">
        <v>25</v>
      </c>
      <c r="D707" s="9" t="s">
        <v>25</v>
      </c>
      <c r="E707" s="9" t="s">
        <v>26</v>
      </c>
      <c r="F707" s="9" t="s">
        <v>1677</v>
      </c>
      <c r="G707" s="9">
        <v>599</v>
      </c>
      <c r="H707" s="9">
        <v>1999</v>
      </c>
      <c r="I707" s="9">
        <v>70</v>
      </c>
      <c r="J707" s="11">
        <v>4.4000000000000004</v>
      </c>
      <c r="K707" s="9">
        <v>4736</v>
      </c>
      <c r="L707" s="9">
        <v>4.2603799601907184</v>
      </c>
      <c r="M707" s="9" t="s">
        <v>28</v>
      </c>
      <c r="N707" s="9" t="s">
        <v>93</v>
      </c>
      <c r="O707" s="9">
        <v>74.8</v>
      </c>
      <c r="P707" s="9" t="s">
        <v>36</v>
      </c>
      <c r="Q707" s="9" t="b">
        <v>0</v>
      </c>
      <c r="R707" s="9" t="b">
        <v>0</v>
      </c>
      <c r="S707" s="9" t="b">
        <v>0</v>
      </c>
      <c r="U707" s="9">
        <v>1</v>
      </c>
      <c r="V707" s="9" t="b">
        <v>1</v>
      </c>
      <c r="W707" s="9" t="s">
        <v>2259</v>
      </c>
    </row>
    <row r="708" spans="1:23" ht="29" customHeight="1" x14ac:dyDescent="0.2">
      <c r="A708" s="9" t="s">
        <v>2260</v>
      </c>
      <c r="B708" s="10" t="s">
        <v>2261</v>
      </c>
      <c r="C708" s="9" t="s">
        <v>25</v>
      </c>
      <c r="D708" s="9" t="s">
        <v>25</v>
      </c>
      <c r="E708" s="9" t="s">
        <v>1651</v>
      </c>
      <c r="F708" s="9" t="s">
        <v>1765</v>
      </c>
      <c r="G708" s="9">
        <v>5599</v>
      </c>
      <c r="H708" s="9">
        <v>7350</v>
      </c>
      <c r="I708" s="9">
        <v>24</v>
      </c>
      <c r="J708" s="11">
        <v>4.4000000000000004</v>
      </c>
      <c r="K708" s="9">
        <v>73005</v>
      </c>
      <c r="L708" s="9">
        <v>4.3845434473140434</v>
      </c>
      <c r="M708" s="9" t="s">
        <v>28</v>
      </c>
      <c r="N708" s="9" t="s">
        <v>144</v>
      </c>
      <c r="O708" s="9">
        <v>54.8</v>
      </c>
      <c r="P708" s="9" t="s">
        <v>53</v>
      </c>
      <c r="Q708" s="9" t="b">
        <v>0</v>
      </c>
      <c r="R708" s="9" t="b">
        <v>0</v>
      </c>
      <c r="S708" s="9" t="b">
        <v>0</v>
      </c>
      <c r="U708" s="9">
        <v>1</v>
      </c>
      <c r="V708" s="9" t="b">
        <v>1</v>
      </c>
      <c r="W708" s="9" t="s">
        <v>2262</v>
      </c>
    </row>
    <row r="709" spans="1:23" ht="29" customHeight="1" x14ac:dyDescent="0.2">
      <c r="A709" s="9" t="s">
        <v>2263</v>
      </c>
      <c r="B709" s="10" t="s">
        <v>2264</v>
      </c>
      <c r="C709" s="9" t="s">
        <v>25</v>
      </c>
      <c r="D709" s="9" t="s">
        <v>25</v>
      </c>
      <c r="E709" s="9" t="s">
        <v>26</v>
      </c>
      <c r="F709" s="9" t="s">
        <v>2265</v>
      </c>
      <c r="G709" s="9">
        <v>1990</v>
      </c>
      <c r="H709" s="9">
        <v>2595</v>
      </c>
      <c r="I709" s="9">
        <v>23</v>
      </c>
      <c r="J709" s="11">
        <v>4.3</v>
      </c>
      <c r="K709" s="9">
        <v>20398</v>
      </c>
      <c r="L709" s="9">
        <v>4.2664613353068361</v>
      </c>
      <c r="M709" s="9" t="s">
        <v>28</v>
      </c>
      <c r="N709" s="9" t="s">
        <v>179</v>
      </c>
      <c r="O709" s="9">
        <v>50.5</v>
      </c>
      <c r="P709" s="9" t="s">
        <v>30</v>
      </c>
      <c r="Q709" s="9" t="b">
        <v>0</v>
      </c>
      <c r="R709" s="9" t="b">
        <v>0</v>
      </c>
      <c r="S709" s="9" t="b">
        <v>0</v>
      </c>
      <c r="U709" s="9">
        <v>1</v>
      </c>
      <c r="V709" s="9" t="b">
        <v>1</v>
      </c>
      <c r="W709" s="9" t="s">
        <v>2266</v>
      </c>
    </row>
    <row r="710" spans="1:23" ht="29" customHeight="1" x14ac:dyDescent="0.2">
      <c r="A710" s="9" t="s">
        <v>2267</v>
      </c>
      <c r="B710" s="10" t="s">
        <v>2268</v>
      </c>
      <c r="C710" s="9" t="s">
        <v>25</v>
      </c>
      <c r="D710" s="9" t="s">
        <v>25</v>
      </c>
      <c r="E710" s="9" t="s">
        <v>26</v>
      </c>
      <c r="F710" s="9" t="s">
        <v>2103</v>
      </c>
      <c r="G710" s="9">
        <v>499</v>
      </c>
      <c r="H710" s="9">
        <v>799</v>
      </c>
      <c r="I710" s="9">
        <v>38</v>
      </c>
      <c r="J710" s="11">
        <v>4.3</v>
      </c>
      <c r="K710" s="9">
        <v>2125</v>
      </c>
      <c r="L710" s="9">
        <v>4.1623675739585249</v>
      </c>
      <c r="M710" s="9" t="s">
        <v>28</v>
      </c>
      <c r="N710" s="9" t="s">
        <v>29</v>
      </c>
      <c r="O710" s="9">
        <v>51.4</v>
      </c>
      <c r="P710" s="9" t="s">
        <v>53</v>
      </c>
      <c r="Q710" s="9" t="b">
        <v>0</v>
      </c>
      <c r="R710" s="9" t="b">
        <v>0</v>
      </c>
      <c r="S710" s="9" t="b">
        <v>0</v>
      </c>
      <c r="U710" s="9">
        <v>1</v>
      </c>
      <c r="V710" s="9" t="b">
        <v>1</v>
      </c>
      <c r="W710" s="9" t="s">
        <v>2269</v>
      </c>
    </row>
    <row r="711" spans="1:23" ht="29" customHeight="1" x14ac:dyDescent="0.2">
      <c r="A711" s="9" t="s">
        <v>2270</v>
      </c>
      <c r="B711" s="10" t="s">
        <v>2271</v>
      </c>
      <c r="C711" s="9" t="s">
        <v>25</v>
      </c>
      <c r="D711" s="9" t="s">
        <v>25</v>
      </c>
      <c r="E711" s="9" t="s">
        <v>26</v>
      </c>
      <c r="F711" s="9" t="s">
        <v>2136</v>
      </c>
      <c r="G711" s="9">
        <v>449</v>
      </c>
      <c r="H711" s="9">
        <v>999</v>
      </c>
      <c r="I711" s="9">
        <v>55</v>
      </c>
      <c r="J711" s="11">
        <v>4.3</v>
      </c>
      <c r="K711" s="9">
        <v>11330</v>
      </c>
      <c r="L711" s="9">
        <v>4.2463103588988442</v>
      </c>
      <c r="M711" s="9" t="s">
        <v>28</v>
      </c>
      <c r="N711" s="9" t="s">
        <v>29</v>
      </c>
      <c r="O711" s="9">
        <v>68.400000000000006</v>
      </c>
      <c r="P711" s="9" t="s">
        <v>36</v>
      </c>
      <c r="Q711" s="9" t="b">
        <v>0</v>
      </c>
      <c r="R711" s="9" t="b">
        <v>0</v>
      </c>
      <c r="S711" s="9" t="b">
        <v>0</v>
      </c>
      <c r="U711" s="9">
        <v>1</v>
      </c>
      <c r="V711" s="9" t="b">
        <v>1</v>
      </c>
      <c r="W711" s="9" t="s">
        <v>2272</v>
      </c>
    </row>
    <row r="712" spans="1:23" ht="29" customHeight="1" x14ac:dyDescent="0.2">
      <c r="A712" s="9" t="s">
        <v>2273</v>
      </c>
      <c r="B712" s="10" t="s">
        <v>2274</v>
      </c>
      <c r="C712" s="9" t="s">
        <v>25</v>
      </c>
      <c r="D712" s="9" t="s">
        <v>25</v>
      </c>
      <c r="E712" s="9" t="s">
        <v>26</v>
      </c>
      <c r="F712" s="9" t="s">
        <v>2275</v>
      </c>
      <c r="G712" s="9">
        <v>999</v>
      </c>
      <c r="H712" s="9">
        <v>1999</v>
      </c>
      <c r="I712" s="9">
        <v>50</v>
      </c>
      <c r="J712" s="11">
        <v>4.2</v>
      </c>
      <c r="K712" s="9">
        <v>27441</v>
      </c>
      <c r="L712" s="9">
        <v>4.1860893518893976</v>
      </c>
      <c r="M712" s="9" t="s">
        <v>28</v>
      </c>
      <c r="N712" s="9" t="s">
        <v>93</v>
      </c>
      <c r="O712" s="9">
        <v>57.3</v>
      </c>
      <c r="P712" s="9" t="s">
        <v>53</v>
      </c>
      <c r="Q712" s="9" t="b">
        <v>0</v>
      </c>
      <c r="R712" s="9" t="b">
        <v>0</v>
      </c>
      <c r="S712" s="9" t="b">
        <v>0</v>
      </c>
      <c r="U712" s="9">
        <v>1</v>
      </c>
      <c r="V712" s="9" t="b">
        <v>1</v>
      </c>
      <c r="W712" s="9" t="s">
        <v>2276</v>
      </c>
    </row>
    <row r="713" spans="1:23" ht="29" customHeight="1" x14ac:dyDescent="0.2">
      <c r="A713" s="9" t="s">
        <v>2277</v>
      </c>
      <c r="B713" s="10" t="s">
        <v>2278</v>
      </c>
      <c r="C713" s="9" t="s">
        <v>25</v>
      </c>
      <c r="D713" s="9" t="s">
        <v>25</v>
      </c>
      <c r="E713" s="9" t="s">
        <v>26</v>
      </c>
      <c r="F713" s="9" t="s">
        <v>1517</v>
      </c>
      <c r="G713" s="9">
        <v>69</v>
      </c>
      <c r="H713" s="9">
        <v>299</v>
      </c>
      <c r="I713" s="9">
        <v>77</v>
      </c>
      <c r="J713" s="11">
        <v>4.3</v>
      </c>
      <c r="K713" s="9">
        <v>255</v>
      </c>
      <c r="L713" s="9">
        <v>4.0983046899018838</v>
      </c>
      <c r="M713" s="9" t="s">
        <v>89</v>
      </c>
      <c r="N713" s="9" t="s">
        <v>29</v>
      </c>
      <c r="O713" s="9">
        <v>73.3</v>
      </c>
      <c r="P713" s="9" t="s">
        <v>36</v>
      </c>
      <c r="Q713" s="9" t="b">
        <v>0</v>
      </c>
      <c r="R713" s="9" t="b">
        <v>0</v>
      </c>
      <c r="S713" s="9" t="b">
        <v>0</v>
      </c>
      <c r="U713" s="9">
        <v>1</v>
      </c>
      <c r="V713" s="9" t="b">
        <v>1</v>
      </c>
      <c r="W713" s="9" t="s">
        <v>2279</v>
      </c>
    </row>
    <row r="714" spans="1:23" ht="29" customHeight="1" x14ac:dyDescent="0.2">
      <c r="A714" s="9" t="s">
        <v>2280</v>
      </c>
      <c r="B714" s="10" t="s">
        <v>2281</v>
      </c>
      <c r="C714" s="9" t="s">
        <v>25</v>
      </c>
      <c r="D714" s="9" t="s">
        <v>25</v>
      </c>
      <c r="E714" s="9" t="s">
        <v>26</v>
      </c>
      <c r="F714" s="9" t="s">
        <v>1656</v>
      </c>
      <c r="G714" s="9">
        <v>899</v>
      </c>
      <c r="H714" s="9">
        <v>1499</v>
      </c>
      <c r="I714" s="9">
        <v>40</v>
      </c>
      <c r="J714" s="11">
        <v>4.2</v>
      </c>
      <c r="K714" s="9">
        <v>23174</v>
      </c>
      <c r="L714" s="9">
        <v>4.1838857717847828</v>
      </c>
      <c r="M714" s="9" t="s">
        <v>28</v>
      </c>
      <c r="N714" s="9" t="s">
        <v>93</v>
      </c>
      <c r="O714" s="9">
        <v>52.3</v>
      </c>
      <c r="P714" s="9" t="s">
        <v>53</v>
      </c>
      <c r="Q714" s="9" t="b">
        <v>0</v>
      </c>
      <c r="R714" s="9" t="b">
        <v>0</v>
      </c>
      <c r="S714" s="9" t="b">
        <v>0</v>
      </c>
      <c r="T714" s="9">
        <v>1.57</v>
      </c>
      <c r="U714" s="9">
        <v>1</v>
      </c>
      <c r="V714" s="9" t="b">
        <v>1</v>
      </c>
      <c r="W714" s="9" t="s">
        <v>2282</v>
      </c>
    </row>
    <row r="715" spans="1:23" ht="29" customHeight="1" x14ac:dyDescent="0.2">
      <c r="A715" s="9" t="s">
        <v>2283</v>
      </c>
      <c r="B715" s="10" t="s">
        <v>2284</v>
      </c>
      <c r="C715" s="9" t="s">
        <v>1723</v>
      </c>
      <c r="D715" s="9" t="s">
        <v>1724</v>
      </c>
      <c r="E715" s="9" t="s">
        <v>1725</v>
      </c>
      <c r="F715" s="9" t="s">
        <v>1726</v>
      </c>
      <c r="G715" s="9">
        <v>478</v>
      </c>
      <c r="H715" s="9">
        <v>699</v>
      </c>
      <c r="I715" s="9">
        <v>32</v>
      </c>
      <c r="J715" s="11">
        <v>3.8</v>
      </c>
      <c r="K715" s="9">
        <v>20218</v>
      </c>
      <c r="L715" s="9">
        <v>3.8446587473856182</v>
      </c>
      <c r="M715" s="9" t="s">
        <v>28</v>
      </c>
      <c r="N715" s="9" t="s">
        <v>29</v>
      </c>
      <c r="O715" s="9">
        <v>22</v>
      </c>
      <c r="P715" s="9" t="s">
        <v>40</v>
      </c>
      <c r="Q715" s="9" t="b">
        <v>0</v>
      </c>
      <c r="R715" s="9" t="b">
        <v>0</v>
      </c>
      <c r="S715" s="9" t="b">
        <v>1</v>
      </c>
      <c r="U715" s="9">
        <v>1</v>
      </c>
      <c r="V715" s="9" t="b">
        <v>1</v>
      </c>
      <c r="W715" s="9" t="s">
        <v>2285</v>
      </c>
    </row>
    <row r="716" spans="1:23" ht="29" customHeight="1" x14ac:dyDescent="0.2">
      <c r="A716" s="9" t="s">
        <v>2286</v>
      </c>
      <c r="B716" s="10" t="s">
        <v>2287</v>
      </c>
      <c r="C716" s="9" t="s">
        <v>25</v>
      </c>
      <c r="D716" s="9" t="s">
        <v>25</v>
      </c>
      <c r="E716" s="9" t="s">
        <v>26</v>
      </c>
      <c r="F716" s="9" t="s">
        <v>2288</v>
      </c>
      <c r="G716" s="9">
        <v>1399</v>
      </c>
      <c r="H716" s="9">
        <v>2490</v>
      </c>
      <c r="I716" s="9">
        <v>44</v>
      </c>
      <c r="J716" s="11">
        <v>4.3</v>
      </c>
      <c r="K716" s="9">
        <v>11074</v>
      </c>
      <c r="L716" s="9">
        <v>4.2453839579200494</v>
      </c>
      <c r="M716" s="9" t="s">
        <v>28</v>
      </c>
      <c r="N716" s="9" t="s">
        <v>179</v>
      </c>
      <c r="O716" s="9">
        <v>58.4</v>
      </c>
      <c r="P716" s="9" t="s">
        <v>53</v>
      </c>
      <c r="Q716" s="9" t="b">
        <v>0</v>
      </c>
      <c r="R716" s="9" t="b">
        <v>0</v>
      </c>
      <c r="S716" s="9" t="b">
        <v>0</v>
      </c>
      <c r="U716" s="9">
        <v>1</v>
      </c>
      <c r="V716" s="9" t="b">
        <v>1</v>
      </c>
      <c r="W716" s="9" t="s">
        <v>2289</v>
      </c>
    </row>
    <row r="717" spans="1:23" ht="29" customHeight="1" x14ac:dyDescent="0.2">
      <c r="A717" s="9" t="s">
        <v>2290</v>
      </c>
      <c r="B717" s="10" t="s">
        <v>2291</v>
      </c>
      <c r="C717" s="9" t="s">
        <v>25</v>
      </c>
      <c r="D717" s="9" t="s">
        <v>25</v>
      </c>
      <c r="E717" s="9" t="s">
        <v>26</v>
      </c>
      <c r="F717" s="9" t="s">
        <v>1158</v>
      </c>
      <c r="G717" s="9">
        <v>149</v>
      </c>
      <c r="H717" s="9">
        <v>499</v>
      </c>
      <c r="I717" s="9">
        <v>70</v>
      </c>
      <c r="J717" s="11">
        <v>4.0999999999999996</v>
      </c>
      <c r="K717" s="9">
        <v>25607</v>
      </c>
      <c r="L717" s="9">
        <v>4.0980316005271051</v>
      </c>
      <c r="M717" s="9" t="s">
        <v>28</v>
      </c>
      <c r="N717" s="9" t="s">
        <v>29</v>
      </c>
      <c r="O717" s="9">
        <v>68.7</v>
      </c>
      <c r="P717" s="9" t="s">
        <v>36</v>
      </c>
      <c r="Q717" s="9" t="b">
        <v>0</v>
      </c>
      <c r="R717" s="9" t="b">
        <v>0</v>
      </c>
      <c r="S717" s="9" t="b">
        <v>0</v>
      </c>
      <c r="U717" s="9">
        <v>1</v>
      </c>
      <c r="V717" s="9" t="b">
        <v>1</v>
      </c>
      <c r="W717" s="9" t="s">
        <v>2292</v>
      </c>
    </row>
    <row r="718" spans="1:23" ht="29" customHeight="1" x14ac:dyDescent="0.2">
      <c r="A718" s="9" t="s">
        <v>2293</v>
      </c>
      <c r="B718" s="10" t="s">
        <v>2294</v>
      </c>
      <c r="C718" s="9" t="s">
        <v>44</v>
      </c>
      <c r="D718" s="9" t="s">
        <v>44</v>
      </c>
      <c r="E718" s="9" t="s">
        <v>359</v>
      </c>
      <c r="F718" s="9" t="s">
        <v>1903</v>
      </c>
      <c r="G718" s="9">
        <v>1799</v>
      </c>
      <c r="H718" s="9">
        <v>4990</v>
      </c>
      <c r="I718" s="9">
        <v>64</v>
      </c>
      <c r="J718" s="11">
        <v>4.2</v>
      </c>
      <c r="K718" s="9">
        <v>41226</v>
      </c>
      <c r="L718" s="9">
        <v>4.1903517363699798</v>
      </c>
      <c r="M718" s="9" t="s">
        <v>28</v>
      </c>
      <c r="N718" s="9" t="s">
        <v>179</v>
      </c>
      <c r="O718" s="9">
        <v>67.8</v>
      </c>
      <c r="P718" s="9" t="s">
        <v>36</v>
      </c>
      <c r="Q718" s="9" t="b">
        <v>0</v>
      </c>
      <c r="R718" s="9" t="b">
        <v>0</v>
      </c>
      <c r="S718" s="9" t="b">
        <v>0</v>
      </c>
      <c r="U718" s="9">
        <v>1</v>
      </c>
      <c r="V718" s="9" t="b">
        <v>1</v>
      </c>
      <c r="W718" s="9" t="s">
        <v>2295</v>
      </c>
    </row>
    <row r="719" spans="1:23" ht="29" customHeight="1" x14ac:dyDescent="0.2">
      <c r="A719" s="9" t="s">
        <v>2296</v>
      </c>
      <c r="B719" s="10" t="s">
        <v>2297</v>
      </c>
      <c r="C719" s="9" t="s">
        <v>2298</v>
      </c>
      <c r="D719" s="9" t="s">
        <v>1724</v>
      </c>
      <c r="E719" s="9" t="s">
        <v>2299</v>
      </c>
      <c r="F719" s="9" t="s">
        <v>2300</v>
      </c>
      <c r="G719" s="9">
        <v>425</v>
      </c>
      <c r="H719" s="9">
        <v>999</v>
      </c>
      <c r="I719" s="9">
        <v>57</v>
      </c>
      <c r="J719" s="11">
        <v>4</v>
      </c>
      <c r="K719" s="9">
        <v>2581</v>
      </c>
      <c r="L719" s="9">
        <v>4.0501992735368191</v>
      </c>
      <c r="M719" s="9" t="s">
        <v>28</v>
      </c>
      <c r="N719" s="9" t="s">
        <v>29</v>
      </c>
      <c r="O719" s="9">
        <v>40.5</v>
      </c>
      <c r="P719" s="9" t="s">
        <v>30</v>
      </c>
      <c r="Q719" s="9" t="b">
        <v>0</v>
      </c>
      <c r="R719" s="9" t="b">
        <v>0</v>
      </c>
      <c r="S719" s="9" t="b">
        <v>0</v>
      </c>
      <c r="U719" s="9">
        <v>1</v>
      </c>
      <c r="V719" s="9" t="b">
        <v>1</v>
      </c>
      <c r="W719" s="9" t="s">
        <v>2301</v>
      </c>
    </row>
    <row r="720" spans="1:23" ht="29" customHeight="1" x14ac:dyDescent="0.2">
      <c r="A720" s="9" t="s">
        <v>2302</v>
      </c>
      <c r="B720" s="10" t="s">
        <v>2303</v>
      </c>
      <c r="C720" s="9" t="s">
        <v>44</v>
      </c>
      <c r="D720" s="9" t="s">
        <v>44</v>
      </c>
      <c r="E720" s="9" t="s">
        <v>359</v>
      </c>
      <c r="F720" s="9" t="s">
        <v>2132</v>
      </c>
      <c r="G720" s="9">
        <v>999</v>
      </c>
      <c r="H720" s="9">
        <v>2490</v>
      </c>
      <c r="I720" s="9">
        <v>60</v>
      </c>
      <c r="J720" s="11">
        <v>4.0999999999999996</v>
      </c>
      <c r="K720" s="9">
        <v>18331</v>
      </c>
      <c r="L720" s="9">
        <v>4.0973833521932157</v>
      </c>
      <c r="M720" s="9" t="s">
        <v>28</v>
      </c>
      <c r="N720" s="9" t="s">
        <v>93</v>
      </c>
      <c r="O720" s="9">
        <v>57.6</v>
      </c>
      <c r="P720" s="9" t="s">
        <v>53</v>
      </c>
      <c r="Q720" s="9" t="b">
        <v>0</v>
      </c>
      <c r="R720" s="9" t="b">
        <v>0</v>
      </c>
      <c r="S720" s="9" t="b">
        <v>0</v>
      </c>
      <c r="U720" s="9">
        <v>1</v>
      </c>
      <c r="V720" s="9" t="b">
        <v>1</v>
      </c>
      <c r="W720" s="9" t="s">
        <v>2304</v>
      </c>
    </row>
    <row r="721" spans="1:23" ht="29" customHeight="1" x14ac:dyDescent="0.2">
      <c r="A721" s="9" t="s">
        <v>2305</v>
      </c>
      <c r="B721" s="10" t="s">
        <v>2306</v>
      </c>
      <c r="C721" s="9" t="s">
        <v>25</v>
      </c>
      <c r="D721" s="9" t="s">
        <v>25</v>
      </c>
      <c r="E721" s="9" t="s">
        <v>26</v>
      </c>
      <c r="F721" s="9" t="s">
        <v>1660</v>
      </c>
      <c r="G721" s="9">
        <v>378</v>
      </c>
      <c r="H721" s="9">
        <v>999</v>
      </c>
      <c r="I721" s="9">
        <v>62</v>
      </c>
      <c r="J721" s="11">
        <v>4.0999999999999996</v>
      </c>
      <c r="K721" s="9">
        <v>1779</v>
      </c>
      <c r="L721" s="9">
        <v>4.0895676426384213</v>
      </c>
      <c r="M721" s="9" t="s">
        <v>28</v>
      </c>
      <c r="N721" s="9" t="s">
        <v>29</v>
      </c>
      <c r="O721" s="9">
        <v>53.1</v>
      </c>
      <c r="P721" s="9" t="s">
        <v>53</v>
      </c>
      <c r="Q721" s="9" t="b">
        <v>0</v>
      </c>
      <c r="R721" s="9" t="b">
        <v>0</v>
      </c>
      <c r="S721" s="9" t="b">
        <v>0</v>
      </c>
      <c r="T721" s="9">
        <v>1.31</v>
      </c>
      <c r="U721" s="9">
        <v>1</v>
      </c>
      <c r="V721" s="9" t="b">
        <v>1</v>
      </c>
      <c r="W721" s="9" t="s">
        <v>2307</v>
      </c>
    </row>
    <row r="722" spans="1:23" ht="29" customHeight="1" x14ac:dyDescent="0.2">
      <c r="A722" s="9" t="s">
        <v>2308</v>
      </c>
      <c r="B722" s="10" t="s">
        <v>2309</v>
      </c>
      <c r="C722" s="9" t="s">
        <v>1735</v>
      </c>
      <c r="D722" s="9" t="s">
        <v>1724</v>
      </c>
      <c r="E722" s="9" t="s">
        <v>1736</v>
      </c>
      <c r="F722" s="9" t="s">
        <v>2310</v>
      </c>
      <c r="G722" s="9">
        <v>99</v>
      </c>
      <c r="H722" s="9">
        <v>99</v>
      </c>
      <c r="I722" s="9">
        <v>0</v>
      </c>
      <c r="J722" s="11">
        <v>4.3</v>
      </c>
      <c r="K722" s="9">
        <v>388</v>
      </c>
      <c r="L722" s="9">
        <v>4.1047678813831618</v>
      </c>
      <c r="M722" s="9" t="s">
        <v>89</v>
      </c>
      <c r="N722" s="9" t="s">
        <v>29</v>
      </c>
      <c r="O722" s="9">
        <v>43.4</v>
      </c>
      <c r="P722" s="9" t="s">
        <v>30</v>
      </c>
      <c r="Q722" s="9" t="b">
        <v>0</v>
      </c>
      <c r="R722" s="9" t="b">
        <v>0</v>
      </c>
      <c r="S722" s="9" t="b">
        <v>0</v>
      </c>
      <c r="U722" s="9">
        <v>1</v>
      </c>
      <c r="V722" s="9" t="b">
        <v>1</v>
      </c>
      <c r="W722" s="9" t="s">
        <v>2311</v>
      </c>
    </row>
    <row r="723" spans="1:23" ht="29" customHeight="1" x14ac:dyDescent="0.2">
      <c r="A723" s="9" t="s">
        <v>2312</v>
      </c>
      <c r="B723" s="10" t="s">
        <v>2313</v>
      </c>
      <c r="C723" s="9" t="s">
        <v>25</v>
      </c>
      <c r="D723" s="9" t="s">
        <v>25</v>
      </c>
      <c r="E723" s="9" t="s">
        <v>34</v>
      </c>
      <c r="F723" s="9" t="s">
        <v>1877</v>
      </c>
      <c r="G723" s="9">
        <v>1499</v>
      </c>
      <c r="H723" s="9">
        <v>2999</v>
      </c>
      <c r="I723" s="9">
        <v>50</v>
      </c>
      <c r="J723" s="11">
        <v>4.5</v>
      </c>
      <c r="K723" s="9">
        <v>8656</v>
      </c>
      <c r="L723" s="9">
        <v>4.3741546154270496</v>
      </c>
      <c r="M723" s="9" t="s">
        <v>28</v>
      </c>
      <c r="N723" s="9" t="s">
        <v>179</v>
      </c>
      <c r="O723" s="9">
        <v>72</v>
      </c>
      <c r="P723" s="9" t="s">
        <v>36</v>
      </c>
      <c r="Q723" s="9" t="b">
        <v>0</v>
      </c>
      <c r="R723" s="9" t="b">
        <v>0</v>
      </c>
      <c r="S723" s="9" t="b">
        <v>0</v>
      </c>
      <c r="U723" s="9">
        <v>1</v>
      </c>
      <c r="V723" s="9" t="b">
        <v>1</v>
      </c>
      <c r="W723" s="9" t="s">
        <v>2314</v>
      </c>
    </row>
    <row r="724" spans="1:23" ht="29" customHeight="1" x14ac:dyDescent="0.2">
      <c r="A724" s="9" t="s">
        <v>2315</v>
      </c>
      <c r="B724" s="10" t="s">
        <v>2316</v>
      </c>
      <c r="C724" s="9" t="s">
        <v>25</v>
      </c>
      <c r="D724" s="9" t="s">
        <v>25</v>
      </c>
      <c r="E724" s="9" t="s">
        <v>2205</v>
      </c>
      <c r="F724" s="9" t="s">
        <v>2317</v>
      </c>
      <c r="G724" s="9">
        <v>1815</v>
      </c>
      <c r="H724" s="9">
        <v>3100</v>
      </c>
      <c r="I724" s="9">
        <v>41</v>
      </c>
      <c r="J724" s="11">
        <v>4.5</v>
      </c>
      <c r="K724" s="9">
        <v>92925</v>
      </c>
      <c r="L724" s="9">
        <v>4.4838364741221026</v>
      </c>
      <c r="M724" s="9" t="s">
        <v>28</v>
      </c>
      <c r="N724" s="9" t="s">
        <v>179</v>
      </c>
      <c r="O724" s="9">
        <v>70.599999999999994</v>
      </c>
      <c r="P724" s="9" t="s">
        <v>36</v>
      </c>
      <c r="Q724" s="9" t="b">
        <v>0</v>
      </c>
      <c r="R724" s="9" t="b">
        <v>0</v>
      </c>
      <c r="S724" s="9" t="b">
        <v>0</v>
      </c>
      <c r="U724" s="9">
        <v>1</v>
      </c>
      <c r="V724" s="9" t="b">
        <v>1</v>
      </c>
      <c r="W724" s="9" t="s">
        <v>2318</v>
      </c>
    </row>
    <row r="725" spans="1:23" ht="29" customHeight="1" x14ac:dyDescent="0.2">
      <c r="A725" s="9" t="s">
        <v>2319</v>
      </c>
      <c r="B725" s="10" t="s">
        <v>2320</v>
      </c>
      <c r="C725" s="9" t="s">
        <v>1735</v>
      </c>
      <c r="D725" s="9" t="s">
        <v>1724</v>
      </c>
      <c r="E725" s="9" t="s">
        <v>1736</v>
      </c>
      <c r="F725" s="9" t="s">
        <v>2160</v>
      </c>
      <c r="G725" s="9">
        <v>67</v>
      </c>
      <c r="H725" s="9">
        <v>75</v>
      </c>
      <c r="I725" s="9">
        <v>11</v>
      </c>
      <c r="J725" s="11">
        <v>4.0999999999999996</v>
      </c>
      <c r="K725" s="9">
        <v>1269</v>
      </c>
      <c r="L725" s="9">
        <v>4.0885102040506434</v>
      </c>
      <c r="M725" s="9" t="s">
        <v>28</v>
      </c>
      <c r="N725" s="9" t="s">
        <v>29</v>
      </c>
      <c r="O725" s="9">
        <v>39</v>
      </c>
      <c r="P725" s="9" t="s">
        <v>30</v>
      </c>
      <c r="Q725" s="9" t="b">
        <v>0</v>
      </c>
      <c r="R725" s="9" t="b">
        <v>0</v>
      </c>
      <c r="S725" s="9" t="b">
        <v>0</v>
      </c>
      <c r="U725" s="9">
        <v>1</v>
      </c>
      <c r="V725" s="9" t="b">
        <v>1</v>
      </c>
      <c r="W725" s="9" t="s">
        <v>2321</v>
      </c>
    </row>
    <row r="726" spans="1:23" ht="29" customHeight="1" x14ac:dyDescent="0.2">
      <c r="A726" s="9" t="s">
        <v>2322</v>
      </c>
      <c r="B726" s="10" t="s">
        <v>2323</v>
      </c>
      <c r="C726" s="9" t="s">
        <v>25</v>
      </c>
      <c r="D726" s="9" t="s">
        <v>25</v>
      </c>
      <c r="E726" s="9" t="s">
        <v>26</v>
      </c>
      <c r="F726" s="9" t="s">
        <v>1667</v>
      </c>
      <c r="G726" s="9">
        <v>1889</v>
      </c>
      <c r="H726" s="9">
        <v>2699</v>
      </c>
      <c r="I726" s="9">
        <v>30</v>
      </c>
      <c r="J726" s="11">
        <v>4.3</v>
      </c>
      <c r="K726" s="9">
        <v>17394</v>
      </c>
      <c r="L726" s="9">
        <v>4.2616991984345622</v>
      </c>
      <c r="M726" s="9" t="s">
        <v>28</v>
      </c>
      <c r="N726" s="9" t="s">
        <v>179</v>
      </c>
      <c r="O726" s="9">
        <v>53.1</v>
      </c>
      <c r="P726" s="9" t="s">
        <v>53</v>
      </c>
      <c r="Q726" s="9" t="b">
        <v>0</v>
      </c>
      <c r="R726" s="9" t="b">
        <v>0</v>
      </c>
      <c r="S726" s="9" t="b">
        <v>0</v>
      </c>
      <c r="T726" s="9">
        <v>3.29</v>
      </c>
      <c r="U726" s="9">
        <v>1</v>
      </c>
      <c r="V726" s="9" t="b">
        <v>1</v>
      </c>
      <c r="W726" s="9" t="s">
        <v>2324</v>
      </c>
    </row>
    <row r="727" spans="1:23" ht="29" customHeight="1" x14ac:dyDescent="0.2">
      <c r="A727" s="9" t="s">
        <v>2325</v>
      </c>
      <c r="B727" s="10" t="s">
        <v>2326</v>
      </c>
      <c r="C727" s="9" t="s">
        <v>44</v>
      </c>
      <c r="D727" s="9" t="s">
        <v>44</v>
      </c>
      <c r="E727" s="9" t="s">
        <v>1009</v>
      </c>
      <c r="F727" s="9" t="s">
        <v>1010</v>
      </c>
      <c r="G727" s="9">
        <v>499</v>
      </c>
      <c r="H727" s="9">
        <v>1499</v>
      </c>
      <c r="I727" s="9">
        <v>67</v>
      </c>
      <c r="J727" s="11">
        <v>3.6</v>
      </c>
      <c r="K727" s="9">
        <v>9169</v>
      </c>
      <c r="L727" s="9">
        <v>3.7410075468182979</v>
      </c>
      <c r="M727" s="9" t="s">
        <v>28</v>
      </c>
      <c r="N727" s="9" t="s">
        <v>29</v>
      </c>
      <c r="O727" s="9">
        <v>39.700000000000003</v>
      </c>
      <c r="P727" s="9" t="s">
        <v>30</v>
      </c>
      <c r="Q727" s="9" t="b">
        <v>0</v>
      </c>
      <c r="R727" s="9" t="b">
        <v>0</v>
      </c>
      <c r="S727" s="9" t="b">
        <v>1</v>
      </c>
      <c r="T727" s="9">
        <v>0.53</v>
      </c>
      <c r="U727" s="9">
        <v>1</v>
      </c>
      <c r="V727" s="9" t="b">
        <v>1</v>
      </c>
      <c r="W727" s="9" t="s">
        <v>2327</v>
      </c>
    </row>
    <row r="728" spans="1:23" ht="29" customHeight="1" x14ac:dyDescent="0.2">
      <c r="A728" s="9" t="s">
        <v>2328</v>
      </c>
      <c r="B728" s="10" t="s">
        <v>2329</v>
      </c>
      <c r="C728" s="9" t="s">
        <v>25</v>
      </c>
      <c r="D728" s="9" t="s">
        <v>25</v>
      </c>
      <c r="E728" s="9" t="s">
        <v>26</v>
      </c>
      <c r="F728" s="9" t="s">
        <v>1847</v>
      </c>
      <c r="G728" s="9">
        <v>499</v>
      </c>
      <c r="H728" s="9">
        <v>999</v>
      </c>
      <c r="I728" s="9">
        <v>50</v>
      </c>
      <c r="J728" s="11">
        <v>4.4000000000000004</v>
      </c>
      <c r="K728" s="9">
        <v>1030</v>
      </c>
      <c r="L728" s="9">
        <v>4.1524129560106031</v>
      </c>
      <c r="M728" s="9" t="s">
        <v>28</v>
      </c>
      <c r="N728" s="9" t="s">
        <v>29</v>
      </c>
      <c r="O728" s="9">
        <v>56.5</v>
      </c>
      <c r="P728" s="9" t="s">
        <v>53</v>
      </c>
      <c r="Q728" s="9" t="b">
        <v>0</v>
      </c>
      <c r="R728" s="9" t="b">
        <v>0</v>
      </c>
      <c r="S728" s="9" t="b">
        <v>0</v>
      </c>
      <c r="U728" s="9">
        <v>1</v>
      </c>
      <c r="V728" s="9" t="b">
        <v>1</v>
      </c>
      <c r="W728" s="9" t="s">
        <v>2330</v>
      </c>
    </row>
    <row r="729" spans="1:23" ht="29" customHeight="1" x14ac:dyDescent="0.2">
      <c r="A729" s="9" t="s">
        <v>2331</v>
      </c>
      <c r="B729" s="10" t="s">
        <v>2332</v>
      </c>
      <c r="C729" s="9" t="s">
        <v>25</v>
      </c>
      <c r="D729" s="9" t="s">
        <v>25</v>
      </c>
      <c r="E729" s="9" t="s">
        <v>1651</v>
      </c>
      <c r="F729" s="9" t="s">
        <v>1765</v>
      </c>
      <c r="G729" s="9">
        <v>5799</v>
      </c>
      <c r="H729" s="9">
        <v>7999</v>
      </c>
      <c r="I729" s="9">
        <v>28</v>
      </c>
      <c r="J729" s="11">
        <v>4.5</v>
      </c>
      <c r="K729" s="9">
        <v>50273</v>
      </c>
      <c r="L729" s="9">
        <v>4.4710780707438778</v>
      </c>
      <c r="M729" s="9" t="s">
        <v>28</v>
      </c>
      <c r="N729" s="9" t="s">
        <v>144</v>
      </c>
      <c r="O729" s="9">
        <v>57.4</v>
      </c>
      <c r="P729" s="9" t="s">
        <v>53</v>
      </c>
      <c r="Q729" s="9" t="b">
        <v>0</v>
      </c>
      <c r="R729" s="9" t="b">
        <v>0</v>
      </c>
      <c r="S729" s="9" t="b">
        <v>0</v>
      </c>
      <c r="U729" s="9">
        <v>1</v>
      </c>
      <c r="V729" s="9" t="b">
        <v>1</v>
      </c>
      <c r="W729" s="9" t="s">
        <v>2333</v>
      </c>
    </row>
    <row r="730" spans="1:23" ht="29" customHeight="1" x14ac:dyDescent="0.2">
      <c r="A730" s="9" t="s">
        <v>2334</v>
      </c>
      <c r="B730" s="10" t="s">
        <v>2335</v>
      </c>
      <c r="C730" s="9" t="s">
        <v>44</v>
      </c>
      <c r="D730" s="9" t="s">
        <v>44</v>
      </c>
      <c r="E730" s="9" t="s">
        <v>359</v>
      </c>
      <c r="F730" s="9" t="s">
        <v>2336</v>
      </c>
      <c r="G730" s="9">
        <v>499</v>
      </c>
      <c r="H730" s="9">
        <v>799</v>
      </c>
      <c r="I730" s="9">
        <v>38</v>
      </c>
      <c r="J730" s="11">
        <v>3.9</v>
      </c>
      <c r="K730" s="9">
        <v>6742</v>
      </c>
      <c r="L730" s="9">
        <v>3.9661325233643501</v>
      </c>
      <c r="M730" s="9" t="s">
        <v>28</v>
      </c>
      <c r="N730" s="9" t="s">
        <v>29</v>
      </c>
      <c r="O730" s="9">
        <v>31.2</v>
      </c>
      <c r="P730" s="9" t="s">
        <v>40</v>
      </c>
      <c r="Q730" s="9" t="b">
        <v>0</v>
      </c>
      <c r="R730" s="9" t="b">
        <v>0</v>
      </c>
      <c r="S730" s="9" t="b">
        <v>0</v>
      </c>
      <c r="U730" s="9">
        <v>1</v>
      </c>
      <c r="V730" s="9" t="b">
        <v>1</v>
      </c>
      <c r="W730" s="9" t="s">
        <v>2337</v>
      </c>
    </row>
    <row r="731" spans="1:23" ht="29" customHeight="1" x14ac:dyDescent="0.2">
      <c r="A731" s="9" t="s">
        <v>2338</v>
      </c>
      <c r="B731" s="10" t="s">
        <v>2339</v>
      </c>
      <c r="C731" s="9" t="s">
        <v>25</v>
      </c>
      <c r="D731" s="9" t="s">
        <v>25</v>
      </c>
      <c r="E731" s="9" t="s">
        <v>26</v>
      </c>
      <c r="F731" s="9" t="s">
        <v>1660</v>
      </c>
      <c r="G731" s="9">
        <v>249</v>
      </c>
      <c r="H731" s="9">
        <v>600</v>
      </c>
      <c r="I731" s="9">
        <v>59</v>
      </c>
      <c r="J731" s="11">
        <v>4</v>
      </c>
      <c r="K731" s="9">
        <v>1208</v>
      </c>
      <c r="L731" s="9">
        <v>4.0640658065950754</v>
      </c>
      <c r="M731" s="9" t="s">
        <v>28</v>
      </c>
      <c r="N731" s="9" t="s">
        <v>29</v>
      </c>
      <c r="O731" s="9">
        <v>48</v>
      </c>
      <c r="P731" s="9" t="s">
        <v>30</v>
      </c>
      <c r="Q731" s="9" t="b">
        <v>0</v>
      </c>
      <c r="R731" s="9" t="b">
        <v>0</v>
      </c>
      <c r="S731" s="9" t="b">
        <v>0</v>
      </c>
      <c r="T731" s="9">
        <v>0.86</v>
      </c>
      <c r="U731" s="9">
        <v>1</v>
      </c>
      <c r="V731" s="9" t="b">
        <v>1</v>
      </c>
      <c r="W731" s="9" t="s">
        <v>2340</v>
      </c>
    </row>
    <row r="732" spans="1:23" ht="29" customHeight="1" x14ac:dyDescent="0.2">
      <c r="A732" s="9" t="s">
        <v>2341</v>
      </c>
      <c r="B732" s="10" t="s">
        <v>2342</v>
      </c>
      <c r="C732" s="9" t="s">
        <v>25</v>
      </c>
      <c r="D732" s="9" t="s">
        <v>25</v>
      </c>
      <c r="E732" s="9" t="s">
        <v>1651</v>
      </c>
      <c r="F732" s="9" t="s">
        <v>1765</v>
      </c>
      <c r="G732" s="9">
        <v>4449</v>
      </c>
      <c r="H732" s="9">
        <v>5734</v>
      </c>
      <c r="I732" s="9">
        <v>22</v>
      </c>
      <c r="J732" s="11">
        <v>4.4000000000000004</v>
      </c>
      <c r="K732" s="9">
        <v>25006</v>
      </c>
      <c r="L732" s="9">
        <v>4.3587548565855299</v>
      </c>
      <c r="M732" s="9" t="s">
        <v>28</v>
      </c>
      <c r="N732" s="9" t="s">
        <v>144</v>
      </c>
      <c r="O732" s="9">
        <v>53.9</v>
      </c>
      <c r="P732" s="9" t="s">
        <v>53</v>
      </c>
      <c r="Q732" s="9" t="b">
        <v>0</v>
      </c>
      <c r="R732" s="9" t="b">
        <v>0</v>
      </c>
      <c r="S732" s="9" t="b">
        <v>0</v>
      </c>
      <c r="U732" s="9">
        <v>1</v>
      </c>
      <c r="V732" s="9" t="b">
        <v>1</v>
      </c>
      <c r="W732" s="9" t="s">
        <v>2343</v>
      </c>
    </row>
    <row r="733" spans="1:23" ht="29" customHeight="1" x14ac:dyDescent="0.2">
      <c r="A733" s="9" t="s">
        <v>2344</v>
      </c>
      <c r="B733" s="10" t="s">
        <v>2345</v>
      </c>
      <c r="C733" s="9" t="s">
        <v>25</v>
      </c>
      <c r="D733" s="9" t="s">
        <v>25</v>
      </c>
      <c r="E733" s="9" t="s">
        <v>26</v>
      </c>
      <c r="F733" s="9" t="s">
        <v>2071</v>
      </c>
      <c r="G733" s="9">
        <v>299</v>
      </c>
      <c r="H733" s="9">
        <v>550</v>
      </c>
      <c r="I733" s="9">
        <v>46</v>
      </c>
      <c r="J733" s="11">
        <v>4.5999999999999996</v>
      </c>
      <c r="K733" s="9">
        <v>33434</v>
      </c>
      <c r="L733" s="9">
        <v>4.5478698020426878</v>
      </c>
      <c r="M733" s="9" t="s">
        <v>28</v>
      </c>
      <c r="N733" s="9" t="s">
        <v>29</v>
      </c>
      <c r="O733" s="9">
        <v>75.099999999999994</v>
      </c>
      <c r="P733" s="9" t="s">
        <v>36</v>
      </c>
      <c r="Q733" s="9" t="b">
        <v>0</v>
      </c>
      <c r="R733" s="9" t="b">
        <v>0</v>
      </c>
      <c r="S733" s="9" t="b">
        <v>0</v>
      </c>
      <c r="U733" s="9">
        <v>1</v>
      </c>
      <c r="V733" s="9" t="b">
        <v>1</v>
      </c>
      <c r="W733" s="9" t="s">
        <v>2346</v>
      </c>
    </row>
    <row r="734" spans="1:23" ht="29" customHeight="1" x14ac:dyDescent="0.2">
      <c r="A734" s="9" t="s">
        <v>2347</v>
      </c>
      <c r="B734" s="10" t="s">
        <v>2348</v>
      </c>
      <c r="C734" s="9" t="s">
        <v>25</v>
      </c>
      <c r="D734" s="9" t="s">
        <v>25</v>
      </c>
      <c r="E734" s="9" t="s">
        <v>26</v>
      </c>
      <c r="F734" s="9" t="s">
        <v>1656</v>
      </c>
      <c r="G734" s="9">
        <v>629</v>
      </c>
      <c r="H734" s="9">
        <v>1390</v>
      </c>
      <c r="I734" s="9">
        <v>55</v>
      </c>
      <c r="J734" s="11">
        <v>4.4000000000000004</v>
      </c>
      <c r="K734" s="9">
        <v>6301</v>
      </c>
      <c r="L734" s="9">
        <v>4.2820926210245762</v>
      </c>
      <c r="M734" s="9" t="s">
        <v>28</v>
      </c>
      <c r="N734" s="9" t="s">
        <v>93</v>
      </c>
      <c r="O734" s="9">
        <v>68.900000000000006</v>
      </c>
      <c r="P734" s="9" t="s">
        <v>36</v>
      </c>
      <c r="Q734" s="9" t="b">
        <v>0</v>
      </c>
      <c r="R734" s="9" t="b">
        <v>0</v>
      </c>
      <c r="S734" s="9" t="b">
        <v>0</v>
      </c>
      <c r="T734" s="9">
        <v>1.1000000000000001</v>
      </c>
      <c r="U734" s="9">
        <v>1</v>
      </c>
      <c r="V734" s="9" t="b">
        <v>1</v>
      </c>
      <c r="W734" s="9" t="s">
        <v>2349</v>
      </c>
    </row>
    <row r="735" spans="1:23" ht="29" customHeight="1" x14ac:dyDescent="0.2">
      <c r="A735" s="9" t="s">
        <v>2350</v>
      </c>
      <c r="B735" s="10" t="s">
        <v>2351</v>
      </c>
      <c r="C735" s="9" t="s">
        <v>25</v>
      </c>
      <c r="D735" s="9" t="s">
        <v>25</v>
      </c>
      <c r="E735" s="9" t="s">
        <v>26</v>
      </c>
      <c r="F735" s="9" t="s">
        <v>1714</v>
      </c>
      <c r="G735" s="9">
        <v>2595</v>
      </c>
      <c r="H735" s="9">
        <v>3295</v>
      </c>
      <c r="I735" s="9">
        <v>21</v>
      </c>
      <c r="J735" s="11">
        <v>4.4000000000000004</v>
      </c>
      <c r="K735" s="9">
        <v>22618</v>
      </c>
      <c r="L735" s="9">
        <v>4.3550212881363439</v>
      </c>
      <c r="M735" s="9" t="s">
        <v>28</v>
      </c>
      <c r="N735" s="9" t="s">
        <v>144</v>
      </c>
      <c r="O735" s="9">
        <v>53</v>
      </c>
      <c r="P735" s="9" t="s">
        <v>53</v>
      </c>
      <c r="Q735" s="9" t="b">
        <v>0</v>
      </c>
      <c r="R735" s="9" t="b">
        <v>0</v>
      </c>
      <c r="S735" s="9" t="b">
        <v>0</v>
      </c>
      <c r="U735" s="9">
        <v>1</v>
      </c>
      <c r="V735" s="9" t="b">
        <v>1</v>
      </c>
      <c r="W735" s="9" t="s">
        <v>2352</v>
      </c>
    </row>
    <row r="736" spans="1:23" ht="29" customHeight="1" x14ac:dyDescent="0.2">
      <c r="A736" s="9" t="s">
        <v>2353</v>
      </c>
      <c r="B736" s="10" t="s">
        <v>2354</v>
      </c>
      <c r="C736" s="9" t="s">
        <v>25</v>
      </c>
      <c r="D736" s="9" t="s">
        <v>25</v>
      </c>
      <c r="E736" s="9" t="s">
        <v>34</v>
      </c>
      <c r="F736" s="9" t="s">
        <v>1877</v>
      </c>
      <c r="G736" s="9">
        <v>1799</v>
      </c>
      <c r="H736" s="9">
        <v>2911</v>
      </c>
      <c r="I736" s="9">
        <v>38</v>
      </c>
      <c r="J736" s="11">
        <v>4.3</v>
      </c>
      <c r="K736" s="9">
        <v>20342</v>
      </c>
      <c r="L736" s="9">
        <v>4.2663834176888464</v>
      </c>
      <c r="M736" s="9" t="s">
        <v>28</v>
      </c>
      <c r="N736" s="9" t="s">
        <v>179</v>
      </c>
      <c r="O736" s="9">
        <v>60.2</v>
      </c>
      <c r="P736" s="9" t="s">
        <v>53</v>
      </c>
      <c r="Q736" s="9" t="b">
        <v>0</v>
      </c>
      <c r="R736" s="9" t="b">
        <v>0</v>
      </c>
      <c r="S736" s="9" t="b">
        <v>0</v>
      </c>
      <c r="U736" s="9">
        <v>1</v>
      </c>
      <c r="V736" s="9" t="b">
        <v>1</v>
      </c>
      <c r="W736" s="9" t="s">
        <v>2355</v>
      </c>
    </row>
    <row r="737" spans="1:23" ht="29" customHeight="1" x14ac:dyDescent="0.2">
      <c r="A737" s="9" t="s">
        <v>2356</v>
      </c>
      <c r="B737" s="10" t="s">
        <v>2357</v>
      </c>
      <c r="C737" s="9" t="s">
        <v>1735</v>
      </c>
      <c r="D737" s="9" t="s">
        <v>1724</v>
      </c>
      <c r="E737" s="9" t="s">
        <v>1736</v>
      </c>
      <c r="F737" s="9" t="s">
        <v>1984</v>
      </c>
      <c r="G737" s="9">
        <v>90</v>
      </c>
      <c r="H737" s="9">
        <v>175</v>
      </c>
      <c r="I737" s="9">
        <v>49</v>
      </c>
      <c r="J737" s="11">
        <v>4.4000000000000004</v>
      </c>
      <c r="K737" s="9">
        <v>7429</v>
      </c>
      <c r="L737" s="9">
        <v>4.2939765975678714</v>
      </c>
      <c r="M737" s="9" t="s">
        <v>28</v>
      </c>
      <c r="N737" s="9" t="s">
        <v>29</v>
      </c>
      <c r="O737" s="9">
        <v>74.8</v>
      </c>
      <c r="P737" s="9" t="s">
        <v>36</v>
      </c>
      <c r="Q737" s="9" t="b">
        <v>0</v>
      </c>
      <c r="R737" s="9" t="b">
        <v>0</v>
      </c>
      <c r="S737" s="9" t="b">
        <v>0</v>
      </c>
      <c r="U737" s="9">
        <v>1</v>
      </c>
      <c r="V737" s="9" t="b">
        <v>1</v>
      </c>
      <c r="W737" s="9" t="s">
        <v>2358</v>
      </c>
    </row>
    <row r="738" spans="1:23" ht="29" customHeight="1" x14ac:dyDescent="0.2">
      <c r="A738" s="9" t="s">
        <v>2359</v>
      </c>
      <c r="B738" s="10" t="s">
        <v>2360</v>
      </c>
      <c r="C738" s="9" t="s">
        <v>25</v>
      </c>
      <c r="D738" s="9" t="s">
        <v>25</v>
      </c>
      <c r="E738" s="9" t="s">
        <v>26</v>
      </c>
      <c r="F738" s="9" t="s">
        <v>1667</v>
      </c>
      <c r="G738" s="9">
        <v>599</v>
      </c>
      <c r="H738" s="9">
        <v>599</v>
      </c>
      <c r="I738" s="9">
        <v>0</v>
      </c>
      <c r="J738" s="11">
        <v>4</v>
      </c>
      <c r="K738" s="9">
        <v>26423</v>
      </c>
      <c r="L738" s="9">
        <v>4.010549405896235</v>
      </c>
      <c r="M738" s="9" t="s">
        <v>28</v>
      </c>
      <c r="N738" s="9" t="s">
        <v>93</v>
      </c>
      <c r="O738" s="9">
        <v>14.3</v>
      </c>
      <c r="P738" s="9" t="s">
        <v>40</v>
      </c>
      <c r="Q738" s="9" t="b">
        <v>0</v>
      </c>
      <c r="R738" s="9" t="b">
        <v>0</v>
      </c>
      <c r="S738" s="9" t="b">
        <v>0</v>
      </c>
      <c r="T738" s="9">
        <v>1.04</v>
      </c>
      <c r="U738" s="9">
        <v>1</v>
      </c>
      <c r="V738" s="9" t="b">
        <v>1</v>
      </c>
      <c r="W738" s="9" t="s">
        <v>2361</v>
      </c>
    </row>
    <row r="739" spans="1:23" ht="29" customHeight="1" x14ac:dyDescent="0.2">
      <c r="A739" s="9" t="s">
        <v>2362</v>
      </c>
      <c r="B739" s="10" t="s">
        <v>2363</v>
      </c>
      <c r="C739" s="9" t="s">
        <v>44</v>
      </c>
      <c r="D739" s="9" t="s">
        <v>44</v>
      </c>
      <c r="E739" s="9" t="s">
        <v>976</v>
      </c>
      <c r="F739" s="9" t="s">
        <v>977</v>
      </c>
      <c r="G739" s="9">
        <v>1999</v>
      </c>
      <c r="H739" s="9">
        <v>7999</v>
      </c>
      <c r="I739" s="9">
        <v>75</v>
      </c>
      <c r="J739" s="11">
        <v>4.2</v>
      </c>
      <c r="K739" s="9">
        <v>31305</v>
      </c>
      <c r="L739" s="9">
        <v>4.1876221313661031</v>
      </c>
      <c r="M739" s="9" t="s">
        <v>28</v>
      </c>
      <c r="N739" s="9" t="s">
        <v>179</v>
      </c>
      <c r="O739" s="9">
        <v>74.5</v>
      </c>
      <c r="P739" s="9" t="s">
        <v>36</v>
      </c>
      <c r="Q739" s="9" t="b">
        <v>0</v>
      </c>
      <c r="R739" s="9" t="b">
        <v>0</v>
      </c>
      <c r="S739" s="9" t="b">
        <v>0</v>
      </c>
      <c r="T739" s="9">
        <v>0.91</v>
      </c>
      <c r="U739" s="9">
        <v>1</v>
      </c>
      <c r="V739" s="9" t="b">
        <v>1</v>
      </c>
      <c r="W739" s="9" t="s">
        <v>2364</v>
      </c>
    </row>
    <row r="740" spans="1:23" ht="29" customHeight="1" x14ac:dyDescent="0.2">
      <c r="A740" s="9" t="s">
        <v>2365</v>
      </c>
      <c r="B740" s="10" t="s">
        <v>2366</v>
      </c>
      <c r="C740" s="9" t="s">
        <v>25</v>
      </c>
      <c r="D740" s="9" t="s">
        <v>25</v>
      </c>
      <c r="E740" s="9" t="s">
        <v>34</v>
      </c>
      <c r="F740" s="9" t="s">
        <v>2367</v>
      </c>
      <c r="G740" s="9">
        <v>2099</v>
      </c>
      <c r="H740" s="9">
        <v>3250</v>
      </c>
      <c r="I740" s="9">
        <v>35</v>
      </c>
      <c r="J740" s="11">
        <v>3.8</v>
      </c>
      <c r="K740" s="9">
        <v>11213</v>
      </c>
      <c r="L740" s="9">
        <v>3.8715127435932559</v>
      </c>
      <c r="M740" s="9" t="s">
        <v>28</v>
      </c>
      <c r="N740" s="9" t="s">
        <v>179</v>
      </c>
      <c r="O740" s="9">
        <v>17.100000000000001</v>
      </c>
      <c r="P740" s="9" t="s">
        <v>40</v>
      </c>
      <c r="Q740" s="9" t="b">
        <v>0</v>
      </c>
      <c r="R740" s="9" t="b">
        <v>0</v>
      </c>
      <c r="S740" s="9" t="b">
        <v>1</v>
      </c>
      <c r="U740" s="9">
        <v>1</v>
      </c>
      <c r="V740" s="9" t="b">
        <v>1</v>
      </c>
      <c r="W740" s="9" t="s">
        <v>2368</v>
      </c>
    </row>
    <row r="741" spans="1:23" ht="29" customHeight="1" x14ac:dyDescent="0.2">
      <c r="A741" s="9" t="s">
        <v>2369</v>
      </c>
      <c r="B741" s="10" t="s">
        <v>2370</v>
      </c>
      <c r="C741" s="9" t="s">
        <v>25</v>
      </c>
      <c r="D741" s="9" t="s">
        <v>25</v>
      </c>
      <c r="E741" s="9" t="s">
        <v>26</v>
      </c>
      <c r="F741" s="9" t="s">
        <v>2371</v>
      </c>
      <c r="G741" s="9">
        <v>179</v>
      </c>
      <c r="H741" s="9">
        <v>499</v>
      </c>
      <c r="I741" s="9">
        <v>64</v>
      </c>
      <c r="J741" s="11">
        <v>4.0999999999999996</v>
      </c>
      <c r="K741" s="9">
        <v>10174</v>
      </c>
      <c r="L741" s="9">
        <v>4.0958518345123096</v>
      </c>
      <c r="M741" s="9" t="s">
        <v>28</v>
      </c>
      <c r="N741" s="9" t="s">
        <v>29</v>
      </c>
      <c r="O741" s="9">
        <v>63.6</v>
      </c>
      <c r="P741" s="9" t="s">
        <v>36</v>
      </c>
      <c r="Q741" s="9" t="b">
        <v>0</v>
      </c>
      <c r="R741" s="9" t="b">
        <v>0</v>
      </c>
      <c r="S741" s="9" t="b">
        <v>0</v>
      </c>
      <c r="U741" s="9">
        <v>1</v>
      </c>
      <c r="V741" s="9" t="b">
        <v>1</v>
      </c>
      <c r="W741" s="9" t="s">
        <v>2372</v>
      </c>
    </row>
    <row r="742" spans="1:23" ht="29" customHeight="1" x14ac:dyDescent="0.2">
      <c r="A742" s="9" t="s">
        <v>2373</v>
      </c>
      <c r="B742" s="10" t="s">
        <v>2374</v>
      </c>
      <c r="C742" s="9" t="s">
        <v>25</v>
      </c>
      <c r="D742" s="9" t="s">
        <v>25</v>
      </c>
      <c r="E742" s="9" t="s">
        <v>26</v>
      </c>
      <c r="F742" s="9" t="s">
        <v>1755</v>
      </c>
      <c r="G742" s="9">
        <v>1345</v>
      </c>
      <c r="H742" s="9">
        <v>2295</v>
      </c>
      <c r="I742" s="9">
        <v>41</v>
      </c>
      <c r="J742" s="11">
        <v>4.2</v>
      </c>
      <c r="K742" s="9">
        <v>17413</v>
      </c>
      <c r="L742" s="9">
        <v>4.1795017398257803</v>
      </c>
      <c r="M742" s="9" t="s">
        <v>28</v>
      </c>
      <c r="N742" s="9" t="s">
        <v>179</v>
      </c>
      <c r="O742" s="9">
        <v>51.1</v>
      </c>
      <c r="P742" s="9" t="s">
        <v>53</v>
      </c>
      <c r="Q742" s="9" t="b">
        <v>0</v>
      </c>
      <c r="R742" s="9" t="b">
        <v>0</v>
      </c>
      <c r="S742" s="9" t="b">
        <v>0</v>
      </c>
      <c r="T742" s="9">
        <v>1.02</v>
      </c>
      <c r="U742" s="9">
        <v>1</v>
      </c>
      <c r="V742" s="9" t="b">
        <v>1</v>
      </c>
      <c r="W742" s="9" t="s">
        <v>2375</v>
      </c>
    </row>
    <row r="743" spans="1:23" ht="29" customHeight="1" x14ac:dyDescent="0.2">
      <c r="A743" s="9" t="s">
        <v>2376</v>
      </c>
      <c r="B743" s="10" t="s">
        <v>2377</v>
      </c>
      <c r="C743" s="9" t="s">
        <v>44</v>
      </c>
      <c r="D743" s="9" t="s">
        <v>44</v>
      </c>
      <c r="E743" s="9" t="s">
        <v>1769</v>
      </c>
      <c r="F743" s="9" t="s">
        <v>1811</v>
      </c>
      <c r="G743" s="9">
        <v>349</v>
      </c>
      <c r="H743" s="9">
        <v>995</v>
      </c>
      <c r="I743" s="9">
        <v>65</v>
      </c>
      <c r="J743" s="11">
        <v>4.2</v>
      </c>
      <c r="K743" s="9">
        <v>6676</v>
      </c>
      <c r="L743" s="9">
        <v>4.158417310119348</v>
      </c>
      <c r="M743" s="9" t="s">
        <v>28</v>
      </c>
      <c r="N743" s="9" t="s">
        <v>29</v>
      </c>
      <c r="O743" s="9">
        <v>73.599999999999994</v>
      </c>
      <c r="P743" s="9" t="s">
        <v>36</v>
      </c>
      <c r="Q743" s="9" t="b">
        <v>0</v>
      </c>
      <c r="R743" s="9" t="b">
        <v>0</v>
      </c>
      <c r="S743" s="9" t="b">
        <v>0</v>
      </c>
      <c r="U743" s="9">
        <v>1</v>
      </c>
      <c r="V743" s="9" t="b">
        <v>1</v>
      </c>
      <c r="W743" s="9" t="s">
        <v>2378</v>
      </c>
    </row>
    <row r="744" spans="1:23" ht="29" customHeight="1" x14ac:dyDescent="0.2">
      <c r="A744" s="9" t="s">
        <v>2379</v>
      </c>
      <c r="B744" s="10" t="s">
        <v>2380</v>
      </c>
      <c r="C744" s="9" t="s">
        <v>25</v>
      </c>
      <c r="D744" s="9" t="s">
        <v>25</v>
      </c>
      <c r="E744" s="9" t="s">
        <v>26</v>
      </c>
      <c r="F744" s="9" t="s">
        <v>2183</v>
      </c>
      <c r="G744" s="9">
        <v>287</v>
      </c>
      <c r="H744" s="9">
        <v>499</v>
      </c>
      <c r="I744" s="9">
        <v>42</v>
      </c>
      <c r="J744" s="11">
        <v>4.4000000000000004</v>
      </c>
      <c r="K744" s="9">
        <v>8076</v>
      </c>
      <c r="L744" s="9">
        <v>4.299771009138051</v>
      </c>
      <c r="M744" s="9" t="s">
        <v>28</v>
      </c>
      <c r="N744" s="9" t="s">
        <v>29</v>
      </c>
      <c r="O744" s="9">
        <v>69.400000000000006</v>
      </c>
      <c r="P744" s="9" t="s">
        <v>36</v>
      </c>
      <c r="Q744" s="9" t="b">
        <v>0</v>
      </c>
      <c r="R744" s="9" t="b">
        <v>0</v>
      </c>
      <c r="S744" s="9" t="b">
        <v>0</v>
      </c>
      <c r="U744" s="9">
        <v>1</v>
      </c>
      <c r="V744" s="9" t="b">
        <v>1</v>
      </c>
      <c r="W744" s="9" t="s">
        <v>2381</v>
      </c>
    </row>
    <row r="745" spans="1:23" ht="29" customHeight="1" x14ac:dyDescent="0.2">
      <c r="A745" s="9" t="s">
        <v>2382</v>
      </c>
      <c r="B745" s="10" t="s">
        <v>2383</v>
      </c>
      <c r="C745" s="9" t="s">
        <v>25</v>
      </c>
      <c r="D745" s="9" t="s">
        <v>25</v>
      </c>
      <c r="E745" s="9" t="s">
        <v>1651</v>
      </c>
      <c r="F745" s="9" t="s">
        <v>1652</v>
      </c>
      <c r="G745" s="9">
        <v>349</v>
      </c>
      <c r="H745" s="9">
        <v>450</v>
      </c>
      <c r="I745" s="9">
        <v>22</v>
      </c>
      <c r="J745" s="11">
        <v>4.0999999999999996</v>
      </c>
      <c r="K745" s="9">
        <v>18656</v>
      </c>
      <c r="L745" s="9">
        <v>4.0974212856203946</v>
      </c>
      <c r="M745" s="9" t="s">
        <v>28</v>
      </c>
      <c r="N745" s="9" t="s">
        <v>29</v>
      </c>
      <c r="O745" s="9">
        <v>45.8</v>
      </c>
      <c r="P745" s="9" t="s">
        <v>30</v>
      </c>
      <c r="Q745" s="9" t="b">
        <v>0</v>
      </c>
      <c r="R745" s="9" t="b">
        <v>0</v>
      </c>
      <c r="S745" s="9" t="b">
        <v>0</v>
      </c>
      <c r="T745" s="9">
        <v>0.64</v>
      </c>
      <c r="U745" s="9">
        <v>1</v>
      </c>
      <c r="V745" s="9" t="b">
        <v>1</v>
      </c>
      <c r="W745" s="9" t="s">
        <v>2384</v>
      </c>
    </row>
    <row r="746" spans="1:23" ht="29" customHeight="1" x14ac:dyDescent="0.2">
      <c r="A746" s="9" t="s">
        <v>2385</v>
      </c>
      <c r="B746" s="10" t="s">
        <v>2386</v>
      </c>
      <c r="C746" s="9" t="s">
        <v>44</v>
      </c>
      <c r="D746" s="9" t="s">
        <v>44</v>
      </c>
      <c r="E746" s="9" t="s">
        <v>1730</v>
      </c>
      <c r="F746" s="9" t="s">
        <v>1731</v>
      </c>
      <c r="G746" s="9">
        <v>879</v>
      </c>
      <c r="H746" s="9">
        <v>1109</v>
      </c>
      <c r="I746" s="9">
        <v>21</v>
      </c>
      <c r="J746" s="11">
        <v>4.4000000000000004</v>
      </c>
      <c r="K746" s="9">
        <v>31599</v>
      </c>
      <c r="L746" s="9">
        <v>4.3664448366636268</v>
      </c>
      <c r="M746" s="9" t="s">
        <v>28</v>
      </c>
      <c r="N746" s="9" t="s">
        <v>93</v>
      </c>
      <c r="O746" s="9">
        <v>55.4</v>
      </c>
      <c r="P746" s="9" t="s">
        <v>53</v>
      </c>
      <c r="Q746" s="9" t="b">
        <v>0</v>
      </c>
      <c r="R746" s="9" t="b">
        <v>0</v>
      </c>
      <c r="S746" s="9" t="b">
        <v>0</v>
      </c>
      <c r="U746" s="9">
        <v>1</v>
      </c>
      <c r="V746" s="9" t="b">
        <v>1</v>
      </c>
      <c r="W746" s="9" t="s">
        <v>2387</v>
      </c>
    </row>
    <row r="747" spans="1:23" ht="29" customHeight="1" x14ac:dyDescent="0.2">
      <c r="A747" s="9" t="s">
        <v>2388</v>
      </c>
      <c r="B747" s="10" t="s">
        <v>2389</v>
      </c>
      <c r="C747" s="9" t="s">
        <v>44</v>
      </c>
      <c r="D747" s="9" t="s">
        <v>44</v>
      </c>
      <c r="E747" s="9" t="s">
        <v>1730</v>
      </c>
      <c r="F747" s="9" t="s">
        <v>1947</v>
      </c>
      <c r="G747" s="9">
        <v>250</v>
      </c>
      <c r="H747" s="9">
        <v>250</v>
      </c>
      <c r="I747" s="9">
        <v>0</v>
      </c>
      <c r="J747" s="11">
        <v>3.9</v>
      </c>
      <c r="K747" s="9">
        <v>13971</v>
      </c>
      <c r="L747" s="9">
        <v>3.9391738287242122</v>
      </c>
      <c r="M747" s="9" t="s">
        <v>28</v>
      </c>
      <c r="N747" s="9" t="s">
        <v>29</v>
      </c>
      <c r="O747" s="9">
        <v>15.4</v>
      </c>
      <c r="P747" s="9" t="s">
        <v>40</v>
      </c>
      <c r="Q747" s="9" t="b">
        <v>0</v>
      </c>
      <c r="R747" s="9" t="b">
        <v>0</v>
      </c>
      <c r="S747" s="9" t="b">
        <v>0</v>
      </c>
      <c r="U747" s="9">
        <v>1</v>
      </c>
      <c r="V747" s="9" t="b">
        <v>1</v>
      </c>
      <c r="W747" s="9" t="s">
        <v>2390</v>
      </c>
    </row>
    <row r="748" spans="1:23" ht="29" customHeight="1" x14ac:dyDescent="0.2">
      <c r="A748" s="9" t="s">
        <v>2391</v>
      </c>
      <c r="B748" s="10" t="s">
        <v>2392</v>
      </c>
      <c r="C748" s="9" t="s">
        <v>44</v>
      </c>
      <c r="D748" s="9" t="s">
        <v>44</v>
      </c>
      <c r="E748" s="9" t="s">
        <v>1009</v>
      </c>
      <c r="F748" s="9" t="s">
        <v>1010</v>
      </c>
      <c r="G748" s="9">
        <v>199</v>
      </c>
      <c r="H748" s="9">
        <v>499</v>
      </c>
      <c r="I748" s="9">
        <v>60</v>
      </c>
      <c r="J748" s="11">
        <v>3.6</v>
      </c>
      <c r="K748" s="9">
        <v>2492</v>
      </c>
      <c r="L748" s="9">
        <v>3.8915403456200841</v>
      </c>
      <c r="M748" s="9" t="s">
        <v>28</v>
      </c>
      <c r="N748" s="9" t="s">
        <v>29</v>
      </c>
      <c r="O748" s="9">
        <v>42</v>
      </c>
      <c r="P748" s="9" t="s">
        <v>30</v>
      </c>
      <c r="Q748" s="9" t="b">
        <v>0</v>
      </c>
      <c r="R748" s="9" t="b">
        <v>0</v>
      </c>
      <c r="S748" s="9" t="b">
        <v>1</v>
      </c>
      <c r="T748" s="9">
        <v>0.21</v>
      </c>
      <c r="U748" s="9">
        <v>1</v>
      </c>
      <c r="V748" s="9" t="b">
        <v>1</v>
      </c>
      <c r="W748" s="9" t="s">
        <v>2393</v>
      </c>
    </row>
    <row r="749" spans="1:23" ht="29" customHeight="1" x14ac:dyDescent="0.2">
      <c r="A749" s="9" t="s">
        <v>2394</v>
      </c>
      <c r="B749" s="10" t="s">
        <v>2395</v>
      </c>
      <c r="C749" s="9" t="s">
        <v>25</v>
      </c>
      <c r="D749" s="9" t="s">
        <v>25</v>
      </c>
      <c r="E749" s="9" t="s">
        <v>26</v>
      </c>
      <c r="F749" s="9" t="s">
        <v>2371</v>
      </c>
      <c r="G749" s="9">
        <v>149</v>
      </c>
      <c r="H749" s="9">
        <v>999</v>
      </c>
      <c r="I749" s="9">
        <v>85</v>
      </c>
      <c r="J749" s="11">
        <v>3.5</v>
      </c>
      <c r="K749" s="9">
        <v>2523</v>
      </c>
      <c r="L749" s="9">
        <v>3.8499624678515341</v>
      </c>
      <c r="M749" s="9" t="s">
        <v>28</v>
      </c>
      <c r="N749" s="9" t="s">
        <v>29</v>
      </c>
      <c r="O749" s="9">
        <v>47.4</v>
      </c>
      <c r="P749" s="9" t="s">
        <v>30</v>
      </c>
      <c r="Q749" s="9" t="b">
        <v>0</v>
      </c>
      <c r="R749" s="9" t="b">
        <v>0</v>
      </c>
      <c r="S749" s="9" t="b">
        <v>1</v>
      </c>
      <c r="U749" s="9">
        <v>1</v>
      </c>
      <c r="V749" s="9" t="b">
        <v>1</v>
      </c>
      <c r="W749" s="9" t="s">
        <v>2396</v>
      </c>
    </row>
    <row r="750" spans="1:23" ht="29" customHeight="1" x14ac:dyDescent="0.2">
      <c r="A750" s="9" t="s">
        <v>2397</v>
      </c>
      <c r="B750" s="10" t="s">
        <v>2398</v>
      </c>
      <c r="C750" s="9" t="s">
        <v>25</v>
      </c>
      <c r="D750" s="9" t="s">
        <v>25</v>
      </c>
      <c r="E750" s="9" t="s">
        <v>26</v>
      </c>
      <c r="F750" s="9" t="s">
        <v>1660</v>
      </c>
      <c r="G750" s="9">
        <v>469</v>
      </c>
      <c r="H750" s="9">
        <v>1499</v>
      </c>
      <c r="I750" s="9">
        <v>69</v>
      </c>
      <c r="J750" s="11">
        <v>4.0999999999999996</v>
      </c>
      <c r="K750" s="9">
        <v>352</v>
      </c>
      <c r="L750" s="9">
        <v>4.0859494693597798</v>
      </c>
      <c r="M750" s="9" t="s">
        <v>89</v>
      </c>
      <c r="N750" s="9" t="s">
        <v>29</v>
      </c>
      <c r="O750" s="9">
        <v>52.1</v>
      </c>
      <c r="P750" s="9" t="s">
        <v>53</v>
      </c>
      <c r="Q750" s="9" t="b">
        <v>0</v>
      </c>
      <c r="R750" s="9" t="b">
        <v>0</v>
      </c>
      <c r="S750" s="9" t="b">
        <v>0</v>
      </c>
      <c r="T750" s="9">
        <v>1.62</v>
      </c>
      <c r="U750" s="9">
        <v>1</v>
      </c>
      <c r="V750" s="9" t="b">
        <v>1</v>
      </c>
      <c r="W750" s="9" t="s">
        <v>2399</v>
      </c>
    </row>
    <row r="751" spans="1:23" ht="29" customHeight="1" x14ac:dyDescent="0.2">
      <c r="A751" s="9" t="s">
        <v>2400</v>
      </c>
      <c r="B751" s="10" t="s">
        <v>2401</v>
      </c>
      <c r="C751" s="9" t="s">
        <v>25</v>
      </c>
      <c r="D751" s="9" t="s">
        <v>25</v>
      </c>
      <c r="E751" s="9" t="s">
        <v>26</v>
      </c>
      <c r="F751" s="9" t="s">
        <v>2103</v>
      </c>
      <c r="G751" s="9">
        <v>1187</v>
      </c>
      <c r="H751" s="9">
        <v>1929</v>
      </c>
      <c r="I751" s="9">
        <v>38</v>
      </c>
      <c r="J751" s="11">
        <v>4.0999999999999996</v>
      </c>
      <c r="K751" s="9">
        <v>1662</v>
      </c>
      <c r="L751" s="9">
        <v>4.0893426291235713</v>
      </c>
      <c r="M751" s="9" t="s">
        <v>28</v>
      </c>
      <c r="N751" s="9" t="s">
        <v>179</v>
      </c>
      <c r="O751" s="9">
        <v>35.1</v>
      </c>
      <c r="P751" s="9" t="s">
        <v>40</v>
      </c>
      <c r="Q751" s="9" t="b">
        <v>0</v>
      </c>
      <c r="R751" s="9" t="b">
        <v>0</v>
      </c>
      <c r="S751" s="9" t="b">
        <v>0</v>
      </c>
      <c r="U751" s="9">
        <v>1</v>
      </c>
      <c r="V751" s="9" t="b">
        <v>1</v>
      </c>
      <c r="W751" s="9" t="s">
        <v>2402</v>
      </c>
    </row>
    <row r="752" spans="1:23" ht="29" customHeight="1" x14ac:dyDescent="0.2">
      <c r="A752" s="9" t="s">
        <v>2403</v>
      </c>
      <c r="B752" s="10" t="s">
        <v>2404</v>
      </c>
      <c r="C752" s="9" t="s">
        <v>25</v>
      </c>
      <c r="D752" s="9" t="s">
        <v>25</v>
      </c>
      <c r="E752" s="9" t="s">
        <v>26</v>
      </c>
      <c r="F752" s="9" t="s">
        <v>2405</v>
      </c>
      <c r="G752" s="9">
        <v>849</v>
      </c>
      <c r="H752" s="9">
        <v>1499</v>
      </c>
      <c r="I752" s="9">
        <v>43</v>
      </c>
      <c r="J752" s="11">
        <v>4</v>
      </c>
      <c r="K752" s="9">
        <v>7352</v>
      </c>
      <c r="L752" s="9">
        <v>4.0286507797634457</v>
      </c>
      <c r="M752" s="9" t="s">
        <v>28</v>
      </c>
      <c r="N752" s="9" t="s">
        <v>93</v>
      </c>
      <c r="O752" s="9">
        <v>27.4</v>
      </c>
      <c r="P752" s="9" t="s">
        <v>40</v>
      </c>
      <c r="Q752" s="9" t="b">
        <v>0</v>
      </c>
      <c r="R752" s="9" t="b">
        <v>0</v>
      </c>
      <c r="S752" s="9" t="b">
        <v>0</v>
      </c>
      <c r="U752" s="9">
        <v>1</v>
      </c>
      <c r="V752" s="9" t="b">
        <v>1</v>
      </c>
      <c r="W752" s="9" t="s">
        <v>2406</v>
      </c>
    </row>
    <row r="753" spans="1:23" ht="29" customHeight="1" x14ac:dyDescent="0.2">
      <c r="A753" s="9" t="s">
        <v>2407</v>
      </c>
      <c r="B753" s="10" t="s">
        <v>2408</v>
      </c>
      <c r="C753" s="9" t="s">
        <v>25</v>
      </c>
      <c r="D753" s="9" t="s">
        <v>25</v>
      </c>
      <c r="E753" s="9" t="s">
        <v>26</v>
      </c>
      <c r="F753" s="9" t="s">
        <v>1656</v>
      </c>
      <c r="G753" s="9">
        <v>328</v>
      </c>
      <c r="H753" s="9">
        <v>399</v>
      </c>
      <c r="I753" s="9">
        <v>18</v>
      </c>
      <c r="J753" s="11">
        <v>4.0999999999999996</v>
      </c>
      <c r="K753" s="9">
        <v>3441</v>
      </c>
      <c r="L753" s="9">
        <v>4.0919746084099131</v>
      </c>
      <c r="M753" s="9" t="s">
        <v>28</v>
      </c>
      <c r="N753" s="9" t="s">
        <v>29</v>
      </c>
      <c r="O753" s="9">
        <v>36.9</v>
      </c>
      <c r="P753" s="9" t="s">
        <v>40</v>
      </c>
      <c r="Q753" s="9" t="b">
        <v>0</v>
      </c>
      <c r="R753" s="9" t="b">
        <v>0</v>
      </c>
      <c r="S753" s="9" t="b">
        <v>0</v>
      </c>
      <c r="T753" s="9">
        <v>0.56999999999999995</v>
      </c>
      <c r="U753" s="9">
        <v>1</v>
      </c>
      <c r="V753" s="9" t="b">
        <v>1</v>
      </c>
      <c r="W753" s="9" t="s">
        <v>2409</v>
      </c>
    </row>
    <row r="754" spans="1:23" ht="29" customHeight="1" x14ac:dyDescent="0.2">
      <c r="A754" s="9" t="s">
        <v>2410</v>
      </c>
      <c r="B754" s="10" t="s">
        <v>2411</v>
      </c>
      <c r="C754" s="9" t="s">
        <v>25</v>
      </c>
      <c r="D754" s="9" t="s">
        <v>25</v>
      </c>
      <c r="E754" s="9" t="s">
        <v>26</v>
      </c>
      <c r="F754" s="9" t="s">
        <v>1667</v>
      </c>
      <c r="G754" s="9">
        <v>269</v>
      </c>
      <c r="H754" s="9">
        <v>699</v>
      </c>
      <c r="I754" s="9">
        <v>62</v>
      </c>
      <c r="J754" s="11">
        <v>4</v>
      </c>
      <c r="K754" s="9">
        <v>93</v>
      </c>
      <c r="L754" s="9">
        <v>4.0825934617250201</v>
      </c>
      <c r="M754" s="9" t="s">
        <v>204</v>
      </c>
      <c r="N754" s="9" t="s">
        <v>29</v>
      </c>
      <c r="O754" s="9">
        <v>52.4</v>
      </c>
      <c r="P754" s="9" t="s">
        <v>53</v>
      </c>
      <c r="Q754" s="9" t="b">
        <v>0</v>
      </c>
      <c r="R754" s="9" t="b">
        <v>0</v>
      </c>
      <c r="S754" s="9" t="b">
        <v>0</v>
      </c>
      <c r="T754" s="9">
        <v>0.47</v>
      </c>
      <c r="U754" s="9">
        <v>1</v>
      </c>
      <c r="V754" s="9" t="b">
        <v>1</v>
      </c>
      <c r="W754" s="9" t="s">
        <v>2412</v>
      </c>
    </row>
    <row r="755" spans="1:23" ht="29" customHeight="1" x14ac:dyDescent="0.2">
      <c r="A755" s="9" t="s">
        <v>2413</v>
      </c>
      <c r="B755" s="10" t="s">
        <v>2414</v>
      </c>
      <c r="C755" s="9" t="s">
        <v>44</v>
      </c>
      <c r="D755" s="9" t="s">
        <v>44</v>
      </c>
      <c r="E755" s="9" t="s">
        <v>1769</v>
      </c>
      <c r="F755" s="9" t="s">
        <v>2415</v>
      </c>
      <c r="G755" s="9">
        <v>299</v>
      </c>
      <c r="H755" s="9">
        <v>400</v>
      </c>
      <c r="I755" s="9">
        <v>25</v>
      </c>
      <c r="J755" s="11">
        <v>3.8</v>
      </c>
      <c r="K755" s="9">
        <v>40895</v>
      </c>
      <c r="L755" s="9">
        <v>3.823981169829946</v>
      </c>
      <c r="M755" s="9" t="s">
        <v>28</v>
      </c>
      <c r="N755" s="9" t="s">
        <v>29</v>
      </c>
      <c r="O755" s="9">
        <v>23.5</v>
      </c>
      <c r="P755" s="9" t="s">
        <v>40</v>
      </c>
      <c r="Q755" s="9" t="b">
        <v>0</v>
      </c>
      <c r="R755" s="9" t="b">
        <v>0</v>
      </c>
      <c r="S755" s="9" t="b">
        <v>1</v>
      </c>
      <c r="U755" s="9">
        <v>1</v>
      </c>
      <c r="V755" s="9" t="b">
        <v>1</v>
      </c>
      <c r="W755" s="9" t="s">
        <v>2416</v>
      </c>
    </row>
    <row r="756" spans="1:23" ht="29" customHeight="1" x14ac:dyDescent="0.2">
      <c r="A756" s="9" t="s">
        <v>2417</v>
      </c>
      <c r="B756" s="10" t="s">
        <v>2418</v>
      </c>
      <c r="C756" s="9" t="s">
        <v>25</v>
      </c>
      <c r="D756" s="9" t="s">
        <v>25</v>
      </c>
      <c r="E756" s="9" t="s">
        <v>26</v>
      </c>
      <c r="F756" s="9" t="s">
        <v>2241</v>
      </c>
      <c r="G756" s="9">
        <v>549</v>
      </c>
      <c r="H756" s="9">
        <v>1499</v>
      </c>
      <c r="I756" s="9">
        <v>63</v>
      </c>
      <c r="J756" s="11">
        <v>4.3</v>
      </c>
      <c r="K756" s="9">
        <v>11006</v>
      </c>
      <c r="L756" s="9">
        <v>4.245132484116926</v>
      </c>
      <c r="M756" s="9" t="s">
        <v>28</v>
      </c>
      <c r="N756" s="9" t="s">
        <v>93</v>
      </c>
      <c r="O756" s="9">
        <v>71.599999999999994</v>
      </c>
      <c r="P756" s="9" t="s">
        <v>36</v>
      </c>
      <c r="Q756" s="9" t="b">
        <v>0</v>
      </c>
      <c r="R756" s="9" t="b">
        <v>0</v>
      </c>
      <c r="S756" s="9" t="b">
        <v>0</v>
      </c>
      <c r="U756" s="9">
        <v>1</v>
      </c>
      <c r="V756" s="9" t="b">
        <v>1</v>
      </c>
      <c r="W756" s="9" t="s">
        <v>2419</v>
      </c>
    </row>
    <row r="757" spans="1:23" ht="29" customHeight="1" x14ac:dyDescent="0.2">
      <c r="A757" s="9" t="s">
        <v>2420</v>
      </c>
      <c r="B757" s="10" t="s">
        <v>2421</v>
      </c>
      <c r="C757" s="9" t="s">
        <v>1735</v>
      </c>
      <c r="D757" s="9" t="s">
        <v>1724</v>
      </c>
      <c r="E757" s="9" t="s">
        <v>1736</v>
      </c>
      <c r="F757" s="9" t="s">
        <v>1940</v>
      </c>
      <c r="G757" s="9">
        <v>114</v>
      </c>
      <c r="H757" s="9">
        <v>120</v>
      </c>
      <c r="I757" s="9">
        <v>5</v>
      </c>
      <c r="J757" s="11">
        <v>4.2</v>
      </c>
      <c r="K757" s="9">
        <v>8938</v>
      </c>
      <c r="L757" s="9">
        <v>4.1658233212614322</v>
      </c>
      <c r="M757" s="9" t="s">
        <v>28</v>
      </c>
      <c r="N757" s="9" t="s">
        <v>29</v>
      </c>
      <c r="O757" s="9">
        <v>48.5</v>
      </c>
      <c r="P757" s="9" t="s">
        <v>30</v>
      </c>
      <c r="Q757" s="9" t="b">
        <v>0</v>
      </c>
      <c r="R757" s="9" t="b">
        <v>0</v>
      </c>
      <c r="S757" s="9" t="b">
        <v>0</v>
      </c>
      <c r="U757" s="9">
        <v>1</v>
      </c>
      <c r="V757" s="9" t="b">
        <v>1</v>
      </c>
      <c r="W757" s="9" t="s">
        <v>2422</v>
      </c>
    </row>
    <row r="758" spans="1:23" ht="29" customHeight="1" x14ac:dyDescent="0.2">
      <c r="A758" s="9" t="s">
        <v>2423</v>
      </c>
      <c r="B758" s="10" t="s">
        <v>2424</v>
      </c>
      <c r="C758" s="9" t="s">
        <v>1735</v>
      </c>
      <c r="D758" s="9" t="s">
        <v>1724</v>
      </c>
      <c r="E758" s="9" t="s">
        <v>1736</v>
      </c>
      <c r="F758" s="9" t="s">
        <v>2425</v>
      </c>
      <c r="G758" s="9">
        <v>120</v>
      </c>
      <c r="H758" s="9">
        <v>120</v>
      </c>
      <c r="I758" s="9">
        <v>0</v>
      </c>
      <c r="J758" s="11">
        <v>4.0999999999999996</v>
      </c>
      <c r="K758" s="9">
        <v>4308</v>
      </c>
      <c r="L758" s="9">
        <v>4.092836762490653</v>
      </c>
      <c r="M758" s="9" t="s">
        <v>28</v>
      </c>
      <c r="N758" s="9" t="s">
        <v>29</v>
      </c>
      <c r="O758" s="9">
        <v>36.200000000000003</v>
      </c>
      <c r="P758" s="9" t="s">
        <v>40</v>
      </c>
      <c r="Q758" s="9" t="b">
        <v>0</v>
      </c>
      <c r="R758" s="9" t="b">
        <v>0</v>
      </c>
      <c r="S758" s="9" t="b">
        <v>0</v>
      </c>
      <c r="U758" s="9">
        <v>1</v>
      </c>
      <c r="V758" s="9" t="b">
        <v>1</v>
      </c>
      <c r="W758" s="9" t="s">
        <v>2426</v>
      </c>
    </row>
    <row r="759" spans="1:23" ht="29" customHeight="1" x14ac:dyDescent="0.2">
      <c r="A759" s="9" t="s">
        <v>2427</v>
      </c>
      <c r="B759" s="10" t="s">
        <v>2428</v>
      </c>
      <c r="C759" s="9" t="s">
        <v>25</v>
      </c>
      <c r="D759" s="9" t="s">
        <v>25</v>
      </c>
      <c r="E759" s="9" t="s">
        <v>26</v>
      </c>
      <c r="F759" s="9" t="s">
        <v>1656</v>
      </c>
      <c r="G759" s="9">
        <v>1490</v>
      </c>
      <c r="H759" s="9">
        <v>2295</v>
      </c>
      <c r="I759" s="9">
        <v>35</v>
      </c>
      <c r="J759" s="11">
        <v>4.5999999999999996</v>
      </c>
      <c r="K759" s="9">
        <v>10652</v>
      </c>
      <c r="L759" s="9">
        <v>4.4654784482070706</v>
      </c>
      <c r="M759" s="9" t="s">
        <v>28</v>
      </c>
      <c r="N759" s="9" t="s">
        <v>179</v>
      </c>
      <c r="O759" s="9">
        <v>61.4</v>
      </c>
      <c r="P759" s="9" t="s">
        <v>36</v>
      </c>
      <c r="Q759" s="9" t="b">
        <v>0</v>
      </c>
      <c r="R759" s="9" t="b">
        <v>0</v>
      </c>
      <c r="S759" s="9" t="b">
        <v>0</v>
      </c>
      <c r="T759" s="9">
        <v>2.6</v>
      </c>
      <c r="U759" s="9">
        <v>1</v>
      </c>
      <c r="V759" s="9" t="b">
        <v>1</v>
      </c>
      <c r="W759" s="9" t="s">
        <v>2429</v>
      </c>
    </row>
    <row r="760" spans="1:23" ht="29" customHeight="1" x14ac:dyDescent="0.2">
      <c r="A760" s="9" t="s">
        <v>2430</v>
      </c>
      <c r="B760" s="10" t="s">
        <v>2431</v>
      </c>
      <c r="C760" s="9" t="s">
        <v>1741</v>
      </c>
      <c r="D760" s="9" t="s">
        <v>1741</v>
      </c>
      <c r="E760" s="9" t="s">
        <v>1742</v>
      </c>
      <c r="F760" s="9" t="s">
        <v>2432</v>
      </c>
      <c r="G760" s="9">
        <v>99</v>
      </c>
      <c r="H760" s="9">
        <v>99</v>
      </c>
      <c r="I760" s="9">
        <v>0</v>
      </c>
      <c r="J760" s="11">
        <v>4.3</v>
      </c>
      <c r="K760" s="9">
        <v>5036</v>
      </c>
      <c r="L760" s="9">
        <v>4.2079035166995302</v>
      </c>
      <c r="M760" s="9" t="s">
        <v>28</v>
      </c>
      <c r="N760" s="9" t="s">
        <v>29</v>
      </c>
      <c r="O760" s="9">
        <v>55.9</v>
      </c>
      <c r="P760" s="9" t="s">
        <v>53</v>
      </c>
      <c r="Q760" s="9" t="b">
        <v>0</v>
      </c>
      <c r="R760" s="9" t="b">
        <v>0</v>
      </c>
      <c r="S760" s="9" t="b">
        <v>0</v>
      </c>
      <c r="U760" s="9">
        <v>1</v>
      </c>
      <c r="V760" s="9" t="b">
        <v>1</v>
      </c>
      <c r="W760" s="9" t="s">
        <v>2433</v>
      </c>
    </row>
    <row r="761" spans="1:23" ht="29" customHeight="1" x14ac:dyDescent="0.2">
      <c r="A761" s="9" t="s">
        <v>2434</v>
      </c>
      <c r="B761" s="10" t="s">
        <v>2435</v>
      </c>
      <c r="C761" s="9" t="s">
        <v>25</v>
      </c>
      <c r="D761" s="9" t="s">
        <v>25</v>
      </c>
      <c r="E761" s="9" t="s">
        <v>26</v>
      </c>
      <c r="F761" s="9" t="s">
        <v>1656</v>
      </c>
      <c r="G761" s="9">
        <v>149</v>
      </c>
      <c r="H761" s="9">
        <v>249</v>
      </c>
      <c r="I761" s="9">
        <v>40</v>
      </c>
      <c r="J761" s="11">
        <v>4</v>
      </c>
      <c r="K761" s="9">
        <v>5057</v>
      </c>
      <c r="L761" s="9">
        <v>4.0361062522456841</v>
      </c>
      <c r="M761" s="9" t="s">
        <v>28</v>
      </c>
      <c r="N761" s="9" t="s">
        <v>29</v>
      </c>
      <c r="O761" s="9">
        <v>38.200000000000003</v>
      </c>
      <c r="P761" s="9" t="s">
        <v>40</v>
      </c>
      <c r="Q761" s="9" t="b">
        <v>0</v>
      </c>
      <c r="R761" s="9" t="b">
        <v>0</v>
      </c>
      <c r="S761" s="9" t="b">
        <v>0</v>
      </c>
      <c r="T761" s="9">
        <v>0.26</v>
      </c>
      <c r="U761" s="9">
        <v>1</v>
      </c>
      <c r="V761" s="9" t="b">
        <v>1</v>
      </c>
      <c r="W761" s="9" t="s">
        <v>2436</v>
      </c>
    </row>
    <row r="762" spans="1:23" ht="29" customHeight="1" x14ac:dyDescent="0.2">
      <c r="A762" s="9" t="s">
        <v>2437</v>
      </c>
      <c r="B762" s="10" t="s">
        <v>2438</v>
      </c>
      <c r="C762" s="9" t="s">
        <v>25</v>
      </c>
      <c r="D762" s="9" t="s">
        <v>25</v>
      </c>
      <c r="E762" s="9" t="s">
        <v>26</v>
      </c>
      <c r="F762" s="9" t="s">
        <v>1839</v>
      </c>
      <c r="G762" s="9">
        <v>575</v>
      </c>
      <c r="H762" s="9">
        <v>2799</v>
      </c>
      <c r="I762" s="9">
        <v>79</v>
      </c>
      <c r="J762" s="11">
        <v>4.2</v>
      </c>
      <c r="K762" s="9">
        <v>8537</v>
      </c>
      <c r="L762" s="9">
        <v>4.1647090606675734</v>
      </c>
      <c r="M762" s="9" t="s">
        <v>28</v>
      </c>
      <c r="N762" s="9" t="s">
        <v>93</v>
      </c>
      <c r="O762" s="9">
        <v>68.900000000000006</v>
      </c>
      <c r="P762" s="9" t="s">
        <v>36</v>
      </c>
      <c r="Q762" s="9" t="b">
        <v>0</v>
      </c>
      <c r="R762" s="9" t="b">
        <v>0</v>
      </c>
      <c r="S762" s="9" t="b">
        <v>0</v>
      </c>
      <c r="U762" s="9">
        <v>1</v>
      </c>
      <c r="V762" s="9" t="b">
        <v>1</v>
      </c>
      <c r="W762" s="9" t="s">
        <v>2439</v>
      </c>
    </row>
    <row r="763" spans="1:23" ht="29" customHeight="1" x14ac:dyDescent="0.2">
      <c r="A763" s="9" t="s">
        <v>2440</v>
      </c>
      <c r="B763" s="10" t="s">
        <v>2441</v>
      </c>
      <c r="C763" s="9" t="s">
        <v>1735</v>
      </c>
      <c r="D763" s="9" t="s">
        <v>1724</v>
      </c>
      <c r="E763" s="9" t="s">
        <v>1736</v>
      </c>
      <c r="F763" s="9" t="s">
        <v>2173</v>
      </c>
      <c r="G763" s="9">
        <v>178</v>
      </c>
      <c r="H763" s="9">
        <v>210</v>
      </c>
      <c r="I763" s="9">
        <v>15</v>
      </c>
      <c r="J763" s="11">
        <v>4.3</v>
      </c>
      <c r="K763" s="9">
        <v>2450</v>
      </c>
      <c r="L763" s="9">
        <v>4.1695676606327261</v>
      </c>
      <c r="M763" s="9" t="s">
        <v>28</v>
      </c>
      <c r="N763" s="9" t="s">
        <v>29</v>
      </c>
      <c r="O763" s="9">
        <v>46.2</v>
      </c>
      <c r="P763" s="9" t="s">
        <v>30</v>
      </c>
      <c r="Q763" s="9" t="b">
        <v>0</v>
      </c>
      <c r="R763" s="9" t="b">
        <v>0</v>
      </c>
      <c r="S763" s="9" t="b">
        <v>0</v>
      </c>
      <c r="U763" s="9">
        <v>1</v>
      </c>
      <c r="V763" s="9" t="b">
        <v>1</v>
      </c>
      <c r="W763" s="9" t="s">
        <v>2442</v>
      </c>
    </row>
    <row r="764" spans="1:23" ht="29" customHeight="1" x14ac:dyDescent="0.2">
      <c r="A764" s="9" t="s">
        <v>2443</v>
      </c>
      <c r="B764" s="10" t="s">
        <v>2444</v>
      </c>
      <c r="C764" s="9" t="s">
        <v>44</v>
      </c>
      <c r="D764" s="9" t="s">
        <v>44</v>
      </c>
      <c r="E764" s="9" t="s">
        <v>1009</v>
      </c>
      <c r="F764" s="9" t="s">
        <v>1010</v>
      </c>
      <c r="G764" s="9">
        <v>1599</v>
      </c>
      <c r="H764" s="9">
        <v>3490</v>
      </c>
      <c r="I764" s="9">
        <v>54</v>
      </c>
      <c r="J764" s="11">
        <v>3.7</v>
      </c>
      <c r="K764" s="9">
        <v>676</v>
      </c>
      <c r="L764" s="9">
        <v>4.0260536423748601</v>
      </c>
      <c r="M764" s="9" t="s">
        <v>89</v>
      </c>
      <c r="N764" s="9" t="s">
        <v>179</v>
      </c>
      <c r="O764" s="9">
        <v>33.299999999999997</v>
      </c>
      <c r="P764" s="9" t="s">
        <v>40</v>
      </c>
      <c r="Q764" s="9" t="b">
        <v>0</v>
      </c>
      <c r="R764" s="9" t="b">
        <v>0</v>
      </c>
      <c r="S764" s="9" t="b">
        <v>1</v>
      </c>
      <c r="T764" s="9">
        <v>1.68</v>
      </c>
      <c r="U764" s="9">
        <v>1</v>
      </c>
      <c r="V764" s="9" t="b">
        <v>1</v>
      </c>
      <c r="W764" s="9" t="s">
        <v>2445</v>
      </c>
    </row>
    <row r="765" spans="1:23" ht="29" customHeight="1" x14ac:dyDescent="0.2">
      <c r="A765" s="9" t="s">
        <v>2446</v>
      </c>
      <c r="B765" s="10" t="s">
        <v>2447</v>
      </c>
      <c r="C765" s="9" t="s">
        <v>44</v>
      </c>
      <c r="D765" s="9" t="s">
        <v>44</v>
      </c>
      <c r="E765" s="9" t="s">
        <v>1009</v>
      </c>
      <c r="F765" s="9" t="s">
        <v>1010</v>
      </c>
      <c r="G765" s="9">
        <v>499</v>
      </c>
      <c r="H765" s="9">
        <v>1299</v>
      </c>
      <c r="I765" s="9">
        <v>62</v>
      </c>
      <c r="J765" s="11">
        <v>3.9</v>
      </c>
      <c r="K765" s="9">
        <v>1173</v>
      </c>
      <c r="L765" s="9">
        <v>4.0407535389891223</v>
      </c>
      <c r="M765" s="9" t="s">
        <v>28</v>
      </c>
      <c r="N765" s="9" t="s">
        <v>29</v>
      </c>
      <c r="O765" s="9">
        <v>47.9</v>
      </c>
      <c r="P765" s="9" t="s">
        <v>30</v>
      </c>
      <c r="Q765" s="9" t="b">
        <v>0</v>
      </c>
      <c r="R765" s="9" t="b">
        <v>0</v>
      </c>
      <c r="S765" s="9" t="b">
        <v>0</v>
      </c>
      <c r="T765" s="9">
        <v>0.53</v>
      </c>
      <c r="U765" s="9">
        <v>1</v>
      </c>
      <c r="V765" s="9" t="b">
        <v>1</v>
      </c>
      <c r="W765" s="9" t="s">
        <v>2448</v>
      </c>
    </row>
    <row r="766" spans="1:23" ht="29" customHeight="1" x14ac:dyDescent="0.2">
      <c r="A766" s="9" t="s">
        <v>2449</v>
      </c>
      <c r="B766" s="10" t="s">
        <v>2450</v>
      </c>
      <c r="C766" s="9" t="s">
        <v>25</v>
      </c>
      <c r="D766" s="9" t="s">
        <v>25</v>
      </c>
      <c r="E766" s="9" t="s">
        <v>26</v>
      </c>
      <c r="F766" s="9" t="s">
        <v>1847</v>
      </c>
      <c r="G766" s="9">
        <v>199</v>
      </c>
      <c r="H766" s="9">
        <v>499</v>
      </c>
      <c r="I766" s="9">
        <v>60</v>
      </c>
      <c r="J766" s="11">
        <v>4.3</v>
      </c>
      <c r="K766" s="9">
        <v>9998</v>
      </c>
      <c r="L766" s="9">
        <v>4.2411132656284876</v>
      </c>
      <c r="M766" s="9" t="s">
        <v>28</v>
      </c>
      <c r="N766" s="9" t="s">
        <v>29</v>
      </c>
      <c r="O766" s="9">
        <v>77.599999999999994</v>
      </c>
      <c r="P766" s="9" t="s">
        <v>36</v>
      </c>
      <c r="Q766" s="9" t="b">
        <v>0</v>
      </c>
      <c r="R766" s="9" t="b">
        <v>0</v>
      </c>
      <c r="S766" s="9" t="b">
        <v>0</v>
      </c>
      <c r="U766" s="9">
        <v>1</v>
      </c>
      <c r="V766" s="9" t="b">
        <v>1</v>
      </c>
      <c r="W766" s="9" t="s">
        <v>2451</v>
      </c>
    </row>
    <row r="767" spans="1:23" ht="29" customHeight="1" x14ac:dyDescent="0.2">
      <c r="A767" s="9" t="s">
        <v>2452</v>
      </c>
      <c r="B767" s="10" t="s">
        <v>2453</v>
      </c>
      <c r="C767" s="9" t="s">
        <v>44</v>
      </c>
      <c r="D767" s="9" t="s">
        <v>44</v>
      </c>
      <c r="E767" s="9" t="s">
        <v>976</v>
      </c>
      <c r="F767" s="9" t="s">
        <v>977</v>
      </c>
      <c r="G767" s="9">
        <v>2499</v>
      </c>
      <c r="H767" s="9">
        <v>5999</v>
      </c>
      <c r="I767" s="9">
        <v>58</v>
      </c>
      <c r="J767" s="11">
        <v>4.0999999999999996</v>
      </c>
      <c r="K767" s="9">
        <v>5852</v>
      </c>
      <c r="L767" s="9">
        <v>4.0939871123491409</v>
      </c>
      <c r="M767" s="9" t="s">
        <v>28</v>
      </c>
      <c r="N767" s="9" t="s">
        <v>179</v>
      </c>
      <c r="O767" s="9">
        <v>51.9</v>
      </c>
      <c r="P767" s="9" t="s">
        <v>53</v>
      </c>
      <c r="Q767" s="9" t="b">
        <v>0</v>
      </c>
      <c r="R767" s="9" t="b">
        <v>0</v>
      </c>
      <c r="S767" s="9" t="b">
        <v>0</v>
      </c>
      <c r="T767" s="9">
        <v>1.1399999999999999</v>
      </c>
      <c r="U767" s="9">
        <v>1</v>
      </c>
      <c r="V767" s="9" t="b">
        <v>1</v>
      </c>
      <c r="W767" s="9" t="s">
        <v>2454</v>
      </c>
    </row>
    <row r="768" spans="1:23" ht="29" customHeight="1" x14ac:dyDescent="0.2">
      <c r="A768" s="9" t="s">
        <v>2455</v>
      </c>
      <c r="B768" s="10" t="s">
        <v>2456</v>
      </c>
      <c r="C768" s="9" t="s">
        <v>25</v>
      </c>
      <c r="D768" s="9" t="s">
        <v>25</v>
      </c>
      <c r="E768" s="9" t="s">
        <v>2205</v>
      </c>
      <c r="F768" s="9" t="s">
        <v>2457</v>
      </c>
      <c r="G768" s="9">
        <v>199</v>
      </c>
      <c r="H768" s="9">
        <v>999</v>
      </c>
      <c r="I768" s="9">
        <v>80</v>
      </c>
      <c r="J768" s="11">
        <v>4.2</v>
      </c>
      <c r="K768" s="9">
        <v>362</v>
      </c>
      <c r="L768" s="9">
        <v>4.0947603568143567</v>
      </c>
      <c r="M768" s="9" t="s">
        <v>89</v>
      </c>
      <c r="N768" s="9" t="s">
        <v>29</v>
      </c>
      <c r="O768" s="9">
        <v>72.7</v>
      </c>
      <c r="P768" s="9" t="s">
        <v>36</v>
      </c>
      <c r="Q768" s="9" t="b">
        <v>0</v>
      </c>
      <c r="R768" s="9" t="b">
        <v>0</v>
      </c>
      <c r="S768" s="9" t="b">
        <v>0</v>
      </c>
      <c r="U768" s="9">
        <v>1</v>
      </c>
      <c r="V768" s="9" t="b">
        <v>1</v>
      </c>
      <c r="W768" s="9" t="s">
        <v>2458</v>
      </c>
    </row>
    <row r="769" spans="1:23" ht="29" customHeight="1" x14ac:dyDescent="0.2">
      <c r="A769" s="9" t="s">
        <v>2459</v>
      </c>
      <c r="B769" s="10" t="s">
        <v>2460</v>
      </c>
      <c r="C769" s="9" t="s">
        <v>44</v>
      </c>
      <c r="D769" s="9" t="s">
        <v>44</v>
      </c>
      <c r="E769" s="9" t="s">
        <v>1026</v>
      </c>
      <c r="F769" s="9" t="s">
        <v>1027</v>
      </c>
      <c r="G769" s="9">
        <v>939</v>
      </c>
      <c r="H769" s="9">
        <v>1800</v>
      </c>
      <c r="I769" s="9">
        <v>48</v>
      </c>
      <c r="J769" s="11">
        <v>4.5</v>
      </c>
      <c r="K769" s="9">
        <v>205052</v>
      </c>
      <c r="L769" s="9">
        <v>4.4925157931641762</v>
      </c>
      <c r="M769" s="9" t="s">
        <v>28</v>
      </c>
      <c r="N769" s="9" t="s">
        <v>93</v>
      </c>
      <c r="O769" s="9">
        <v>71.400000000000006</v>
      </c>
      <c r="P769" s="9" t="s">
        <v>36</v>
      </c>
      <c r="Q769" s="9" t="b">
        <v>0</v>
      </c>
      <c r="R769" s="9" t="b">
        <v>0</v>
      </c>
      <c r="S769" s="9" t="b">
        <v>0</v>
      </c>
      <c r="U769" s="9">
        <v>1</v>
      </c>
      <c r="V769" s="9" t="b">
        <v>1</v>
      </c>
      <c r="W769" s="9" t="s">
        <v>2461</v>
      </c>
    </row>
    <row r="770" spans="1:23" ht="29" customHeight="1" x14ac:dyDescent="0.2">
      <c r="A770" s="9" t="s">
        <v>2462</v>
      </c>
      <c r="B770" s="10" t="s">
        <v>2463</v>
      </c>
      <c r="C770" s="9" t="s">
        <v>44</v>
      </c>
      <c r="D770" s="9" t="s">
        <v>44</v>
      </c>
      <c r="E770" s="9" t="s">
        <v>976</v>
      </c>
      <c r="F770" s="9" t="s">
        <v>977</v>
      </c>
      <c r="G770" s="9">
        <v>2499</v>
      </c>
      <c r="H770" s="9">
        <v>9999</v>
      </c>
      <c r="I770" s="9">
        <v>75</v>
      </c>
      <c r="J770" s="11">
        <v>4</v>
      </c>
      <c r="K770" s="9">
        <v>9090</v>
      </c>
      <c r="L770" s="9">
        <v>4.0247764319533799</v>
      </c>
      <c r="M770" s="9" t="s">
        <v>28</v>
      </c>
      <c r="N770" s="9" t="s">
        <v>179</v>
      </c>
      <c r="O770" s="9">
        <v>44.7</v>
      </c>
      <c r="P770" s="9" t="s">
        <v>30</v>
      </c>
      <c r="Q770" s="9" t="b">
        <v>0</v>
      </c>
      <c r="R770" s="9" t="b">
        <v>0</v>
      </c>
      <c r="S770" s="9" t="b">
        <v>0</v>
      </c>
      <c r="T770" s="9">
        <v>1.1399999999999999</v>
      </c>
      <c r="U770" s="9">
        <v>1</v>
      </c>
      <c r="V770" s="9" t="b">
        <v>1</v>
      </c>
      <c r="W770" s="9" t="s">
        <v>2464</v>
      </c>
    </row>
    <row r="771" spans="1:23" ht="29" customHeight="1" x14ac:dyDescent="0.2">
      <c r="A771" s="9" t="s">
        <v>2465</v>
      </c>
      <c r="B771" s="10" t="s">
        <v>2466</v>
      </c>
      <c r="C771" s="9" t="s">
        <v>25</v>
      </c>
      <c r="D771" s="9" t="s">
        <v>25</v>
      </c>
      <c r="E771" s="9" t="s">
        <v>26</v>
      </c>
      <c r="F771" s="9" t="s">
        <v>1656</v>
      </c>
      <c r="G771" s="9">
        <v>1439</v>
      </c>
      <c r="H771" s="9">
        <v>2890</v>
      </c>
      <c r="I771" s="9">
        <v>50</v>
      </c>
      <c r="J771" s="11">
        <v>4.5</v>
      </c>
      <c r="K771" s="9">
        <v>4099</v>
      </c>
      <c r="L771" s="9">
        <v>4.301207033222771</v>
      </c>
      <c r="M771" s="9" t="s">
        <v>28</v>
      </c>
      <c r="N771" s="9" t="s">
        <v>179</v>
      </c>
      <c r="O771" s="9">
        <v>64.8</v>
      </c>
      <c r="P771" s="9" t="s">
        <v>36</v>
      </c>
      <c r="Q771" s="9" t="b">
        <v>0</v>
      </c>
      <c r="R771" s="9" t="b">
        <v>0</v>
      </c>
      <c r="S771" s="9" t="b">
        <v>0</v>
      </c>
      <c r="T771" s="9">
        <v>2.5099999999999998</v>
      </c>
      <c r="U771" s="9">
        <v>1</v>
      </c>
      <c r="V771" s="9" t="b">
        <v>1</v>
      </c>
      <c r="W771" s="9" t="s">
        <v>2467</v>
      </c>
    </row>
    <row r="772" spans="1:23" ht="29" customHeight="1" x14ac:dyDescent="0.2">
      <c r="A772" s="9" t="s">
        <v>2468</v>
      </c>
      <c r="B772" s="10" t="s">
        <v>2469</v>
      </c>
      <c r="C772" s="9" t="s">
        <v>44</v>
      </c>
      <c r="D772" s="9" t="s">
        <v>44</v>
      </c>
      <c r="E772" s="9" t="s">
        <v>1009</v>
      </c>
      <c r="F772" s="9" t="s">
        <v>1010</v>
      </c>
      <c r="G772" s="9">
        <v>1099</v>
      </c>
      <c r="H772" s="9">
        <v>5999</v>
      </c>
      <c r="I772" s="9">
        <v>82</v>
      </c>
      <c r="J772" s="11">
        <v>3.5</v>
      </c>
      <c r="K772" s="9">
        <v>12966</v>
      </c>
      <c r="L772" s="9">
        <v>3.6314935045987871</v>
      </c>
      <c r="M772" s="9" t="s">
        <v>28</v>
      </c>
      <c r="N772" s="9" t="s">
        <v>179</v>
      </c>
      <c r="O772" s="9">
        <v>37.1</v>
      </c>
      <c r="P772" s="9" t="s">
        <v>40</v>
      </c>
      <c r="Q772" s="9" t="b">
        <v>0</v>
      </c>
      <c r="R772" s="9" t="b">
        <v>0</v>
      </c>
      <c r="S772" s="9" t="b">
        <v>1</v>
      </c>
      <c r="T772" s="9">
        <v>1.1599999999999999</v>
      </c>
      <c r="U772" s="9">
        <v>1</v>
      </c>
      <c r="V772" s="9" t="b">
        <v>1</v>
      </c>
      <c r="W772" s="9" t="s">
        <v>2470</v>
      </c>
    </row>
    <row r="773" spans="1:23" ht="29" customHeight="1" x14ac:dyDescent="0.2">
      <c r="A773" s="9" t="s">
        <v>2471</v>
      </c>
      <c r="B773" s="10" t="s">
        <v>2472</v>
      </c>
      <c r="C773" s="9" t="s">
        <v>1735</v>
      </c>
      <c r="D773" s="9" t="s">
        <v>1724</v>
      </c>
      <c r="E773" s="9" t="s">
        <v>1736</v>
      </c>
      <c r="F773" s="9" t="s">
        <v>1940</v>
      </c>
      <c r="G773" s="9">
        <v>157</v>
      </c>
      <c r="H773" s="9">
        <v>160</v>
      </c>
      <c r="I773" s="9">
        <v>2</v>
      </c>
      <c r="J773" s="11">
        <v>4.5</v>
      </c>
      <c r="K773" s="9">
        <v>4428</v>
      </c>
      <c r="L773" s="9">
        <v>4.3091922460998493</v>
      </c>
      <c r="M773" s="9" t="s">
        <v>28</v>
      </c>
      <c r="N773" s="9" t="s">
        <v>29</v>
      </c>
      <c r="O773" s="9">
        <v>57.1</v>
      </c>
      <c r="P773" s="9" t="s">
        <v>53</v>
      </c>
      <c r="Q773" s="9" t="b">
        <v>0</v>
      </c>
      <c r="R773" s="9" t="b">
        <v>0</v>
      </c>
      <c r="S773" s="9" t="b">
        <v>0</v>
      </c>
      <c r="U773" s="9">
        <v>1</v>
      </c>
      <c r="V773" s="9" t="b">
        <v>1</v>
      </c>
      <c r="W773" s="9" t="s">
        <v>2473</v>
      </c>
    </row>
    <row r="774" spans="1:23" ht="29" customHeight="1" x14ac:dyDescent="0.2">
      <c r="A774" s="9" t="s">
        <v>2474</v>
      </c>
      <c r="B774" s="10" t="s">
        <v>2475</v>
      </c>
      <c r="C774" s="9" t="s">
        <v>25</v>
      </c>
      <c r="D774" s="9" t="s">
        <v>25</v>
      </c>
      <c r="E774" s="9" t="s">
        <v>34</v>
      </c>
      <c r="F774" s="9" t="s">
        <v>35</v>
      </c>
      <c r="G774" s="9">
        <v>999</v>
      </c>
      <c r="H774" s="9">
        <v>1599</v>
      </c>
      <c r="I774" s="9">
        <v>38</v>
      </c>
      <c r="J774" s="11">
        <v>4.3</v>
      </c>
      <c r="K774" s="9">
        <v>12093</v>
      </c>
      <c r="L774" s="9">
        <v>4.248894017324008</v>
      </c>
      <c r="M774" s="9" t="s">
        <v>28</v>
      </c>
      <c r="N774" s="9" t="s">
        <v>93</v>
      </c>
      <c r="O774" s="9">
        <v>64.3</v>
      </c>
      <c r="P774" s="9" t="s">
        <v>36</v>
      </c>
      <c r="Q774" s="9" t="b">
        <v>0</v>
      </c>
      <c r="R774" s="9" t="b">
        <v>0</v>
      </c>
      <c r="S774" s="9" t="b">
        <v>0</v>
      </c>
      <c r="T774" s="9">
        <v>1.97</v>
      </c>
      <c r="U774" s="9">
        <v>1</v>
      </c>
      <c r="V774" s="9" t="b">
        <v>1</v>
      </c>
      <c r="W774" s="9" t="s">
        <v>2476</v>
      </c>
    </row>
    <row r="775" spans="1:23" ht="29" customHeight="1" x14ac:dyDescent="0.2">
      <c r="A775" s="9" t="s">
        <v>2477</v>
      </c>
      <c r="B775" s="10" t="s">
        <v>2478</v>
      </c>
      <c r="C775" s="9" t="s">
        <v>25</v>
      </c>
      <c r="D775" s="9" t="s">
        <v>25</v>
      </c>
      <c r="E775" s="9" t="s">
        <v>26</v>
      </c>
      <c r="F775" s="9" t="s">
        <v>1820</v>
      </c>
      <c r="G775" s="9">
        <v>115</v>
      </c>
      <c r="H775" s="9">
        <v>999</v>
      </c>
      <c r="I775" s="9">
        <v>88</v>
      </c>
      <c r="J775" s="11">
        <v>3.3</v>
      </c>
      <c r="K775" s="9">
        <v>5692</v>
      </c>
      <c r="L775" s="9">
        <v>3.6122522705252331</v>
      </c>
      <c r="M775" s="9" t="s">
        <v>28</v>
      </c>
      <c r="N775" s="9" t="s">
        <v>29</v>
      </c>
      <c r="O775" s="9">
        <v>47.1</v>
      </c>
      <c r="P775" s="9" t="s">
        <v>30</v>
      </c>
      <c r="Q775" s="9" t="b">
        <v>0</v>
      </c>
      <c r="R775" s="9" t="b">
        <v>0</v>
      </c>
      <c r="S775" s="9" t="b">
        <v>1</v>
      </c>
      <c r="U775" s="9">
        <v>1</v>
      </c>
      <c r="V775" s="9" t="b">
        <v>1</v>
      </c>
      <c r="W775" s="9" t="s">
        <v>2479</v>
      </c>
    </row>
    <row r="776" spans="1:23" ht="29" customHeight="1" x14ac:dyDescent="0.2">
      <c r="A776" s="9" t="s">
        <v>2480</v>
      </c>
      <c r="B776" s="10" t="s">
        <v>2481</v>
      </c>
      <c r="C776" s="9" t="s">
        <v>25</v>
      </c>
      <c r="D776" s="9" t="s">
        <v>25</v>
      </c>
      <c r="E776" s="9" t="s">
        <v>26</v>
      </c>
      <c r="F776" s="9" t="s">
        <v>1660</v>
      </c>
      <c r="G776" s="9">
        <v>175</v>
      </c>
      <c r="H776" s="9">
        <v>499</v>
      </c>
      <c r="I776" s="9">
        <v>65</v>
      </c>
      <c r="J776" s="11">
        <v>4.0999999999999996</v>
      </c>
      <c r="K776" s="9">
        <v>21</v>
      </c>
      <c r="L776" s="9">
        <v>4.0847202568206198</v>
      </c>
      <c r="M776" s="9" t="s">
        <v>204</v>
      </c>
      <c r="N776" s="9" t="s">
        <v>29</v>
      </c>
      <c r="O776" s="9">
        <v>57.6</v>
      </c>
      <c r="P776" s="9" t="s">
        <v>53</v>
      </c>
      <c r="Q776" s="9" t="b">
        <v>0</v>
      </c>
      <c r="R776" s="9" t="b">
        <v>0</v>
      </c>
      <c r="S776" s="9" t="b">
        <v>0</v>
      </c>
      <c r="T776" s="9">
        <v>0.61</v>
      </c>
      <c r="U776" s="9">
        <v>1</v>
      </c>
      <c r="V776" s="9" t="b">
        <v>1</v>
      </c>
      <c r="W776" s="9" t="s">
        <v>2482</v>
      </c>
    </row>
    <row r="777" spans="1:23" ht="29" customHeight="1" x14ac:dyDescent="0.2">
      <c r="A777" s="9" t="s">
        <v>2483</v>
      </c>
      <c r="B777" s="10" t="s">
        <v>2484</v>
      </c>
      <c r="C777" s="9" t="s">
        <v>44</v>
      </c>
      <c r="D777" s="9" t="s">
        <v>44</v>
      </c>
      <c r="E777" s="9" t="s">
        <v>1769</v>
      </c>
      <c r="F777" s="9" t="s">
        <v>2037</v>
      </c>
      <c r="G777" s="9">
        <v>1999</v>
      </c>
      <c r="H777" s="9">
        <v>4700</v>
      </c>
      <c r="I777" s="9">
        <v>57</v>
      </c>
      <c r="J777" s="11">
        <v>3.8</v>
      </c>
      <c r="K777" s="9">
        <v>1880</v>
      </c>
      <c r="L777" s="9">
        <v>3.9897986870502109</v>
      </c>
      <c r="M777" s="9" t="s">
        <v>28</v>
      </c>
      <c r="N777" s="9" t="s">
        <v>179</v>
      </c>
      <c r="O777" s="9">
        <v>30.1</v>
      </c>
      <c r="P777" s="9" t="s">
        <v>40</v>
      </c>
      <c r="Q777" s="9" t="b">
        <v>0</v>
      </c>
      <c r="R777" s="9" t="b">
        <v>0</v>
      </c>
      <c r="S777" s="9" t="b">
        <v>1</v>
      </c>
      <c r="U777" s="9">
        <v>1</v>
      </c>
      <c r="V777" s="9" t="b">
        <v>1</v>
      </c>
      <c r="W777" s="9" t="s">
        <v>2485</v>
      </c>
    </row>
    <row r="778" spans="1:23" ht="29" customHeight="1" x14ac:dyDescent="0.2">
      <c r="A778" s="9" t="s">
        <v>2486</v>
      </c>
      <c r="B778" s="10" t="s">
        <v>2487</v>
      </c>
      <c r="C778" s="9" t="s">
        <v>25</v>
      </c>
      <c r="D778" s="9" t="s">
        <v>25</v>
      </c>
      <c r="E778" s="9" t="s">
        <v>1815</v>
      </c>
      <c r="F778" s="9" t="s">
        <v>2488</v>
      </c>
      <c r="G778" s="9">
        <v>3999</v>
      </c>
      <c r="H778" s="9">
        <v>4332.96</v>
      </c>
      <c r="I778" s="9">
        <v>8</v>
      </c>
      <c r="J778" s="11">
        <v>3.5</v>
      </c>
      <c r="K778" s="9">
        <v>21762</v>
      </c>
      <c r="L778" s="9">
        <v>3.586179517392341</v>
      </c>
      <c r="M778" s="9" t="s">
        <v>28</v>
      </c>
      <c r="N778" s="9" t="s">
        <v>144</v>
      </c>
      <c r="O778" s="9">
        <v>4.4000000000000004</v>
      </c>
      <c r="P778" s="9" t="s">
        <v>40</v>
      </c>
      <c r="Q778" s="9" t="b">
        <v>0</v>
      </c>
      <c r="R778" s="9" t="b">
        <v>0</v>
      </c>
      <c r="S778" s="9" t="b">
        <v>1</v>
      </c>
      <c r="U778" s="9">
        <v>1</v>
      </c>
      <c r="V778" s="9" t="b">
        <v>1</v>
      </c>
      <c r="W778" s="9" t="s">
        <v>2489</v>
      </c>
    </row>
    <row r="779" spans="1:23" ht="29" customHeight="1" x14ac:dyDescent="0.2">
      <c r="A779" s="9" t="s">
        <v>2490</v>
      </c>
      <c r="B779" s="10" t="s">
        <v>2491</v>
      </c>
      <c r="C779" s="9" t="s">
        <v>25</v>
      </c>
      <c r="D779" s="9" t="s">
        <v>25</v>
      </c>
      <c r="E779" s="9" t="s">
        <v>34</v>
      </c>
      <c r="F779" s="9" t="s">
        <v>1877</v>
      </c>
      <c r="G779" s="9">
        <v>899</v>
      </c>
      <c r="H779" s="9">
        <v>1800</v>
      </c>
      <c r="I779" s="9">
        <v>50</v>
      </c>
      <c r="J779" s="11">
        <v>4.0999999999999996</v>
      </c>
      <c r="K779" s="9">
        <v>22375</v>
      </c>
      <c r="L779" s="9">
        <v>4.0977882005425474</v>
      </c>
      <c r="M779" s="9" t="s">
        <v>28</v>
      </c>
      <c r="N779" s="9" t="s">
        <v>93</v>
      </c>
      <c r="O779" s="9">
        <v>55.2</v>
      </c>
      <c r="P779" s="9" t="s">
        <v>53</v>
      </c>
      <c r="Q779" s="9" t="b">
        <v>0</v>
      </c>
      <c r="R779" s="9" t="b">
        <v>0</v>
      </c>
      <c r="S779" s="9" t="b">
        <v>0</v>
      </c>
      <c r="U779" s="9">
        <v>1</v>
      </c>
      <c r="V779" s="9" t="b">
        <v>1</v>
      </c>
      <c r="W779" s="9" t="s">
        <v>2492</v>
      </c>
    </row>
    <row r="780" spans="1:23" ht="29" customHeight="1" x14ac:dyDescent="0.2">
      <c r="A780" s="9" t="s">
        <v>2493</v>
      </c>
      <c r="B780" s="10" t="s">
        <v>2494</v>
      </c>
      <c r="C780" s="9" t="s">
        <v>25</v>
      </c>
      <c r="D780" s="9" t="s">
        <v>25</v>
      </c>
      <c r="E780" s="9" t="s">
        <v>26</v>
      </c>
      <c r="F780" s="9" t="s">
        <v>1847</v>
      </c>
      <c r="G780" s="9">
        <v>299</v>
      </c>
      <c r="H780" s="9">
        <v>990</v>
      </c>
      <c r="I780" s="9">
        <v>70</v>
      </c>
      <c r="J780" s="11">
        <v>4.5</v>
      </c>
      <c r="K780" s="9">
        <v>2453</v>
      </c>
      <c r="L780" s="9">
        <v>4.248562318667978</v>
      </c>
      <c r="M780" s="9" t="s">
        <v>28</v>
      </c>
      <c r="N780" s="9" t="s">
        <v>29</v>
      </c>
      <c r="O780" s="9">
        <v>79.5</v>
      </c>
      <c r="P780" s="9" t="s">
        <v>36</v>
      </c>
      <c r="Q780" s="9" t="b">
        <v>0</v>
      </c>
      <c r="R780" s="9" t="b">
        <v>0</v>
      </c>
      <c r="S780" s="9" t="b">
        <v>0</v>
      </c>
      <c r="U780" s="9">
        <v>1</v>
      </c>
      <c r="V780" s="9" t="b">
        <v>1</v>
      </c>
      <c r="W780" s="9" t="s">
        <v>2495</v>
      </c>
    </row>
    <row r="781" spans="1:23" ht="29" customHeight="1" x14ac:dyDescent="0.2">
      <c r="A781" s="9" t="s">
        <v>2496</v>
      </c>
      <c r="B781" s="10" t="s">
        <v>2497</v>
      </c>
      <c r="C781" s="9" t="s">
        <v>25</v>
      </c>
      <c r="D781" s="9" t="s">
        <v>25</v>
      </c>
      <c r="E781" s="9" t="s">
        <v>26</v>
      </c>
      <c r="F781" s="9" t="s">
        <v>1660</v>
      </c>
      <c r="G781" s="9">
        <v>3303</v>
      </c>
      <c r="H781" s="9">
        <v>4699</v>
      </c>
      <c r="I781" s="9">
        <v>30</v>
      </c>
      <c r="J781" s="11">
        <v>4.4000000000000004</v>
      </c>
      <c r="K781" s="9">
        <v>13544</v>
      </c>
      <c r="L781" s="9">
        <v>4.3314384243885717</v>
      </c>
      <c r="M781" s="9" t="s">
        <v>28</v>
      </c>
      <c r="N781" s="9" t="s">
        <v>144</v>
      </c>
      <c r="O781" s="9">
        <v>55.2</v>
      </c>
      <c r="P781" s="9" t="s">
        <v>53</v>
      </c>
      <c r="Q781" s="9" t="b">
        <v>0</v>
      </c>
      <c r="R781" s="9" t="b">
        <v>0</v>
      </c>
      <c r="S781" s="9" t="b">
        <v>0</v>
      </c>
      <c r="T781" s="9">
        <v>11.43</v>
      </c>
      <c r="U781" s="9">
        <v>1</v>
      </c>
      <c r="V781" s="9" t="b">
        <v>1</v>
      </c>
      <c r="W781" s="9" t="s">
        <v>2498</v>
      </c>
    </row>
    <row r="782" spans="1:23" ht="29" customHeight="1" x14ac:dyDescent="0.2">
      <c r="A782" s="9" t="s">
        <v>2499</v>
      </c>
      <c r="B782" s="10" t="s">
        <v>2500</v>
      </c>
      <c r="C782" s="9" t="s">
        <v>25</v>
      </c>
      <c r="D782" s="9" t="s">
        <v>25</v>
      </c>
      <c r="E782" s="9" t="s">
        <v>26</v>
      </c>
      <c r="F782" s="9" t="s">
        <v>2265</v>
      </c>
      <c r="G782" s="9">
        <v>1890</v>
      </c>
      <c r="H782" s="9">
        <v>5490</v>
      </c>
      <c r="I782" s="9">
        <v>66</v>
      </c>
      <c r="J782" s="11">
        <v>4.0999999999999996</v>
      </c>
      <c r="K782" s="9">
        <v>10976</v>
      </c>
      <c r="L782" s="9">
        <v>4.0960775582101849</v>
      </c>
      <c r="M782" s="9" t="s">
        <v>28</v>
      </c>
      <c r="N782" s="9" t="s">
        <v>179</v>
      </c>
      <c r="O782" s="9">
        <v>52.1</v>
      </c>
      <c r="P782" s="9" t="s">
        <v>53</v>
      </c>
      <c r="Q782" s="9" t="b">
        <v>0</v>
      </c>
      <c r="R782" s="9" t="b">
        <v>0</v>
      </c>
      <c r="S782" s="9" t="b">
        <v>0</v>
      </c>
      <c r="U782" s="9">
        <v>1</v>
      </c>
      <c r="V782" s="9" t="b">
        <v>1</v>
      </c>
      <c r="W782" s="9" t="s">
        <v>2501</v>
      </c>
    </row>
    <row r="783" spans="1:23" ht="29" customHeight="1" x14ac:dyDescent="0.2">
      <c r="A783" s="9" t="s">
        <v>2502</v>
      </c>
      <c r="B783" s="10" t="s">
        <v>2503</v>
      </c>
      <c r="C783" s="9" t="s">
        <v>1735</v>
      </c>
      <c r="D783" s="9" t="s">
        <v>1724</v>
      </c>
      <c r="E783" s="9" t="s">
        <v>1736</v>
      </c>
      <c r="F783" s="9" t="s">
        <v>2147</v>
      </c>
      <c r="G783" s="9">
        <v>90</v>
      </c>
      <c r="H783" s="9">
        <v>100</v>
      </c>
      <c r="I783" s="9">
        <v>10</v>
      </c>
      <c r="J783" s="11">
        <v>4.3</v>
      </c>
      <c r="K783" s="9">
        <v>3061</v>
      </c>
      <c r="L783" s="9">
        <v>4.1812470274317892</v>
      </c>
      <c r="M783" s="9" t="s">
        <v>28</v>
      </c>
      <c r="N783" s="9" t="s">
        <v>29</v>
      </c>
      <c r="O783" s="9">
        <v>52.5</v>
      </c>
      <c r="P783" s="9" t="s">
        <v>53</v>
      </c>
      <c r="Q783" s="9" t="b">
        <v>0</v>
      </c>
      <c r="R783" s="9" t="b">
        <v>0</v>
      </c>
      <c r="S783" s="9" t="b">
        <v>0</v>
      </c>
      <c r="U783" s="9">
        <v>1</v>
      </c>
      <c r="V783" s="9" t="b">
        <v>1</v>
      </c>
      <c r="W783" s="9" t="s">
        <v>2504</v>
      </c>
    </row>
    <row r="784" spans="1:23" ht="29" customHeight="1" x14ac:dyDescent="0.2">
      <c r="A784" s="9" t="s">
        <v>2505</v>
      </c>
      <c r="B784" s="10" t="s">
        <v>2506</v>
      </c>
      <c r="C784" s="9" t="s">
        <v>44</v>
      </c>
      <c r="D784" s="9" t="s">
        <v>44</v>
      </c>
      <c r="E784" s="9" t="s">
        <v>1009</v>
      </c>
      <c r="F784" s="9" t="s">
        <v>1010</v>
      </c>
      <c r="G784" s="9">
        <v>1599</v>
      </c>
      <c r="H784" s="9">
        <v>2790</v>
      </c>
      <c r="I784" s="9">
        <v>43</v>
      </c>
      <c r="J784" s="11">
        <v>3.6</v>
      </c>
      <c r="K784" s="9">
        <v>2272</v>
      </c>
      <c r="L784" s="9">
        <v>3.902169043281269</v>
      </c>
      <c r="M784" s="9" t="s">
        <v>28</v>
      </c>
      <c r="N784" s="9" t="s">
        <v>179</v>
      </c>
      <c r="O784" s="9">
        <v>20.5</v>
      </c>
      <c r="P784" s="9" t="s">
        <v>40</v>
      </c>
      <c r="Q784" s="9" t="b">
        <v>0</v>
      </c>
      <c r="R784" s="9" t="b">
        <v>0</v>
      </c>
      <c r="S784" s="9" t="b">
        <v>1</v>
      </c>
      <c r="T784" s="9">
        <v>1.68</v>
      </c>
      <c r="U784" s="9">
        <v>1</v>
      </c>
      <c r="V784" s="9" t="b">
        <v>1</v>
      </c>
      <c r="W784" s="9" t="s">
        <v>2507</v>
      </c>
    </row>
    <row r="785" spans="1:23" ht="29" customHeight="1" x14ac:dyDescent="0.2">
      <c r="A785" s="9" t="s">
        <v>2508</v>
      </c>
      <c r="B785" s="10" t="s">
        <v>2509</v>
      </c>
      <c r="C785" s="9" t="s">
        <v>25</v>
      </c>
      <c r="D785" s="9" t="s">
        <v>25</v>
      </c>
      <c r="E785" s="9" t="s">
        <v>26</v>
      </c>
      <c r="F785" s="9" t="s">
        <v>2275</v>
      </c>
      <c r="G785" s="9">
        <v>599</v>
      </c>
      <c r="H785" s="9">
        <v>999</v>
      </c>
      <c r="I785" s="9">
        <v>40</v>
      </c>
      <c r="J785" s="11">
        <v>4</v>
      </c>
      <c r="K785" s="9">
        <v>7601</v>
      </c>
      <c r="L785" s="9">
        <v>4.0280229763436282</v>
      </c>
      <c r="M785" s="9" t="s">
        <v>28</v>
      </c>
      <c r="N785" s="9" t="s">
        <v>93</v>
      </c>
      <c r="O785" s="9">
        <v>27.3</v>
      </c>
      <c r="P785" s="9" t="s">
        <v>40</v>
      </c>
      <c r="Q785" s="9" t="b">
        <v>0</v>
      </c>
      <c r="R785" s="9" t="b">
        <v>0</v>
      </c>
      <c r="S785" s="9" t="b">
        <v>0</v>
      </c>
      <c r="U785" s="9">
        <v>1</v>
      </c>
      <c r="V785" s="9" t="b">
        <v>1</v>
      </c>
      <c r="W785" s="9" t="s">
        <v>2510</v>
      </c>
    </row>
    <row r="786" spans="1:23" ht="29" customHeight="1" x14ac:dyDescent="0.2">
      <c r="A786" s="9" t="s">
        <v>2511</v>
      </c>
      <c r="B786" s="10" t="s">
        <v>2512</v>
      </c>
      <c r="C786" s="9" t="s">
        <v>25</v>
      </c>
      <c r="D786" s="9" t="s">
        <v>25</v>
      </c>
      <c r="E786" s="9" t="s">
        <v>26</v>
      </c>
      <c r="F786" s="9" t="s">
        <v>1847</v>
      </c>
      <c r="G786" s="9">
        <v>425</v>
      </c>
      <c r="H786" s="9">
        <v>899</v>
      </c>
      <c r="I786" s="9">
        <v>53</v>
      </c>
      <c r="J786" s="11">
        <v>4.5</v>
      </c>
      <c r="K786" s="9">
        <v>4219</v>
      </c>
      <c r="L786" s="9">
        <v>4.304195839338572</v>
      </c>
      <c r="M786" s="9" t="s">
        <v>28</v>
      </c>
      <c r="N786" s="9" t="s">
        <v>29</v>
      </c>
      <c r="O786" s="9">
        <v>71.5</v>
      </c>
      <c r="P786" s="9" t="s">
        <v>36</v>
      </c>
      <c r="Q786" s="9" t="b">
        <v>0</v>
      </c>
      <c r="R786" s="9" t="b">
        <v>0</v>
      </c>
      <c r="S786" s="9" t="b">
        <v>0</v>
      </c>
      <c r="U786" s="9">
        <v>1</v>
      </c>
      <c r="V786" s="9" t="b">
        <v>1</v>
      </c>
      <c r="W786" s="9" t="s">
        <v>2513</v>
      </c>
    </row>
    <row r="787" spans="1:23" ht="29" customHeight="1" x14ac:dyDescent="0.2">
      <c r="A787" s="9" t="s">
        <v>2514</v>
      </c>
      <c r="B787" s="10" t="s">
        <v>2515</v>
      </c>
      <c r="C787" s="9" t="s">
        <v>44</v>
      </c>
      <c r="D787" s="9" t="s">
        <v>44</v>
      </c>
      <c r="E787" s="9" t="s">
        <v>1009</v>
      </c>
      <c r="F787" s="9" t="s">
        <v>1507</v>
      </c>
      <c r="G787" s="9">
        <v>1499</v>
      </c>
      <c r="H787" s="9">
        <v>3999</v>
      </c>
      <c r="I787" s="9">
        <v>63</v>
      </c>
      <c r="J787" s="11">
        <v>4.2</v>
      </c>
      <c r="K787" s="9">
        <v>42775</v>
      </c>
      <c r="L787" s="9">
        <v>4.1906728786823706</v>
      </c>
      <c r="M787" s="9" t="s">
        <v>28</v>
      </c>
      <c r="N787" s="9" t="s">
        <v>179</v>
      </c>
      <c r="O787" s="9">
        <v>67.3</v>
      </c>
      <c r="P787" s="9" t="s">
        <v>36</v>
      </c>
      <c r="Q787" s="9" t="b">
        <v>0</v>
      </c>
      <c r="R787" s="9" t="b">
        <v>0</v>
      </c>
      <c r="S787" s="9" t="b">
        <v>0</v>
      </c>
      <c r="U787" s="9">
        <v>1</v>
      </c>
      <c r="V787" s="9" t="b">
        <v>1</v>
      </c>
      <c r="W787" s="9" t="s">
        <v>2516</v>
      </c>
    </row>
    <row r="788" spans="1:23" ht="29" customHeight="1" x14ac:dyDescent="0.2">
      <c r="A788" s="9" t="s">
        <v>2517</v>
      </c>
      <c r="B788" s="10" t="s">
        <v>2518</v>
      </c>
      <c r="C788" s="9" t="s">
        <v>25</v>
      </c>
      <c r="D788" s="9" t="s">
        <v>25</v>
      </c>
      <c r="E788" s="9" t="s">
        <v>26</v>
      </c>
      <c r="F788" s="9" t="s">
        <v>2241</v>
      </c>
      <c r="G788" s="9">
        <v>549</v>
      </c>
      <c r="H788" s="9">
        <v>2499</v>
      </c>
      <c r="I788" s="9">
        <v>78</v>
      </c>
      <c r="J788" s="11">
        <v>4.3</v>
      </c>
      <c r="K788" s="9">
        <v>5556</v>
      </c>
      <c r="L788" s="9">
        <v>4.213042774231992</v>
      </c>
      <c r="M788" s="9" t="s">
        <v>28</v>
      </c>
      <c r="N788" s="9" t="s">
        <v>93</v>
      </c>
      <c r="O788" s="9">
        <v>74.900000000000006</v>
      </c>
      <c r="P788" s="9" t="s">
        <v>36</v>
      </c>
      <c r="Q788" s="9" t="b">
        <v>0</v>
      </c>
      <c r="R788" s="9" t="b">
        <v>0</v>
      </c>
      <c r="S788" s="9" t="b">
        <v>0</v>
      </c>
      <c r="U788" s="9">
        <v>1</v>
      </c>
      <c r="V788" s="9" t="b">
        <v>1</v>
      </c>
      <c r="W788" s="9" t="s">
        <v>2519</v>
      </c>
    </row>
    <row r="789" spans="1:23" ht="29" customHeight="1" x14ac:dyDescent="0.2">
      <c r="A789" s="9" t="s">
        <v>2520</v>
      </c>
      <c r="B789" s="10" t="s">
        <v>2521</v>
      </c>
      <c r="C789" s="9" t="s">
        <v>25</v>
      </c>
      <c r="D789" s="9" t="s">
        <v>25</v>
      </c>
      <c r="E789" s="9" t="s">
        <v>26</v>
      </c>
      <c r="F789" s="9" t="s">
        <v>1656</v>
      </c>
      <c r="G789" s="9">
        <v>1295</v>
      </c>
      <c r="H789" s="9">
        <v>1645</v>
      </c>
      <c r="I789" s="9">
        <v>21</v>
      </c>
      <c r="J789" s="11">
        <v>4.5999999999999996</v>
      </c>
      <c r="K789" s="9">
        <v>12375</v>
      </c>
      <c r="L789" s="9">
        <v>4.4798413069980363</v>
      </c>
      <c r="M789" s="9" t="s">
        <v>28</v>
      </c>
      <c r="N789" s="9" t="s">
        <v>179</v>
      </c>
      <c r="O789" s="9">
        <v>57.1</v>
      </c>
      <c r="P789" s="9" t="s">
        <v>53</v>
      </c>
      <c r="Q789" s="9" t="b">
        <v>0</v>
      </c>
      <c r="R789" s="9" t="b">
        <v>0</v>
      </c>
      <c r="S789" s="9" t="b">
        <v>0</v>
      </c>
      <c r="T789" s="9">
        <v>2.2599999999999998</v>
      </c>
      <c r="U789" s="9">
        <v>1</v>
      </c>
      <c r="V789" s="9" t="b">
        <v>1</v>
      </c>
      <c r="W789" s="9" t="s">
        <v>2522</v>
      </c>
    </row>
    <row r="790" spans="1:23" ht="29" customHeight="1" x14ac:dyDescent="0.2">
      <c r="A790" s="9" t="s">
        <v>2523</v>
      </c>
      <c r="B790" s="10" t="s">
        <v>2524</v>
      </c>
      <c r="C790" s="9" t="s">
        <v>1741</v>
      </c>
      <c r="D790" s="9" t="s">
        <v>1741</v>
      </c>
      <c r="E790" s="9" t="s">
        <v>1742</v>
      </c>
      <c r="F790" s="9" t="s">
        <v>1843</v>
      </c>
      <c r="G790" s="9">
        <v>310</v>
      </c>
      <c r="H790" s="9">
        <v>310</v>
      </c>
      <c r="I790" s="9">
        <v>0</v>
      </c>
      <c r="J790" s="11">
        <v>4.5</v>
      </c>
      <c r="K790" s="9">
        <v>5882</v>
      </c>
      <c r="L790" s="9">
        <v>4.3379583277184732</v>
      </c>
      <c r="M790" s="9" t="s">
        <v>28</v>
      </c>
      <c r="N790" s="9" t="s">
        <v>29</v>
      </c>
      <c r="O790" s="9">
        <v>53.9</v>
      </c>
      <c r="P790" s="9" t="s">
        <v>53</v>
      </c>
      <c r="Q790" s="9" t="b">
        <v>0</v>
      </c>
      <c r="R790" s="9" t="b">
        <v>0</v>
      </c>
      <c r="S790" s="9" t="b">
        <v>0</v>
      </c>
      <c r="U790" s="9">
        <v>1</v>
      </c>
      <c r="V790" s="9" t="b">
        <v>1</v>
      </c>
      <c r="W790" s="9" t="s">
        <v>2525</v>
      </c>
    </row>
    <row r="791" spans="1:23" ht="29" customHeight="1" x14ac:dyDescent="0.2">
      <c r="A791" s="9" t="s">
        <v>2526</v>
      </c>
      <c r="B791" s="10" t="s">
        <v>2527</v>
      </c>
      <c r="C791" s="9" t="s">
        <v>25</v>
      </c>
      <c r="D791" s="9" t="s">
        <v>25</v>
      </c>
      <c r="E791" s="9" t="s">
        <v>26</v>
      </c>
      <c r="F791" s="9" t="s">
        <v>1755</v>
      </c>
      <c r="G791" s="9">
        <v>1149</v>
      </c>
      <c r="H791" s="9">
        <v>1499</v>
      </c>
      <c r="I791" s="9">
        <v>23</v>
      </c>
      <c r="J791" s="11">
        <v>4.0999999999999996</v>
      </c>
      <c r="K791" s="9">
        <v>10443</v>
      </c>
      <c r="L791" s="9">
        <v>4.0959303855324212</v>
      </c>
      <c r="M791" s="9" t="s">
        <v>28</v>
      </c>
      <c r="N791" s="9" t="s">
        <v>179</v>
      </c>
      <c r="O791" s="9">
        <v>33.5</v>
      </c>
      <c r="P791" s="9" t="s">
        <v>40</v>
      </c>
      <c r="Q791" s="9" t="b">
        <v>0</v>
      </c>
      <c r="R791" s="9" t="b">
        <v>0</v>
      </c>
      <c r="S791" s="9" t="b">
        <v>0</v>
      </c>
      <c r="T791" s="9">
        <v>0.87</v>
      </c>
      <c r="U791" s="9">
        <v>1</v>
      </c>
      <c r="V791" s="9" t="b">
        <v>1</v>
      </c>
      <c r="W791" s="9" t="s">
        <v>2528</v>
      </c>
    </row>
    <row r="792" spans="1:23" ht="29" customHeight="1" x14ac:dyDescent="0.2">
      <c r="A792" s="9" t="s">
        <v>2529</v>
      </c>
      <c r="B792" s="10" t="s">
        <v>2530</v>
      </c>
      <c r="C792" s="9" t="s">
        <v>25</v>
      </c>
      <c r="D792" s="9" t="s">
        <v>25</v>
      </c>
      <c r="E792" s="9" t="s">
        <v>26</v>
      </c>
      <c r="F792" s="9" t="s">
        <v>1667</v>
      </c>
      <c r="G792" s="9">
        <v>499</v>
      </c>
      <c r="H792" s="9">
        <v>1299</v>
      </c>
      <c r="I792" s="9">
        <v>62</v>
      </c>
      <c r="J792" s="11">
        <v>4.5</v>
      </c>
      <c r="K792" s="9">
        <v>434</v>
      </c>
      <c r="L792" s="9">
        <v>4.1275918245396914</v>
      </c>
      <c r="M792" s="9" t="s">
        <v>89</v>
      </c>
      <c r="N792" s="9" t="s">
        <v>29</v>
      </c>
      <c r="O792" s="9">
        <v>60.3</v>
      </c>
      <c r="P792" s="9" t="s">
        <v>53</v>
      </c>
      <c r="Q792" s="9" t="b">
        <v>0</v>
      </c>
      <c r="R792" s="9" t="b">
        <v>0</v>
      </c>
      <c r="S792" s="9" t="b">
        <v>0</v>
      </c>
      <c r="T792" s="9">
        <v>0.87</v>
      </c>
      <c r="U792" s="9">
        <v>1</v>
      </c>
      <c r="V792" s="9" t="b">
        <v>1</v>
      </c>
      <c r="W792" s="9" t="s">
        <v>2531</v>
      </c>
    </row>
    <row r="793" spans="1:23" ht="29" customHeight="1" x14ac:dyDescent="0.2">
      <c r="A793" s="9" t="s">
        <v>2532</v>
      </c>
      <c r="B793" s="10" t="s">
        <v>2533</v>
      </c>
      <c r="C793" s="9" t="s">
        <v>44</v>
      </c>
      <c r="D793" s="9" t="s">
        <v>44</v>
      </c>
      <c r="E793" s="9" t="s">
        <v>1009</v>
      </c>
      <c r="F793" s="9" t="s">
        <v>1010</v>
      </c>
      <c r="G793" s="9">
        <v>999</v>
      </c>
      <c r="H793" s="9">
        <v>4199</v>
      </c>
      <c r="I793" s="9">
        <v>76</v>
      </c>
      <c r="J793" s="11">
        <v>3.5</v>
      </c>
      <c r="K793" s="9">
        <v>1913</v>
      </c>
      <c r="L793" s="9">
        <v>3.8875762649424401</v>
      </c>
      <c r="M793" s="9" t="s">
        <v>28</v>
      </c>
      <c r="N793" s="9" t="s">
        <v>93</v>
      </c>
      <c r="O793" s="9">
        <v>38.1</v>
      </c>
      <c r="P793" s="9" t="s">
        <v>40</v>
      </c>
      <c r="Q793" s="9" t="b">
        <v>0</v>
      </c>
      <c r="R793" s="9" t="b">
        <v>0</v>
      </c>
      <c r="S793" s="9" t="b">
        <v>1</v>
      </c>
      <c r="T793" s="9">
        <v>1.05</v>
      </c>
      <c r="U793" s="9">
        <v>1</v>
      </c>
      <c r="V793" s="9" t="b">
        <v>1</v>
      </c>
      <c r="W793" s="9" t="s">
        <v>2534</v>
      </c>
    </row>
    <row r="794" spans="1:23" ht="29" customHeight="1" x14ac:dyDescent="0.2">
      <c r="A794" s="9" t="s">
        <v>2535</v>
      </c>
      <c r="B794" s="10" t="s">
        <v>2536</v>
      </c>
      <c r="C794" s="9" t="s">
        <v>25</v>
      </c>
      <c r="D794" s="9" t="s">
        <v>25</v>
      </c>
      <c r="E794" s="9" t="s">
        <v>2205</v>
      </c>
      <c r="F794" s="9" t="s">
        <v>2317</v>
      </c>
      <c r="G794" s="9">
        <v>1709</v>
      </c>
      <c r="H794" s="9">
        <v>4000</v>
      </c>
      <c r="I794" s="9">
        <v>57</v>
      </c>
      <c r="J794" s="11">
        <v>4.4000000000000004</v>
      </c>
      <c r="K794" s="9">
        <v>3029</v>
      </c>
      <c r="L794" s="9">
        <v>4.2252873579740582</v>
      </c>
      <c r="M794" s="9" t="s">
        <v>28</v>
      </c>
      <c r="N794" s="9" t="s">
        <v>179</v>
      </c>
      <c r="O794" s="9">
        <v>71.099999999999994</v>
      </c>
      <c r="P794" s="9" t="s">
        <v>36</v>
      </c>
      <c r="Q794" s="9" t="b">
        <v>0</v>
      </c>
      <c r="R794" s="9" t="b">
        <v>0</v>
      </c>
      <c r="S794" s="9" t="b">
        <v>0</v>
      </c>
      <c r="U794" s="9">
        <v>1</v>
      </c>
      <c r="V794" s="9" t="b">
        <v>1</v>
      </c>
      <c r="W794" s="9" t="s">
        <v>2537</v>
      </c>
    </row>
    <row r="795" spans="1:23" ht="29" customHeight="1" x14ac:dyDescent="0.2">
      <c r="A795" s="9" t="s">
        <v>2538</v>
      </c>
      <c r="B795" s="10" t="s">
        <v>2539</v>
      </c>
      <c r="C795" s="9" t="s">
        <v>1735</v>
      </c>
      <c r="D795" s="9" t="s">
        <v>1724</v>
      </c>
      <c r="E795" s="9" t="s">
        <v>1736</v>
      </c>
      <c r="F795" s="9" t="s">
        <v>1737</v>
      </c>
      <c r="G795" s="9">
        <v>250</v>
      </c>
      <c r="H795" s="9">
        <v>250</v>
      </c>
      <c r="I795" s="9">
        <v>0</v>
      </c>
      <c r="J795" s="11">
        <v>4.2</v>
      </c>
      <c r="K795" s="9">
        <v>2628</v>
      </c>
      <c r="L795" s="9">
        <v>4.1320771601096649</v>
      </c>
      <c r="M795" s="9" t="s">
        <v>28</v>
      </c>
      <c r="N795" s="9" t="s">
        <v>29</v>
      </c>
      <c r="O795" s="9">
        <v>38.5</v>
      </c>
      <c r="P795" s="9" t="s">
        <v>40</v>
      </c>
      <c r="Q795" s="9" t="b">
        <v>0</v>
      </c>
      <c r="R795" s="9" t="b">
        <v>0</v>
      </c>
      <c r="S795" s="9" t="b">
        <v>0</v>
      </c>
      <c r="U795" s="9">
        <v>1</v>
      </c>
      <c r="V795" s="9" t="b">
        <v>1</v>
      </c>
      <c r="W795" s="9" t="s">
        <v>2540</v>
      </c>
    </row>
    <row r="796" spans="1:23" ht="29" customHeight="1" x14ac:dyDescent="0.2">
      <c r="A796" s="9" t="s">
        <v>2541</v>
      </c>
      <c r="B796" s="10" t="s">
        <v>2542</v>
      </c>
      <c r="C796" s="9" t="s">
        <v>25</v>
      </c>
      <c r="D796" s="9" t="s">
        <v>25</v>
      </c>
      <c r="E796" s="9" t="s">
        <v>34</v>
      </c>
      <c r="F796" s="9" t="s">
        <v>35</v>
      </c>
      <c r="G796" s="9">
        <v>1199</v>
      </c>
      <c r="H796" s="9">
        <v>2199</v>
      </c>
      <c r="I796" s="9">
        <v>45</v>
      </c>
      <c r="J796" s="11">
        <v>4.4000000000000004</v>
      </c>
      <c r="K796" s="9">
        <v>24780</v>
      </c>
      <c r="L796" s="9">
        <v>4.3584282768391276</v>
      </c>
      <c r="M796" s="9" t="s">
        <v>28</v>
      </c>
      <c r="N796" s="9" t="s">
        <v>179</v>
      </c>
      <c r="O796" s="9">
        <v>70.7</v>
      </c>
      <c r="P796" s="9" t="s">
        <v>36</v>
      </c>
      <c r="Q796" s="9" t="b">
        <v>0</v>
      </c>
      <c r="R796" s="9" t="b">
        <v>0</v>
      </c>
      <c r="S796" s="9" t="b">
        <v>0</v>
      </c>
      <c r="T796" s="9">
        <v>2.36</v>
      </c>
      <c r="U796" s="9">
        <v>2</v>
      </c>
      <c r="V796" s="9" t="b">
        <v>0</v>
      </c>
      <c r="W796" s="9" t="s">
        <v>2543</v>
      </c>
    </row>
    <row r="797" spans="1:23" ht="29" customHeight="1" x14ac:dyDescent="0.2">
      <c r="A797" s="9" t="s">
        <v>2544</v>
      </c>
      <c r="B797" s="10" t="s">
        <v>2545</v>
      </c>
      <c r="C797" s="9" t="s">
        <v>1741</v>
      </c>
      <c r="D797" s="9" t="s">
        <v>1741</v>
      </c>
      <c r="E797" s="9" t="s">
        <v>1742</v>
      </c>
      <c r="F797" s="9" t="s">
        <v>2546</v>
      </c>
      <c r="G797" s="9">
        <v>90</v>
      </c>
      <c r="H797" s="9">
        <v>100</v>
      </c>
      <c r="I797" s="9">
        <v>10</v>
      </c>
      <c r="J797" s="11">
        <v>4.4000000000000004</v>
      </c>
      <c r="K797" s="9">
        <v>10718</v>
      </c>
      <c r="L797" s="9">
        <v>4.3180580153779786</v>
      </c>
      <c r="M797" s="9" t="s">
        <v>28</v>
      </c>
      <c r="N797" s="9" t="s">
        <v>29</v>
      </c>
      <c r="O797" s="9">
        <v>63.7</v>
      </c>
      <c r="P797" s="9" t="s">
        <v>36</v>
      </c>
      <c r="Q797" s="9" t="b">
        <v>0</v>
      </c>
      <c r="R797" s="9" t="b">
        <v>0</v>
      </c>
      <c r="S797" s="9" t="b">
        <v>0</v>
      </c>
      <c r="U797" s="9">
        <v>1</v>
      </c>
      <c r="V797" s="9" t="b">
        <v>1</v>
      </c>
      <c r="W797" s="9" t="s">
        <v>2547</v>
      </c>
    </row>
    <row r="798" spans="1:23" ht="29" customHeight="1" x14ac:dyDescent="0.2">
      <c r="A798" s="9" t="s">
        <v>2548</v>
      </c>
      <c r="B798" s="10" t="s">
        <v>2549</v>
      </c>
      <c r="C798" s="9" t="s">
        <v>44</v>
      </c>
      <c r="D798" s="9" t="s">
        <v>44</v>
      </c>
      <c r="E798" s="9" t="s">
        <v>981</v>
      </c>
      <c r="F798" s="9" t="s">
        <v>1306</v>
      </c>
      <c r="G798" s="9">
        <v>2025</v>
      </c>
      <c r="H798" s="9">
        <v>5999</v>
      </c>
      <c r="I798" s="9">
        <v>66</v>
      </c>
      <c r="J798" s="11">
        <v>4.2</v>
      </c>
      <c r="K798" s="9">
        <v>6233</v>
      </c>
      <c r="L798" s="9">
        <v>4.1565743676335174</v>
      </c>
      <c r="M798" s="9" t="s">
        <v>28</v>
      </c>
      <c r="N798" s="9" t="s">
        <v>179</v>
      </c>
      <c r="O798" s="9">
        <v>68.2</v>
      </c>
      <c r="P798" s="9" t="s">
        <v>36</v>
      </c>
      <c r="Q798" s="9" t="b">
        <v>0</v>
      </c>
      <c r="R798" s="9" t="b">
        <v>0</v>
      </c>
      <c r="S798" s="9" t="b">
        <v>0</v>
      </c>
      <c r="U798" s="9">
        <v>1</v>
      </c>
      <c r="V798" s="9" t="b">
        <v>1</v>
      </c>
      <c r="W798" s="9" t="s">
        <v>2550</v>
      </c>
    </row>
    <row r="799" spans="1:23" ht="29" customHeight="1" x14ac:dyDescent="0.2">
      <c r="A799" s="9" t="s">
        <v>2551</v>
      </c>
      <c r="B799" s="10" t="s">
        <v>2552</v>
      </c>
      <c r="C799" s="9" t="s">
        <v>25</v>
      </c>
      <c r="D799" s="9" t="s">
        <v>25</v>
      </c>
      <c r="E799" s="9" t="s">
        <v>26</v>
      </c>
      <c r="F799" s="9" t="s">
        <v>1839</v>
      </c>
      <c r="G799" s="9">
        <v>1495</v>
      </c>
      <c r="H799" s="9">
        <v>1995</v>
      </c>
      <c r="I799" s="9">
        <v>25</v>
      </c>
      <c r="J799" s="11">
        <v>4.5</v>
      </c>
      <c r="K799" s="9">
        <v>10541</v>
      </c>
      <c r="L799" s="9">
        <v>4.3907392660314466</v>
      </c>
      <c r="M799" s="9" t="s">
        <v>28</v>
      </c>
      <c r="N799" s="9" t="s">
        <v>179</v>
      </c>
      <c r="O799" s="9">
        <v>56.9</v>
      </c>
      <c r="P799" s="9" t="s">
        <v>53</v>
      </c>
      <c r="Q799" s="9" t="b">
        <v>0</v>
      </c>
      <c r="R799" s="9" t="b">
        <v>0</v>
      </c>
      <c r="S799" s="9" t="b">
        <v>0</v>
      </c>
      <c r="U799" s="9">
        <v>1</v>
      </c>
      <c r="V799" s="9" t="b">
        <v>1</v>
      </c>
      <c r="W799" s="9" t="s">
        <v>2553</v>
      </c>
    </row>
    <row r="800" spans="1:23" ht="29" customHeight="1" x14ac:dyDescent="0.2">
      <c r="A800" s="9" t="s">
        <v>2554</v>
      </c>
      <c r="B800" s="10" t="s">
        <v>2555</v>
      </c>
      <c r="C800" s="9" t="s">
        <v>44</v>
      </c>
      <c r="D800" s="9" t="s">
        <v>44</v>
      </c>
      <c r="E800" s="9" t="s">
        <v>359</v>
      </c>
      <c r="F800" s="9" t="s">
        <v>1903</v>
      </c>
      <c r="G800" s="9">
        <v>899</v>
      </c>
      <c r="H800" s="9">
        <v>1199</v>
      </c>
      <c r="I800" s="9">
        <v>25</v>
      </c>
      <c r="J800" s="11">
        <v>3.8</v>
      </c>
      <c r="K800" s="9">
        <v>10751</v>
      </c>
      <c r="L800" s="9">
        <v>3.8737891681317951</v>
      </c>
      <c r="M800" s="9" t="s">
        <v>28</v>
      </c>
      <c r="N800" s="9" t="s">
        <v>93</v>
      </c>
      <c r="O800" s="9">
        <v>18.8</v>
      </c>
      <c r="P800" s="9" t="s">
        <v>40</v>
      </c>
      <c r="Q800" s="9" t="b">
        <v>0</v>
      </c>
      <c r="R800" s="9" t="b">
        <v>0</v>
      </c>
      <c r="S800" s="9" t="b">
        <v>1</v>
      </c>
      <c r="U800" s="9">
        <v>1</v>
      </c>
      <c r="V800" s="9" t="b">
        <v>1</v>
      </c>
      <c r="W800" s="9" t="s">
        <v>2556</v>
      </c>
    </row>
    <row r="801" spans="1:23" ht="29" customHeight="1" x14ac:dyDescent="0.2">
      <c r="A801" s="9" t="s">
        <v>2557</v>
      </c>
      <c r="B801" s="10" t="s">
        <v>2558</v>
      </c>
      <c r="C801" s="9" t="s">
        <v>25</v>
      </c>
      <c r="D801" s="9" t="s">
        <v>25</v>
      </c>
      <c r="E801" s="9" t="s">
        <v>26</v>
      </c>
      <c r="F801" s="9" t="s">
        <v>2559</v>
      </c>
      <c r="G801" s="9">
        <v>349</v>
      </c>
      <c r="H801" s="9">
        <v>999</v>
      </c>
      <c r="I801" s="9">
        <v>65</v>
      </c>
      <c r="J801" s="11">
        <v>3.9</v>
      </c>
      <c r="K801" s="9">
        <v>817</v>
      </c>
      <c r="L801" s="9">
        <v>4.0516954016117079</v>
      </c>
      <c r="M801" s="9" t="s">
        <v>89</v>
      </c>
      <c r="N801" s="9" t="s">
        <v>29</v>
      </c>
      <c r="O801" s="9">
        <v>47</v>
      </c>
      <c r="P801" s="9" t="s">
        <v>30</v>
      </c>
      <c r="Q801" s="9" t="b">
        <v>0</v>
      </c>
      <c r="R801" s="9" t="b">
        <v>0</v>
      </c>
      <c r="S801" s="9" t="b">
        <v>0</v>
      </c>
      <c r="U801" s="9">
        <v>1</v>
      </c>
      <c r="V801" s="9" t="b">
        <v>1</v>
      </c>
      <c r="W801" s="9" t="s">
        <v>2560</v>
      </c>
    </row>
    <row r="802" spans="1:23" ht="29" customHeight="1" x14ac:dyDescent="0.2">
      <c r="A802" s="9" t="s">
        <v>2561</v>
      </c>
      <c r="B802" s="10" t="s">
        <v>2562</v>
      </c>
      <c r="C802" s="9" t="s">
        <v>44</v>
      </c>
      <c r="D802" s="9" t="s">
        <v>44</v>
      </c>
      <c r="E802" s="9" t="s">
        <v>981</v>
      </c>
      <c r="F802" s="9" t="s">
        <v>982</v>
      </c>
      <c r="G802" s="9">
        <v>900</v>
      </c>
      <c r="H802" s="9">
        <v>2499</v>
      </c>
      <c r="I802" s="9">
        <v>64</v>
      </c>
      <c r="J802" s="11">
        <v>4</v>
      </c>
      <c r="K802" s="9">
        <v>36384</v>
      </c>
      <c r="L802" s="9">
        <v>4.0079319266108087</v>
      </c>
      <c r="M802" s="9" t="s">
        <v>28</v>
      </c>
      <c r="N802" s="9" t="s">
        <v>93</v>
      </c>
      <c r="O802" s="9">
        <v>46.7</v>
      </c>
      <c r="P802" s="9" t="s">
        <v>30</v>
      </c>
      <c r="Q802" s="9" t="b">
        <v>0</v>
      </c>
      <c r="R802" s="9" t="b">
        <v>0</v>
      </c>
      <c r="S802" s="9" t="b">
        <v>0</v>
      </c>
      <c r="U802" s="9">
        <v>2</v>
      </c>
      <c r="V802" s="9" t="b">
        <v>0</v>
      </c>
      <c r="W802" s="9" t="s">
        <v>2563</v>
      </c>
    </row>
    <row r="803" spans="1:23" ht="29" customHeight="1" x14ac:dyDescent="0.2">
      <c r="A803" s="9" t="s">
        <v>2564</v>
      </c>
      <c r="B803" s="10" t="s">
        <v>2565</v>
      </c>
      <c r="C803" s="9" t="s">
        <v>44</v>
      </c>
      <c r="D803" s="9" t="s">
        <v>44</v>
      </c>
      <c r="E803" s="9" t="s">
        <v>1769</v>
      </c>
      <c r="F803" s="9" t="s">
        <v>2037</v>
      </c>
      <c r="G803" s="9">
        <v>2490</v>
      </c>
      <c r="H803" s="9">
        <v>3990</v>
      </c>
      <c r="I803" s="9">
        <v>38</v>
      </c>
      <c r="J803" s="11">
        <v>4.0999999999999996</v>
      </c>
      <c r="K803" s="9">
        <v>3606</v>
      </c>
      <c r="L803" s="9">
        <v>4.0921543179318469</v>
      </c>
      <c r="M803" s="9" t="s">
        <v>28</v>
      </c>
      <c r="N803" s="9" t="s">
        <v>179</v>
      </c>
      <c r="O803" s="9">
        <v>36.700000000000003</v>
      </c>
      <c r="P803" s="9" t="s">
        <v>40</v>
      </c>
      <c r="Q803" s="9" t="b">
        <v>0</v>
      </c>
      <c r="R803" s="9" t="b">
        <v>0</v>
      </c>
      <c r="S803" s="9" t="b">
        <v>0</v>
      </c>
      <c r="U803" s="9">
        <v>1</v>
      </c>
      <c r="V803" s="9" t="b">
        <v>1</v>
      </c>
      <c r="W803" s="9" t="s">
        <v>2566</v>
      </c>
    </row>
    <row r="804" spans="1:23" ht="29" customHeight="1" x14ac:dyDescent="0.2">
      <c r="A804" s="9" t="s">
        <v>2567</v>
      </c>
      <c r="B804" s="10" t="s">
        <v>2568</v>
      </c>
      <c r="C804" s="9" t="s">
        <v>44</v>
      </c>
      <c r="D804" s="9" t="s">
        <v>44</v>
      </c>
      <c r="E804" s="9" t="s">
        <v>1730</v>
      </c>
      <c r="F804" s="9" t="s">
        <v>1730</v>
      </c>
      <c r="G804" s="9">
        <v>116</v>
      </c>
      <c r="H804" s="9">
        <v>200</v>
      </c>
      <c r="I804" s="9">
        <v>42</v>
      </c>
      <c r="J804" s="11">
        <v>4.4000000000000004</v>
      </c>
      <c r="K804" s="9">
        <v>357</v>
      </c>
      <c r="L804" s="9">
        <v>4.1119648238089122</v>
      </c>
      <c r="M804" s="9" t="s">
        <v>89</v>
      </c>
      <c r="N804" s="9" t="s">
        <v>29</v>
      </c>
      <c r="O804" s="9">
        <v>57.5</v>
      </c>
      <c r="P804" s="9" t="s">
        <v>53</v>
      </c>
      <c r="Q804" s="9" t="b">
        <v>0</v>
      </c>
      <c r="R804" s="9" t="b">
        <v>0</v>
      </c>
      <c r="S804" s="9" t="b">
        <v>0</v>
      </c>
      <c r="U804" s="9">
        <v>1</v>
      </c>
      <c r="V804" s="9" t="b">
        <v>1</v>
      </c>
      <c r="W804" s="9" t="s">
        <v>2569</v>
      </c>
    </row>
    <row r="805" spans="1:23" ht="29" customHeight="1" x14ac:dyDescent="0.2">
      <c r="A805" s="9" t="s">
        <v>2570</v>
      </c>
      <c r="B805" s="10" t="s">
        <v>2571</v>
      </c>
      <c r="C805" s="9" t="s">
        <v>1741</v>
      </c>
      <c r="D805" s="9" t="s">
        <v>1741</v>
      </c>
      <c r="E805" s="9" t="s">
        <v>1742</v>
      </c>
      <c r="F805" s="9" t="s">
        <v>1843</v>
      </c>
      <c r="G805" s="9">
        <v>200</v>
      </c>
      <c r="H805" s="9">
        <v>230</v>
      </c>
      <c r="I805" s="9">
        <v>13</v>
      </c>
      <c r="J805" s="11">
        <v>4.4000000000000004</v>
      </c>
      <c r="K805" s="9">
        <v>10170</v>
      </c>
      <c r="L805" s="9">
        <v>4.3148350325986584</v>
      </c>
      <c r="M805" s="9" t="s">
        <v>28</v>
      </c>
      <c r="N805" s="9" t="s">
        <v>29</v>
      </c>
      <c r="O805" s="9">
        <v>57.7</v>
      </c>
      <c r="P805" s="9" t="s">
        <v>53</v>
      </c>
      <c r="Q805" s="9" t="b">
        <v>0</v>
      </c>
      <c r="R805" s="9" t="b">
        <v>0</v>
      </c>
      <c r="S805" s="9" t="b">
        <v>0</v>
      </c>
      <c r="U805" s="9">
        <v>1</v>
      </c>
      <c r="V805" s="9" t="b">
        <v>1</v>
      </c>
      <c r="W805" s="9" t="s">
        <v>2572</v>
      </c>
    </row>
    <row r="806" spans="1:23" ht="29" customHeight="1" x14ac:dyDescent="0.2">
      <c r="A806" s="9" t="s">
        <v>2573</v>
      </c>
      <c r="B806" s="10" t="s">
        <v>2574</v>
      </c>
      <c r="C806" s="9" t="s">
        <v>25</v>
      </c>
      <c r="D806" s="9" t="s">
        <v>25</v>
      </c>
      <c r="E806" s="9" t="s">
        <v>26</v>
      </c>
      <c r="F806" s="9" t="s">
        <v>2371</v>
      </c>
      <c r="G806" s="9">
        <v>1249</v>
      </c>
      <c r="H806" s="9">
        <v>2796</v>
      </c>
      <c r="I806" s="9">
        <v>55</v>
      </c>
      <c r="J806" s="11">
        <v>4.4000000000000004</v>
      </c>
      <c r="K806" s="9">
        <v>4598</v>
      </c>
      <c r="L806" s="9">
        <v>4.258075365310785</v>
      </c>
      <c r="M806" s="9" t="s">
        <v>28</v>
      </c>
      <c r="N806" s="9" t="s">
        <v>179</v>
      </c>
      <c r="O806" s="9">
        <v>64.8</v>
      </c>
      <c r="P806" s="9" t="s">
        <v>36</v>
      </c>
      <c r="Q806" s="9" t="b">
        <v>0</v>
      </c>
      <c r="R806" s="9" t="b">
        <v>0</v>
      </c>
      <c r="S806" s="9" t="b">
        <v>0</v>
      </c>
      <c r="U806" s="9">
        <v>1</v>
      </c>
      <c r="V806" s="9" t="b">
        <v>1</v>
      </c>
      <c r="W806" s="9" t="s">
        <v>2575</v>
      </c>
    </row>
    <row r="807" spans="1:23" ht="29" customHeight="1" x14ac:dyDescent="0.2">
      <c r="A807" s="9" t="s">
        <v>2576</v>
      </c>
      <c r="B807" s="10" t="s">
        <v>2577</v>
      </c>
      <c r="C807" s="9" t="s">
        <v>25</v>
      </c>
      <c r="D807" s="9" t="s">
        <v>25</v>
      </c>
      <c r="E807" s="9" t="s">
        <v>26</v>
      </c>
      <c r="F807" s="9" t="s">
        <v>2578</v>
      </c>
      <c r="G807" s="9">
        <v>649</v>
      </c>
      <c r="H807" s="9">
        <v>999</v>
      </c>
      <c r="I807" s="9">
        <v>35</v>
      </c>
      <c r="J807" s="11">
        <v>3.5</v>
      </c>
      <c r="K807" s="9">
        <v>7222</v>
      </c>
      <c r="L807" s="9">
        <v>3.7002539115736548</v>
      </c>
      <c r="M807" s="9" t="s">
        <v>28</v>
      </c>
      <c r="N807" s="9" t="s">
        <v>93</v>
      </c>
      <c r="O807" s="9">
        <v>15.2</v>
      </c>
      <c r="P807" s="9" t="s">
        <v>40</v>
      </c>
      <c r="Q807" s="9" t="b">
        <v>0</v>
      </c>
      <c r="R807" s="9" t="b">
        <v>0</v>
      </c>
      <c r="S807" s="9" t="b">
        <v>1</v>
      </c>
      <c r="U807" s="9">
        <v>1</v>
      </c>
      <c r="V807" s="9" t="b">
        <v>1</v>
      </c>
      <c r="W807" s="9" t="s">
        <v>2579</v>
      </c>
    </row>
    <row r="808" spans="1:23" ht="29" customHeight="1" x14ac:dyDescent="0.2">
      <c r="A808" s="9" t="s">
        <v>2580</v>
      </c>
      <c r="B808" s="10" t="s">
        <v>2581</v>
      </c>
      <c r="C808" s="9" t="s">
        <v>25</v>
      </c>
      <c r="D808" s="9" t="s">
        <v>25</v>
      </c>
      <c r="E808" s="9" t="s">
        <v>26</v>
      </c>
      <c r="F808" s="9" t="s">
        <v>2582</v>
      </c>
      <c r="G808" s="9">
        <v>2649</v>
      </c>
      <c r="H808" s="9">
        <v>3499</v>
      </c>
      <c r="I808" s="9">
        <v>24</v>
      </c>
      <c r="J808" s="11">
        <v>4.5</v>
      </c>
      <c r="K808" s="9">
        <v>1271</v>
      </c>
      <c r="L808" s="9">
        <v>4.1895180474184599</v>
      </c>
      <c r="M808" s="9" t="s">
        <v>28</v>
      </c>
      <c r="N808" s="9" t="s">
        <v>144</v>
      </c>
      <c r="O808" s="9">
        <v>44.9</v>
      </c>
      <c r="P808" s="9" t="s">
        <v>30</v>
      </c>
      <c r="Q808" s="9" t="b">
        <v>0</v>
      </c>
      <c r="R808" s="9" t="b">
        <v>0</v>
      </c>
      <c r="S808" s="9" t="b">
        <v>0</v>
      </c>
      <c r="U808" s="9">
        <v>1</v>
      </c>
      <c r="V808" s="9" t="b">
        <v>1</v>
      </c>
      <c r="W808" s="9" t="s">
        <v>2583</v>
      </c>
    </row>
    <row r="809" spans="1:23" ht="29" customHeight="1" x14ac:dyDescent="0.2">
      <c r="A809" s="9" t="s">
        <v>2584</v>
      </c>
      <c r="B809" s="10" t="s">
        <v>2585</v>
      </c>
      <c r="C809" s="9" t="s">
        <v>25</v>
      </c>
      <c r="D809" s="9" t="s">
        <v>25</v>
      </c>
      <c r="E809" s="9" t="s">
        <v>1815</v>
      </c>
      <c r="F809" s="9" t="s">
        <v>1816</v>
      </c>
      <c r="G809" s="9">
        <v>596</v>
      </c>
      <c r="H809" s="9">
        <v>723</v>
      </c>
      <c r="I809" s="9">
        <v>18</v>
      </c>
      <c r="J809" s="11">
        <v>4.4000000000000004</v>
      </c>
      <c r="K809" s="9">
        <v>3219</v>
      </c>
      <c r="L809" s="9">
        <v>4.2300421244260997</v>
      </c>
      <c r="M809" s="9" t="s">
        <v>28</v>
      </c>
      <c r="N809" s="9" t="s">
        <v>93</v>
      </c>
      <c r="O809" s="9">
        <v>57.6</v>
      </c>
      <c r="P809" s="9" t="s">
        <v>53</v>
      </c>
      <c r="Q809" s="9" t="b">
        <v>0</v>
      </c>
      <c r="R809" s="9" t="b">
        <v>0</v>
      </c>
      <c r="S809" s="9" t="b">
        <v>0</v>
      </c>
      <c r="U809" s="9">
        <v>1</v>
      </c>
      <c r="V809" s="9" t="b">
        <v>1</v>
      </c>
      <c r="W809" s="9" t="s">
        <v>2586</v>
      </c>
    </row>
    <row r="810" spans="1:23" ht="29" customHeight="1" x14ac:dyDescent="0.2">
      <c r="A810" s="9" t="s">
        <v>2587</v>
      </c>
      <c r="B810" s="10" t="s">
        <v>2588</v>
      </c>
      <c r="C810" s="9" t="s">
        <v>44</v>
      </c>
      <c r="D810" s="9" t="s">
        <v>44</v>
      </c>
      <c r="E810" s="9" t="s">
        <v>976</v>
      </c>
      <c r="F810" s="9" t="s">
        <v>977</v>
      </c>
      <c r="G810" s="9">
        <v>2499</v>
      </c>
      <c r="H810" s="9">
        <v>5999</v>
      </c>
      <c r="I810" s="9">
        <v>58</v>
      </c>
      <c r="J810" s="11">
        <v>4.0999999999999996</v>
      </c>
      <c r="K810" s="9">
        <v>38879</v>
      </c>
      <c r="L810" s="9">
        <v>4.0986442571598278</v>
      </c>
      <c r="M810" s="9" t="s">
        <v>28</v>
      </c>
      <c r="N810" s="9" t="s">
        <v>179</v>
      </c>
      <c r="O810" s="9">
        <v>55.4</v>
      </c>
      <c r="P810" s="9" t="s">
        <v>53</v>
      </c>
      <c r="Q810" s="9" t="b">
        <v>0</v>
      </c>
      <c r="R810" s="9" t="b">
        <v>0</v>
      </c>
      <c r="S810" s="9" t="b">
        <v>0</v>
      </c>
      <c r="T810" s="9">
        <v>1.1399999999999999</v>
      </c>
      <c r="U810" s="9">
        <v>2</v>
      </c>
      <c r="V810" s="9" t="b">
        <v>0</v>
      </c>
      <c r="W810" s="9" t="s">
        <v>2589</v>
      </c>
    </row>
    <row r="811" spans="1:23" ht="29" customHeight="1" x14ac:dyDescent="0.2">
      <c r="A811" s="9" t="s">
        <v>2590</v>
      </c>
      <c r="B811" s="10" t="s">
        <v>2591</v>
      </c>
      <c r="C811" s="9" t="s">
        <v>44</v>
      </c>
      <c r="D811" s="9" t="s">
        <v>44</v>
      </c>
      <c r="E811" s="9" t="s">
        <v>359</v>
      </c>
      <c r="F811" s="9" t="s">
        <v>2592</v>
      </c>
      <c r="G811" s="9">
        <v>4999</v>
      </c>
      <c r="H811" s="9">
        <v>12499</v>
      </c>
      <c r="I811" s="9">
        <v>60</v>
      </c>
      <c r="J811" s="11">
        <v>4.2</v>
      </c>
      <c r="K811" s="9">
        <v>4541</v>
      </c>
      <c r="L811" s="9">
        <v>4.1477255484652034</v>
      </c>
      <c r="M811" s="9" t="s">
        <v>28</v>
      </c>
      <c r="N811" s="9" t="s">
        <v>144</v>
      </c>
      <c r="O811" s="9">
        <v>56.8</v>
      </c>
      <c r="P811" s="9" t="s">
        <v>53</v>
      </c>
      <c r="Q811" s="9" t="b">
        <v>0</v>
      </c>
      <c r="R811" s="9" t="b">
        <v>0</v>
      </c>
      <c r="S811" s="9" t="b">
        <v>0</v>
      </c>
      <c r="U811" s="9">
        <v>1</v>
      </c>
      <c r="V811" s="9" t="b">
        <v>1</v>
      </c>
      <c r="W811" s="9" t="s">
        <v>2593</v>
      </c>
    </row>
    <row r="812" spans="1:23" ht="29" customHeight="1" x14ac:dyDescent="0.2">
      <c r="A812" s="9" t="s">
        <v>2594</v>
      </c>
      <c r="B812" s="10" t="s">
        <v>2595</v>
      </c>
      <c r="C812" s="9" t="s">
        <v>44</v>
      </c>
      <c r="D812" s="9" t="s">
        <v>44</v>
      </c>
      <c r="E812" s="9" t="s">
        <v>1009</v>
      </c>
      <c r="F812" s="9" t="s">
        <v>1010</v>
      </c>
      <c r="G812" s="9">
        <v>399</v>
      </c>
      <c r="H812" s="9">
        <v>1290</v>
      </c>
      <c r="I812" s="9">
        <v>69</v>
      </c>
      <c r="J812" s="11">
        <v>4.2</v>
      </c>
      <c r="K812" s="9">
        <v>76042</v>
      </c>
      <c r="L812" s="9">
        <v>4.1945609469601441</v>
      </c>
      <c r="M812" s="9" t="s">
        <v>28</v>
      </c>
      <c r="N812" s="9" t="s">
        <v>29</v>
      </c>
      <c r="O812" s="9">
        <v>80</v>
      </c>
      <c r="P812" s="9" t="s">
        <v>36</v>
      </c>
      <c r="Q812" s="9" t="b">
        <v>1</v>
      </c>
      <c r="R812" s="9" t="b">
        <v>0</v>
      </c>
      <c r="S812" s="9" t="b">
        <v>0</v>
      </c>
      <c r="T812" s="9">
        <v>0.42</v>
      </c>
      <c r="U812" s="9">
        <v>1</v>
      </c>
      <c r="V812" s="9" t="b">
        <v>1</v>
      </c>
      <c r="W812" s="9" t="s">
        <v>2596</v>
      </c>
    </row>
    <row r="813" spans="1:23" ht="29" customHeight="1" x14ac:dyDescent="0.2">
      <c r="A813" s="9" t="s">
        <v>2597</v>
      </c>
      <c r="B813" s="10" t="s">
        <v>2598</v>
      </c>
      <c r="C813" s="9" t="s">
        <v>44</v>
      </c>
      <c r="D813" s="9" t="s">
        <v>44</v>
      </c>
      <c r="E813" s="9" t="s">
        <v>1730</v>
      </c>
      <c r="F813" s="9" t="s">
        <v>1730</v>
      </c>
      <c r="G813" s="9">
        <v>116</v>
      </c>
      <c r="H813" s="9">
        <v>200</v>
      </c>
      <c r="I813" s="9">
        <v>42</v>
      </c>
      <c r="J813" s="11">
        <v>4.3</v>
      </c>
      <c r="K813" s="9">
        <v>485</v>
      </c>
      <c r="L813" s="9">
        <v>4.1092263900366843</v>
      </c>
      <c r="M813" s="9" t="s">
        <v>89</v>
      </c>
      <c r="N813" s="9" t="s">
        <v>29</v>
      </c>
      <c r="O813" s="9">
        <v>57.4</v>
      </c>
      <c r="P813" s="9" t="s">
        <v>53</v>
      </c>
      <c r="Q813" s="9" t="b">
        <v>0</v>
      </c>
      <c r="R813" s="9" t="b">
        <v>0</v>
      </c>
      <c r="S813" s="9" t="b">
        <v>0</v>
      </c>
      <c r="U813" s="9">
        <v>1</v>
      </c>
      <c r="V813" s="9" t="b">
        <v>1</v>
      </c>
      <c r="W813" s="9" t="s">
        <v>2599</v>
      </c>
    </row>
    <row r="814" spans="1:23" ht="29" customHeight="1" x14ac:dyDescent="0.2">
      <c r="A814" s="9" t="s">
        <v>2600</v>
      </c>
      <c r="B814" s="10" t="s">
        <v>2601</v>
      </c>
      <c r="C814" s="9" t="s">
        <v>44</v>
      </c>
      <c r="D814" s="9" t="s">
        <v>44</v>
      </c>
      <c r="E814" s="9" t="s">
        <v>1769</v>
      </c>
      <c r="F814" s="9" t="s">
        <v>2037</v>
      </c>
      <c r="G814" s="9">
        <v>4499</v>
      </c>
      <c r="H814" s="9">
        <v>5999</v>
      </c>
      <c r="I814" s="9">
        <v>25</v>
      </c>
      <c r="J814" s="11">
        <v>4.3</v>
      </c>
      <c r="K814" s="9">
        <v>44696</v>
      </c>
      <c r="L814" s="9">
        <v>4.2832782502900582</v>
      </c>
      <c r="M814" s="9" t="s">
        <v>28</v>
      </c>
      <c r="N814" s="9" t="s">
        <v>144</v>
      </c>
      <c r="O814" s="9">
        <v>52.2</v>
      </c>
      <c r="P814" s="9" t="s">
        <v>53</v>
      </c>
      <c r="Q814" s="9" t="b">
        <v>0</v>
      </c>
      <c r="R814" s="9" t="b">
        <v>0</v>
      </c>
      <c r="S814" s="9" t="b">
        <v>0</v>
      </c>
      <c r="U814" s="9">
        <v>1</v>
      </c>
      <c r="V814" s="9" t="b">
        <v>1</v>
      </c>
      <c r="W814" s="9" t="s">
        <v>2602</v>
      </c>
    </row>
    <row r="815" spans="1:23" ht="29" customHeight="1" x14ac:dyDescent="0.2">
      <c r="A815" s="9" t="s">
        <v>2603</v>
      </c>
      <c r="B815" s="10" t="s">
        <v>2604</v>
      </c>
      <c r="C815" s="9" t="s">
        <v>25</v>
      </c>
      <c r="D815" s="9" t="s">
        <v>25</v>
      </c>
      <c r="E815" s="9" t="s">
        <v>26</v>
      </c>
      <c r="F815" s="9" t="s">
        <v>2103</v>
      </c>
      <c r="G815" s="9">
        <v>330</v>
      </c>
      <c r="H815" s="9">
        <v>499</v>
      </c>
      <c r="I815" s="9">
        <v>34</v>
      </c>
      <c r="J815" s="11">
        <v>3.7</v>
      </c>
      <c r="K815" s="9">
        <v>8566</v>
      </c>
      <c r="L815" s="9">
        <v>3.8173856585700459</v>
      </c>
      <c r="M815" s="9" t="s">
        <v>28</v>
      </c>
      <c r="N815" s="9" t="s">
        <v>29</v>
      </c>
      <c r="O815" s="9">
        <v>20.7</v>
      </c>
      <c r="P815" s="9" t="s">
        <v>40</v>
      </c>
      <c r="Q815" s="9" t="b">
        <v>0</v>
      </c>
      <c r="R815" s="9" t="b">
        <v>0</v>
      </c>
      <c r="S815" s="9" t="b">
        <v>1</v>
      </c>
      <c r="U815" s="9">
        <v>1</v>
      </c>
      <c r="V815" s="9" t="b">
        <v>1</v>
      </c>
      <c r="W815" s="9" t="s">
        <v>2605</v>
      </c>
    </row>
    <row r="816" spans="1:23" ht="29" customHeight="1" x14ac:dyDescent="0.2">
      <c r="A816" s="9" t="s">
        <v>2606</v>
      </c>
      <c r="B816" s="10" t="s">
        <v>2607</v>
      </c>
      <c r="C816" s="9" t="s">
        <v>44</v>
      </c>
      <c r="D816" s="9" t="s">
        <v>44</v>
      </c>
      <c r="E816" s="9" t="s">
        <v>1009</v>
      </c>
      <c r="F816" s="9" t="s">
        <v>1881</v>
      </c>
      <c r="G816" s="9">
        <v>649</v>
      </c>
      <c r="H816" s="9">
        <v>2499</v>
      </c>
      <c r="I816" s="9">
        <v>74</v>
      </c>
      <c r="J816" s="11">
        <v>3.9</v>
      </c>
      <c r="K816" s="9">
        <v>13049</v>
      </c>
      <c r="L816" s="9">
        <v>3.9413222551039948</v>
      </c>
      <c r="M816" s="9" t="s">
        <v>28</v>
      </c>
      <c r="N816" s="9" t="s">
        <v>93</v>
      </c>
      <c r="O816" s="9">
        <v>43.3</v>
      </c>
      <c r="P816" s="9" t="s">
        <v>30</v>
      </c>
      <c r="Q816" s="9" t="b">
        <v>0</v>
      </c>
      <c r="R816" s="9" t="b">
        <v>0</v>
      </c>
      <c r="S816" s="9" t="b">
        <v>0</v>
      </c>
      <c r="U816" s="9">
        <v>1</v>
      </c>
      <c r="V816" s="9" t="b">
        <v>1</v>
      </c>
      <c r="W816" s="9" t="s">
        <v>2608</v>
      </c>
    </row>
    <row r="817" spans="1:23" ht="29" customHeight="1" x14ac:dyDescent="0.2">
      <c r="A817" s="9" t="s">
        <v>2609</v>
      </c>
      <c r="B817" s="10" t="s">
        <v>2610</v>
      </c>
      <c r="C817" s="9" t="s">
        <v>25</v>
      </c>
      <c r="D817" s="9" t="s">
        <v>25</v>
      </c>
      <c r="E817" s="9" t="s">
        <v>26</v>
      </c>
      <c r="F817" s="9" t="s">
        <v>1272</v>
      </c>
      <c r="G817" s="9">
        <v>1234</v>
      </c>
      <c r="H817" s="9">
        <v>1599</v>
      </c>
      <c r="I817" s="9">
        <v>23</v>
      </c>
      <c r="J817" s="11">
        <v>4.5</v>
      </c>
      <c r="K817" s="9">
        <v>16680</v>
      </c>
      <c r="L817" s="9">
        <v>4.4235508911180537</v>
      </c>
      <c r="M817" s="9" t="s">
        <v>28</v>
      </c>
      <c r="N817" s="9" t="s">
        <v>179</v>
      </c>
      <c r="O817" s="9">
        <v>57</v>
      </c>
      <c r="P817" s="9" t="s">
        <v>53</v>
      </c>
      <c r="Q817" s="9" t="b">
        <v>0</v>
      </c>
      <c r="R817" s="9" t="b">
        <v>0</v>
      </c>
      <c r="S817" s="9" t="b">
        <v>0</v>
      </c>
      <c r="T817" s="9">
        <v>3.17</v>
      </c>
      <c r="U817" s="9">
        <v>1</v>
      </c>
      <c r="V817" s="9" t="b">
        <v>1</v>
      </c>
      <c r="W817" s="9" t="s">
        <v>2611</v>
      </c>
    </row>
    <row r="818" spans="1:23" ht="29" customHeight="1" x14ac:dyDescent="0.2">
      <c r="A818" s="9" t="s">
        <v>2612</v>
      </c>
      <c r="B818" s="10" t="s">
        <v>2613</v>
      </c>
      <c r="C818" s="9" t="s">
        <v>1735</v>
      </c>
      <c r="D818" s="9" t="s">
        <v>1724</v>
      </c>
      <c r="E818" s="9" t="s">
        <v>1736</v>
      </c>
      <c r="F818" s="9" t="s">
        <v>2425</v>
      </c>
      <c r="G818" s="9">
        <v>272</v>
      </c>
      <c r="H818" s="9">
        <v>320</v>
      </c>
      <c r="I818" s="9">
        <v>15</v>
      </c>
      <c r="J818" s="11">
        <v>4</v>
      </c>
      <c r="K818" s="9">
        <v>3686</v>
      </c>
      <c r="L818" s="9">
        <v>4.0427521100464272</v>
      </c>
      <c r="M818" s="9" t="s">
        <v>28</v>
      </c>
      <c r="N818" s="9" t="s">
        <v>29</v>
      </c>
      <c r="O818" s="9">
        <v>20.399999999999999</v>
      </c>
      <c r="P818" s="9" t="s">
        <v>40</v>
      </c>
      <c r="Q818" s="9" t="b">
        <v>0</v>
      </c>
      <c r="R818" s="9" t="b">
        <v>0</v>
      </c>
      <c r="S818" s="9" t="b">
        <v>0</v>
      </c>
      <c r="U818" s="9">
        <v>1</v>
      </c>
      <c r="V818" s="9" t="b">
        <v>1</v>
      </c>
      <c r="W818" s="9" t="s">
        <v>2614</v>
      </c>
    </row>
    <row r="819" spans="1:23" ht="29" customHeight="1" x14ac:dyDescent="0.2">
      <c r="A819" s="9" t="s">
        <v>2615</v>
      </c>
      <c r="B819" s="10" t="s">
        <v>2616</v>
      </c>
      <c r="C819" s="9" t="s">
        <v>44</v>
      </c>
      <c r="D819" s="9" t="s">
        <v>44</v>
      </c>
      <c r="E819" s="9" t="s">
        <v>1009</v>
      </c>
      <c r="F819" s="9" t="s">
        <v>2617</v>
      </c>
      <c r="G819" s="9">
        <v>99</v>
      </c>
      <c r="H819" s="9">
        <v>999</v>
      </c>
      <c r="I819" s="9">
        <v>90</v>
      </c>
      <c r="J819" s="11">
        <v>3.8</v>
      </c>
      <c r="K819" s="9">
        <v>594</v>
      </c>
      <c r="L819" s="9">
        <v>4.0458255690762801</v>
      </c>
      <c r="M819" s="9" t="s">
        <v>89</v>
      </c>
      <c r="N819" s="9" t="s">
        <v>29</v>
      </c>
      <c r="O819" s="9">
        <v>62.1</v>
      </c>
      <c r="P819" s="9" t="s">
        <v>36</v>
      </c>
      <c r="Q819" s="9" t="b">
        <v>0</v>
      </c>
      <c r="R819" s="9" t="b">
        <v>0</v>
      </c>
      <c r="S819" s="9" t="b">
        <v>1</v>
      </c>
      <c r="U819" s="9">
        <v>1</v>
      </c>
      <c r="V819" s="9" t="b">
        <v>1</v>
      </c>
      <c r="W819" s="9" t="s">
        <v>2618</v>
      </c>
    </row>
    <row r="820" spans="1:23" ht="29" customHeight="1" x14ac:dyDescent="0.2">
      <c r="A820" s="9" t="s">
        <v>2619</v>
      </c>
      <c r="B820" s="10" t="s">
        <v>2620</v>
      </c>
      <c r="C820" s="9" t="s">
        <v>25</v>
      </c>
      <c r="D820" s="9" t="s">
        <v>25</v>
      </c>
      <c r="E820" s="9" t="s">
        <v>1815</v>
      </c>
      <c r="F820" s="9" t="s">
        <v>2621</v>
      </c>
      <c r="G820" s="9">
        <v>3498</v>
      </c>
      <c r="H820" s="9">
        <v>3875</v>
      </c>
      <c r="I820" s="9">
        <v>10</v>
      </c>
      <c r="J820" s="11">
        <v>3.4</v>
      </c>
      <c r="K820" s="9">
        <v>12185</v>
      </c>
      <c r="L820" s="9">
        <v>3.5615262010773359</v>
      </c>
      <c r="M820" s="9" t="s">
        <v>28</v>
      </c>
      <c r="N820" s="9" t="s">
        <v>144</v>
      </c>
      <c r="O820" s="9">
        <v>4.9000000000000004</v>
      </c>
      <c r="P820" s="9" t="s">
        <v>40</v>
      </c>
      <c r="Q820" s="9" t="b">
        <v>0</v>
      </c>
      <c r="R820" s="9" t="b">
        <v>0</v>
      </c>
      <c r="S820" s="9" t="b">
        <v>1</v>
      </c>
      <c r="U820" s="9">
        <v>1</v>
      </c>
      <c r="V820" s="9" t="b">
        <v>1</v>
      </c>
      <c r="W820" s="9" t="s">
        <v>2622</v>
      </c>
    </row>
    <row r="821" spans="1:23" ht="29" customHeight="1" x14ac:dyDescent="0.2">
      <c r="A821" s="9" t="s">
        <v>2623</v>
      </c>
      <c r="B821" s="10" t="s">
        <v>2624</v>
      </c>
      <c r="C821" s="9" t="s">
        <v>25</v>
      </c>
      <c r="D821" s="9" t="s">
        <v>25</v>
      </c>
      <c r="E821" s="9" t="s">
        <v>2007</v>
      </c>
      <c r="F821" s="9" t="s">
        <v>2007</v>
      </c>
      <c r="G821" s="9">
        <v>10099</v>
      </c>
      <c r="H821" s="9">
        <v>19110</v>
      </c>
      <c r="I821" s="9">
        <v>47</v>
      </c>
      <c r="J821" s="11">
        <v>4.3</v>
      </c>
      <c r="K821" s="9">
        <v>2623</v>
      </c>
      <c r="L821" s="9">
        <v>4.1731014159706854</v>
      </c>
      <c r="M821" s="9" t="s">
        <v>28</v>
      </c>
      <c r="N821" s="9" t="s">
        <v>58</v>
      </c>
      <c r="O821" s="9">
        <v>57.6</v>
      </c>
      <c r="P821" s="9" t="s">
        <v>53</v>
      </c>
      <c r="Q821" s="9" t="b">
        <v>0</v>
      </c>
      <c r="R821" s="9" t="b">
        <v>0</v>
      </c>
      <c r="S821" s="9" t="b">
        <v>0</v>
      </c>
      <c r="U821" s="9">
        <v>1</v>
      </c>
      <c r="V821" s="9" t="b">
        <v>1</v>
      </c>
      <c r="W821" s="9" t="s">
        <v>2625</v>
      </c>
    </row>
    <row r="822" spans="1:23" ht="29" customHeight="1" x14ac:dyDescent="0.2">
      <c r="A822" s="9" t="s">
        <v>2626</v>
      </c>
      <c r="B822" s="10" t="s">
        <v>2627</v>
      </c>
      <c r="C822" s="9" t="s">
        <v>25</v>
      </c>
      <c r="D822" s="9" t="s">
        <v>25</v>
      </c>
      <c r="E822" s="9" t="s">
        <v>26</v>
      </c>
      <c r="F822" s="9" t="s">
        <v>2136</v>
      </c>
      <c r="G822" s="9">
        <v>449</v>
      </c>
      <c r="H822" s="9">
        <v>999</v>
      </c>
      <c r="I822" s="9">
        <v>55</v>
      </c>
      <c r="J822" s="11">
        <v>4.3</v>
      </c>
      <c r="K822" s="9">
        <v>9701</v>
      </c>
      <c r="L822" s="9">
        <v>4.2398142453062588</v>
      </c>
      <c r="M822" s="9" t="s">
        <v>28</v>
      </c>
      <c r="N822" s="9" t="s">
        <v>29</v>
      </c>
      <c r="O822" s="9">
        <v>68.099999999999994</v>
      </c>
      <c r="P822" s="9" t="s">
        <v>36</v>
      </c>
      <c r="Q822" s="9" t="b">
        <v>0</v>
      </c>
      <c r="R822" s="9" t="b">
        <v>0</v>
      </c>
      <c r="S822" s="9" t="b">
        <v>0</v>
      </c>
      <c r="U822" s="9">
        <v>1</v>
      </c>
      <c r="V822" s="9" t="b">
        <v>1</v>
      </c>
      <c r="W822" s="9" t="s">
        <v>2628</v>
      </c>
    </row>
    <row r="823" spans="1:23" ht="29" customHeight="1" x14ac:dyDescent="0.2">
      <c r="A823" s="9" t="s">
        <v>2629</v>
      </c>
      <c r="B823" s="10" t="s">
        <v>2630</v>
      </c>
      <c r="C823" s="9" t="s">
        <v>2631</v>
      </c>
      <c r="D823" s="9" t="s">
        <v>1724</v>
      </c>
      <c r="E823" s="9" t="s">
        <v>2632</v>
      </c>
      <c r="F823" s="9" t="s">
        <v>2633</v>
      </c>
      <c r="G823" s="9">
        <v>150</v>
      </c>
      <c r="H823" s="9">
        <v>150</v>
      </c>
      <c r="I823" s="9">
        <v>0</v>
      </c>
      <c r="J823" s="11">
        <v>4.3</v>
      </c>
      <c r="K823" s="9">
        <v>15867</v>
      </c>
      <c r="L823" s="9">
        <v>4.2587197377254036</v>
      </c>
      <c r="M823" s="9" t="s">
        <v>28</v>
      </c>
      <c r="N823" s="9" t="s">
        <v>29</v>
      </c>
      <c r="O823" s="9">
        <v>53.5</v>
      </c>
      <c r="P823" s="9" t="s">
        <v>53</v>
      </c>
      <c r="Q823" s="9" t="b">
        <v>0</v>
      </c>
      <c r="R823" s="9" t="b">
        <v>0</v>
      </c>
      <c r="S823" s="9" t="b">
        <v>0</v>
      </c>
      <c r="U823" s="9">
        <v>1</v>
      </c>
      <c r="V823" s="9" t="b">
        <v>1</v>
      </c>
      <c r="W823" s="9" t="s">
        <v>2634</v>
      </c>
    </row>
    <row r="824" spans="1:23" ht="29" customHeight="1" x14ac:dyDescent="0.2">
      <c r="A824" s="9" t="s">
        <v>2635</v>
      </c>
      <c r="B824" s="10" t="s">
        <v>2636</v>
      </c>
      <c r="C824" s="9" t="s">
        <v>25</v>
      </c>
      <c r="D824" s="9" t="s">
        <v>25</v>
      </c>
      <c r="E824" s="9" t="s">
        <v>26</v>
      </c>
      <c r="F824" s="9" t="s">
        <v>27</v>
      </c>
      <c r="G824" s="9">
        <v>348</v>
      </c>
      <c r="H824" s="9">
        <v>1499</v>
      </c>
      <c r="I824" s="9">
        <v>77</v>
      </c>
      <c r="J824" s="11">
        <v>4.2</v>
      </c>
      <c r="K824" s="9">
        <v>656</v>
      </c>
      <c r="L824" s="9">
        <v>4.1017628361844096</v>
      </c>
      <c r="M824" s="9" t="s">
        <v>89</v>
      </c>
      <c r="N824" s="9" t="s">
        <v>29</v>
      </c>
      <c r="O824" s="9">
        <v>66.599999999999994</v>
      </c>
      <c r="P824" s="9" t="s">
        <v>36</v>
      </c>
      <c r="Q824" s="9" t="b">
        <v>0</v>
      </c>
      <c r="R824" s="9" t="b">
        <v>0</v>
      </c>
      <c r="S824" s="9" t="b">
        <v>0</v>
      </c>
      <c r="T824" s="9">
        <v>1.1599999999999999</v>
      </c>
      <c r="U824" s="9">
        <v>1</v>
      </c>
      <c r="V824" s="9" t="b">
        <v>1</v>
      </c>
      <c r="W824" s="9" t="s">
        <v>2637</v>
      </c>
    </row>
    <row r="825" spans="1:23" ht="29" customHeight="1" x14ac:dyDescent="0.2">
      <c r="A825" s="9" t="s">
        <v>2638</v>
      </c>
      <c r="B825" s="10" t="s">
        <v>2639</v>
      </c>
      <c r="C825" s="9" t="s">
        <v>25</v>
      </c>
      <c r="D825" s="9" t="s">
        <v>25</v>
      </c>
      <c r="E825" s="9" t="s">
        <v>34</v>
      </c>
      <c r="F825" s="9" t="s">
        <v>1877</v>
      </c>
      <c r="G825" s="9">
        <v>1199</v>
      </c>
      <c r="H825" s="9">
        <v>2999</v>
      </c>
      <c r="I825" s="9">
        <v>60</v>
      </c>
      <c r="J825" s="11">
        <v>4.0999999999999996</v>
      </c>
      <c r="K825" s="9">
        <v>10725</v>
      </c>
      <c r="L825" s="9">
        <v>4.0960096008062674</v>
      </c>
      <c r="M825" s="9" t="s">
        <v>28</v>
      </c>
      <c r="N825" s="9" t="s">
        <v>179</v>
      </c>
      <c r="O825" s="9">
        <v>56.3</v>
      </c>
      <c r="P825" s="9" t="s">
        <v>53</v>
      </c>
      <c r="Q825" s="9" t="b">
        <v>0</v>
      </c>
      <c r="R825" s="9" t="b">
        <v>0</v>
      </c>
      <c r="S825" s="9" t="b">
        <v>0</v>
      </c>
      <c r="U825" s="9">
        <v>1</v>
      </c>
      <c r="V825" s="9" t="b">
        <v>1</v>
      </c>
      <c r="W825" s="9" t="s">
        <v>2640</v>
      </c>
    </row>
    <row r="826" spans="1:23" ht="29" customHeight="1" x14ac:dyDescent="0.2">
      <c r="A826" s="9" t="s">
        <v>2641</v>
      </c>
      <c r="B826" s="10" t="s">
        <v>2642</v>
      </c>
      <c r="C826" s="9" t="s">
        <v>25</v>
      </c>
      <c r="D826" s="9" t="s">
        <v>25</v>
      </c>
      <c r="E826" s="9" t="s">
        <v>26</v>
      </c>
      <c r="F826" s="9" t="s">
        <v>1851</v>
      </c>
      <c r="G826" s="9">
        <v>397</v>
      </c>
      <c r="H826" s="9">
        <v>899</v>
      </c>
      <c r="I826" s="9">
        <v>56</v>
      </c>
      <c r="J826" s="11">
        <v>4</v>
      </c>
      <c r="K826" s="9">
        <v>3025</v>
      </c>
      <c r="L826" s="9">
        <v>4.0469155199529752</v>
      </c>
      <c r="M826" s="9" t="s">
        <v>28</v>
      </c>
      <c r="N826" s="9" t="s">
        <v>29</v>
      </c>
      <c r="O826" s="9">
        <v>40.4</v>
      </c>
      <c r="P826" s="9" t="s">
        <v>30</v>
      </c>
      <c r="Q826" s="9" t="b">
        <v>0</v>
      </c>
      <c r="R826" s="9" t="b">
        <v>0</v>
      </c>
      <c r="S826" s="9" t="b">
        <v>0</v>
      </c>
      <c r="U826" s="9">
        <v>1</v>
      </c>
      <c r="V826" s="9" t="b">
        <v>1</v>
      </c>
      <c r="W826" s="9" t="s">
        <v>2643</v>
      </c>
    </row>
    <row r="827" spans="1:23" ht="29" customHeight="1" x14ac:dyDescent="0.2">
      <c r="A827" s="9" t="s">
        <v>2644</v>
      </c>
      <c r="B827" s="10" t="s">
        <v>2645</v>
      </c>
      <c r="C827" s="9" t="s">
        <v>25</v>
      </c>
      <c r="D827" s="9" t="s">
        <v>25</v>
      </c>
      <c r="E827" s="9" t="s">
        <v>26</v>
      </c>
      <c r="F827" s="9" t="s">
        <v>27</v>
      </c>
      <c r="G827" s="9">
        <v>154</v>
      </c>
      <c r="H827" s="9">
        <v>349</v>
      </c>
      <c r="I827" s="9">
        <v>56</v>
      </c>
      <c r="J827" s="11">
        <v>4.3</v>
      </c>
      <c r="K827" s="9">
        <v>7064</v>
      </c>
      <c r="L827" s="9">
        <v>4.2251548599899156</v>
      </c>
      <c r="M827" s="9" t="s">
        <v>28</v>
      </c>
      <c r="N827" s="9" t="s">
        <v>29</v>
      </c>
      <c r="O827" s="9">
        <v>76</v>
      </c>
      <c r="P827" s="9" t="s">
        <v>36</v>
      </c>
      <c r="Q827" s="9" t="b">
        <v>0</v>
      </c>
      <c r="R827" s="9" t="b">
        <v>0</v>
      </c>
      <c r="S827" s="9" t="b">
        <v>0</v>
      </c>
      <c r="T827" s="9">
        <v>0.52</v>
      </c>
      <c r="U827" s="9">
        <v>1</v>
      </c>
      <c r="V827" s="9" t="b">
        <v>1</v>
      </c>
      <c r="W827" s="9" t="s">
        <v>2646</v>
      </c>
    </row>
    <row r="828" spans="1:23" ht="29" customHeight="1" x14ac:dyDescent="0.2">
      <c r="A828" s="9" t="s">
        <v>2647</v>
      </c>
      <c r="B828" s="10" t="s">
        <v>2648</v>
      </c>
      <c r="C828" s="9" t="s">
        <v>25</v>
      </c>
      <c r="D828" s="9" t="s">
        <v>25</v>
      </c>
      <c r="E828" s="9" t="s">
        <v>26</v>
      </c>
      <c r="F828" s="9" t="s">
        <v>2071</v>
      </c>
      <c r="G828" s="9">
        <v>699</v>
      </c>
      <c r="H828" s="9">
        <v>1490</v>
      </c>
      <c r="I828" s="9">
        <v>53</v>
      </c>
      <c r="J828" s="11">
        <v>4</v>
      </c>
      <c r="K828" s="9">
        <v>5736</v>
      </c>
      <c r="L828" s="9">
        <v>4.0335251978397446</v>
      </c>
      <c r="M828" s="9" t="s">
        <v>28</v>
      </c>
      <c r="N828" s="9" t="s">
        <v>93</v>
      </c>
      <c r="O828" s="9">
        <v>33.5</v>
      </c>
      <c r="P828" s="9" t="s">
        <v>40</v>
      </c>
      <c r="Q828" s="9" t="b">
        <v>0</v>
      </c>
      <c r="R828" s="9" t="b">
        <v>0</v>
      </c>
      <c r="S828" s="9" t="b">
        <v>0</v>
      </c>
      <c r="U828" s="9">
        <v>1</v>
      </c>
      <c r="V828" s="9" t="b">
        <v>1</v>
      </c>
      <c r="W828" s="9" t="s">
        <v>2649</v>
      </c>
    </row>
    <row r="829" spans="1:23" ht="29" customHeight="1" x14ac:dyDescent="0.2">
      <c r="A829" s="9" t="s">
        <v>2650</v>
      </c>
      <c r="B829" s="10" t="s">
        <v>2651</v>
      </c>
      <c r="C829" s="9" t="s">
        <v>44</v>
      </c>
      <c r="D829" s="9" t="s">
        <v>44</v>
      </c>
      <c r="E829" s="9" t="s">
        <v>1009</v>
      </c>
      <c r="F829" s="9" t="s">
        <v>1010</v>
      </c>
      <c r="G829" s="9">
        <v>1679</v>
      </c>
      <c r="H829" s="9">
        <v>1999</v>
      </c>
      <c r="I829" s="9">
        <v>16</v>
      </c>
      <c r="J829" s="11">
        <v>4.0999999999999996</v>
      </c>
      <c r="K829" s="9">
        <v>72563</v>
      </c>
      <c r="L829" s="9">
        <v>4.0992425741289713</v>
      </c>
      <c r="M829" s="9" t="s">
        <v>28</v>
      </c>
      <c r="N829" s="9" t="s">
        <v>179</v>
      </c>
      <c r="O829" s="9">
        <v>36</v>
      </c>
      <c r="P829" s="9" t="s">
        <v>40</v>
      </c>
      <c r="Q829" s="9" t="b">
        <v>0</v>
      </c>
      <c r="R829" s="9" t="b">
        <v>0</v>
      </c>
      <c r="S829" s="9" t="b">
        <v>0</v>
      </c>
      <c r="T829" s="9">
        <v>1.77</v>
      </c>
      <c r="U829" s="9">
        <v>1</v>
      </c>
      <c r="V829" s="9" t="b">
        <v>1</v>
      </c>
      <c r="W829" s="9" t="s">
        <v>2652</v>
      </c>
    </row>
    <row r="830" spans="1:23" ht="29" customHeight="1" x14ac:dyDescent="0.2">
      <c r="A830" s="9" t="s">
        <v>2653</v>
      </c>
      <c r="B830" s="10" t="s">
        <v>2654</v>
      </c>
      <c r="C830" s="9" t="s">
        <v>25</v>
      </c>
      <c r="D830" s="9" t="s">
        <v>25</v>
      </c>
      <c r="E830" s="9" t="s">
        <v>26</v>
      </c>
      <c r="F830" s="9" t="s">
        <v>1660</v>
      </c>
      <c r="G830" s="9">
        <v>354</v>
      </c>
      <c r="H830" s="9">
        <v>1500</v>
      </c>
      <c r="I830" s="9">
        <v>76</v>
      </c>
      <c r="J830" s="11">
        <v>4</v>
      </c>
      <c r="K830" s="9">
        <v>1026</v>
      </c>
      <c r="L830" s="9">
        <v>4.0665008022722802</v>
      </c>
      <c r="M830" s="9" t="s">
        <v>28</v>
      </c>
      <c r="N830" s="9" t="s">
        <v>29</v>
      </c>
      <c r="O830" s="9">
        <v>51.9</v>
      </c>
      <c r="P830" s="9" t="s">
        <v>53</v>
      </c>
      <c r="Q830" s="9" t="b">
        <v>0</v>
      </c>
      <c r="R830" s="9" t="b">
        <v>0</v>
      </c>
      <c r="S830" s="9" t="b">
        <v>0</v>
      </c>
      <c r="T830" s="9">
        <v>1.22</v>
      </c>
      <c r="U830" s="9">
        <v>1</v>
      </c>
      <c r="V830" s="9" t="b">
        <v>1</v>
      </c>
      <c r="W830" s="9" t="s">
        <v>2655</v>
      </c>
    </row>
    <row r="831" spans="1:23" ht="29" customHeight="1" x14ac:dyDescent="0.2">
      <c r="A831" s="9" t="s">
        <v>2656</v>
      </c>
      <c r="B831" s="10" t="s">
        <v>2657</v>
      </c>
      <c r="C831" s="9" t="s">
        <v>25</v>
      </c>
      <c r="D831" s="9" t="s">
        <v>25</v>
      </c>
      <c r="E831" s="9" t="s">
        <v>26</v>
      </c>
      <c r="F831" s="9" t="s">
        <v>2658</v>
      </c>
      <c r="G831" s="9">
        <v>1199</v>
      </c>
      <c r="H831" s="9">
        <v>5499</v>
      </c>
      <c r="I831" s="9">
        <v>78</v>
      </c>
      <c r="J831" s="11">
        <v>3.8</v>
      </c>
      <c r="K831" s="9">
        <v>2043</v>
      </c>
      <c r="L831" s="9">
        <v>3.984469742775095</v>
      </c>
      <c r="M831" s="9" t="s">
        <v>28</v>
      </c>
      <c r="N831" s="9" t="s">
        <v>179</v>
      </c>
      <c r="O831" s="9">
        <v>37.6</v>
      </c>
      <c r="P831" s="9" t="s">
        <v>40</v>
      </c>
      <c r="Q831" s="9" t="b">
        <v>0</v>
      </c>
      <c r="R831" s="9" t="b">
        <v>0</v>
      </c>
      <c r="S831" s="9" t="b">
        <v>1</v>
      </c>
      <c r="U831" s="9">
        <v>1</v>
      </c>
      <c r="V831" s="9" t="b">
        <v>1</v>
      </c>
      <c r="W831" s="9" t="s">
        <v>2659</v>
      </c>
    </row>
    <row r="832" spans="1:23" ht="29" customHeight="1" x14ac:dyDescent="0.2">
      <c r="A832" s="9" t="s">
        <v>2660</v>
      </c>
      <c r="B832" s="10" t="s">
        <v>2661</v>
      </c>
      <c r="C832" s="9" t="s">
        <v>25</v>
      </c>
      <c r="D832" s="9" t="s">
        <v>25</v>
      </c>
      <c r="E832" s="9" t="s">
        <v>26</v>
      </c>
      <c r="F832" s="9" t="s">
        <v>1272</v>
      </c>
      <c r="G832" s="9">
        <v>379</v>
      </c>
      <c r="H832" s="9">
        <v>1499</v>
      </c>
      <c r="I832" s="9">
        <v>75</v>
      </c>
      <c r="J832" s="11">
        <v>4.2</v>
      </c>
      <c r="K832" s="9">
        <v>4149</v>
      </c>
      <c r="L832" s="9">
        <v>4.1451354473463713</v>
      </c>
      <c r="M832" s="9" t="s">
        <v>28</v>
      </c>
      <c r="N832" s="9" t="s">
        <v>29</v>
      </c>
      <c r="O832" s="9">
        <v>68.7</v>
      </c>
      <c r="P832" s="9" t="s">
        <v>36</v>
      </c>
      <c r="Q832" s="9" t="b">
        <v>0</v>
      </c>
      <c r="R832" s="9" t="b">
        <v>0</v>
      </c>
      <c r="S832" s="9" t="b">
        <v>0</v>
      </c>
      <c r="T832" s="9">
        <v>0.97</v>
      </c>
      <c r="U832" s="9">
        <v>1</v>
      </c>
      <c r="V832" s="9" t="b">
        <v>1</v>
      </c>
      <c r="W832" s="9" t="s">
        <v>2662</v>
      </c>
    </row>
    <row r="833" spans="1:23" ht="29" customHeight="1" x14ac:dyDescent="0.2">
      <c r="A833" s="9" t="s">
        <v>2663</v>
      </c>
      <c r="B833" s="10" t="s">
        <v>2664</v>
      </c>
      <c r="C833" s="9" t="s">
        <v>25</v>
      </c>
      <c r="D833" s="9" t="s">
        <v>25</v>
      </c>
      <c r="E833" s="9" t="s">
        <v>1651</v>
      </c>
      <c r="F833" s="9" t="s">
        <v>1765</v>
      </c>
      <c r="G833" s="9">
        <v>499</v>
      </c>
      <c r="H833" s="9">
        <v>775</v>
      </c>
      <c r="I833" s="9">
        <v>36</v>
      </c>
      <c r="J833" s="11">
        <v>4.3</v>
      </c>
      <c r="K833" s="9">
        <v>74</v>
      </c>
      <c r="L833" s="9">
        <v>4.0887890242879754</v>
      </c>
      <c r="M833" s="9" t="s">
        <v>204</v>
      </c>
      <c r="N833" s="9" t="s">
        <v>29</v>
      </c>
      <c r="O833" s="9">
        <v>43.1</v>
      </c>
      <c r="P833" s="9" t="s">
        <v>30</v>
      </c>
      <c r="Q833" s="9" t="b">
        <v>0</v>
      </c>
      <c r="R833" s="9" t="b">
        <v>0</v>
      </c>
      <c r="S833" s="9" t="b">
        <v>0</v>
      </c>
      <c r="U833" s="9">
        <v>1</v>
      </c>
      <c r="V833" s="9" t="b">
        <v>1</v>
      </c>
      <c r="W833" s="9" t="s">
        <v>2665</v>
      </c>
    </row>
    <row r="834" spans="1:23" ht="29" customHeight="1" x14ac:dyDescent="0.2">
      <c r="A834" s="9" t="s">
        <v>2666</v>
      </c>
      <c r="B834" s="10" t="s">
        <v>2667</v>
      </c>
      <c r="C834" s="9" t="s">
        <v>25</v>
      </c>
      <c r="D834" s="9" t="s">
        <v>25</v>
      </c>
      <c r="E834" s="9" t="s">
        <v>1651</v>
      </c>
      <c r="F834" s="9" t="s">
        <v>2668</v>
      </c>
      <c r="G834" s="9">
        <v>10389</v>
      </c>
      <c r="H834" s="9">
        <v>32000</v>
      </c>
      <c r="I834" s="9">
        <v>68</v>
      </c>
      <c r="J834" s="11">
        <v>4.4000000000000004</v>
      </c>
      <c r="K834" s="9">
        <v>41398</v>
      </c>
      <c r="L834" s="9">
        <v>4.373725691515391</v>
      </c>
      <c r="M834" s="9" t="s">
        <v>28</v>
      </c>
      <c r="N834" s="9" t="s">
        <v>58</v>
      </c>
      <c r="O834" s="9">
        <v>73.599999999999994</v>
      </c>
      <c r="P834" s="9" t="s">
        <v>36</v>
      </c>
      <c r="Q834" s="9" t="b">
        <v>0</v>
      </c>
      <c r="R834" s="9" t="b">
        <v>0</v>
      </c>
      <c r="S834" s="9" t="b">
        <v>0</v>
      </c>
      <c r="U834" s="9">
        <v>1</v>
      </c>
      <c r="V834" s="9" t="b">
        <v>1</v>
      </c>
      <c r="W834" s="9" t="s">
        <v>2669</v>
      </c>
    </row>
    <row r="835" spans="1:23" ht="29" customHeight="1" x14ac:dyDescent="0.2">
      <c r="A835" s="9" t="s">
        <v>2670</v>
      </c>
      <c r="B835" s="10" t="s">
        <v>2671</v>
      </c>
      <c r="C835" s="9" t="s">
        <v>25</v>
      </c>
      <c r="D835" s="9" t="s">
        <v>25</v>
      </c>
      <c r="E835" s="9" t="s">
        <v>26</v>
      </c>
      <c r="F835" s="9" t="s">
        <v>2405</v>
      </c>
      <c r="G835" s="9">
        <v>649</v>
      </c>
      <c r="H835" s="9">
        <v>1300</v>
      </c>
      <c r="I835" s="9">
        <v>50</v>
      </c>
      <c r="J835" s="11">
        <v>4.0999999999999996</v>
      </c>
      <c r="K835" s="9">
        <v>5195</v>
      </c>
      <c r="L835" s="9">
        <v>4.0935460889400854</v>
      </c>
      <c r="M835" s="9" t="s">
        <v>28</v>
      </c>
      <c r="N835" s="9" t="s">
        <v>93</v>
      </c>
      <c r="O835" s="9">
        <v>45.3</v>
      </c>
      <c r="P835" s="9" t="s">
        <v>30</v>
      </c>
      <c r="Q835" s="9" t="b">
        <v>0</v>
      </c>
      <c r="R835" s="9" t="b">
        <v>0</v>
      </c>
      <c r="S835" s="9" t="b">
        <v>0</v>
      </c>
      <c r="U835" s="9">
        <v>1</v>
      </c>
      <c r="V835" s="9" t="b">
        <v>1</v>
      </c>
      <c r="W835" s="9" t="s">
        <v>2672</v>
      </c>
    </row>
    <row r="836" spans="1:23" ht="29" customHeight="1" x14ac:dyDescent="0.2">
      <c r="A836" s="9" t="s">
        <v>2673</v>
      </c>
      <c r="B836" s="10" t="s">
        <v>2674</v>
      </c>
      <c r="C836" s="9" t="s">
        <v>25</v>
      </c>
      <c r="D836" s="9" t="s">
        <v>25</v>
      </c>
      <c r="E836" s="9" t="s">
        <v>34</v>
      </c>
      <c r="F836" s="9" t="s">
        <v>2675</v>
      </c>
      <c r="G836" s="9">
        <v>1199</v>
      </c>
      <c r="H836" s="9">
        <v>1999</v>
      </c>
      <c r="I836" s="9">
        <v>40</v>
      </c>
      <c r="J836" s="11">
        <v>4.5</v>
      </c>
      <c r="K836" s="9">
        <v>22420</v>
      </c>
      <c r="L836" s="9">
        <v>4.4403108599897188</v>
      </c>
      <c r="M836" s="9" t="s">
        <v>28</v>
      </c>
      <c r="N836" s="9" t="s">
        <v>179</v>
      </c>
      <c r="O836" s="9">
        <v>69.900000000000006</v>
      </c>
      <c r="P836" s="9" t="s">
        <v>36</v>
      </c>
      <c r="Q836" s="9" t="b">
        <v>0</v>
      </c>
      <c r="R836" s="9" t="b">
        <v>0</v>
      </c>
      <c r="S836" s="9" t="b">
        <v>0</v>
      </c>
      <c r="U836" s="9">
        <v>2</v>
      </c>
      <c r="V836" s="9" t="b">
        <v>0</v>
      </c>
      <c r="W836" s="9" t="s">
        <v>2676</v>
      </c>
    </row>
    <row r="837" spans="1:23" ht="29" customHeight="1" x14ac:dyDescent="0.2">
      <c r="A837" s="9" t="s">
        <v>2677</v>
      </c>
      <c r="B837" s="10" t="s">
        <v>2678</v>
      </c>
      <c r="C837" s="9" t="s">
        <v>25</v>
      </c>
      <c r="D837" s="9" t="s">
        <v>25</v>
      </c>
      <c r="E837" s="9" t="s">
        <v>26</v>
      </c>
      <c r="F837" s="9" t="s">
        <v>27</v>
      </c>
      <c r="G837" s="9">
        <v>139</v>
      </c>
      <c r="H837" s="9">
        <v>999</v>
      </c>
      <c r="I837" s="9">
        <v>86</v>
      </c>
      <c r="J837" s="11">
        <v>4</v>
      </c>
      <c r="K837" s="9">
        <v>1313</v>
      </c>
      <c r="L837" s="9">
        <v>4.0627404377264931</v>
      </c>
      <c r="M837" s="9" t="s">
        <v>28</v>
      </c>
      <c r="N837" s="9" t="s">
        <v>29</v>
      </c>
      <c r="O837" s="9">
        <v>60.6</v>
      </c>
      <c r="P837" s="9" t="s">
        <v>36</v>
      </c>
      <c r="Q837" s="9" t="b">
        <v>0</v>
      </c>
      <c r="R837" s="9" t="b">
        <v>0</v>
      </c>
      <c r="S837" s="9" t="b">
        <v>0</v>
      </c>
      <c r="T837" s="9">
        <v>0.46</v>
      </c>
      <c r="U837" s="9">
        <v>2</v>
      </c>
      <c r="V837" s="9" t="b">
        <v>0</v>
      </c>
      <c r="W837" s="9" t="s">
        <v>2679</v>
      </c>
    </row>
    <row r="838" spans="1:23" ht="29" customHeight="1" x14ac:dyDescent="0.2">
      <c r="A838" s="9" t="s">
        <v>2680</v>
      </c>
      <c r="B838" s="10" t="s">
        <v>2681</v>
      </c>
      <c r="C838" s="9" t="s">
        <v>44</v>
      </c>
      <c r="D838" s="9" t="s">
        <v>44</v>
      </c>
      <c r="E838" s="9" t="s">
        <v>1009</v>
      </c>
      <c r="F838" s="9" t="s">
        <v>1010</v>
      </c>
      <c r="G838" s="9">
        <v>889</v>
      </c>
      <c r="H838" s="9">
        <v>1999</v>
      </c>
      <c r="I838" s="9">
        <v>56</v>
      </c>
      <c r="J838" s="11">
        <v>4.2</v>
      </c>
      <c r="K838" s="9">
        <v>2284</v>
      </c>
      <c r="L838" s="9">
        <v>4.1282128655719532</v>
      </c>
      <c r="M838" s="9" t="s">
        <v>28</v>
      </c>
      <c r="N838" s="9" t="s">
        <v>93</v>
      </c>
      <c r="O838" s="9">
        <v>59.4</v>
      </c>
      <c r="P838" s="9" t="s">
        <v>53</v>
      </c>
      <c r="Q838" s="9" t="b">
        <v>0</v>
      </c>
      <c r="R838" s="9" t="b">
        <v>0</v>
      </c>
      <c r="S838" s="9" t="b">
        <v>0</v>
      </c>
      <c r="T838" s="9">
        <v>0.94</v>
      </c>
      <c r="U838" s="9">
        <v>1</v>
      </c>
      <c r="V838" s="9" t="b">
        <v>1</v>
      </c>
      <c r="W838" s="9" t="s">
        <v>2682</v>
      </c>
    </row>
    <row r="839" spans="1:23" ht="29" customHeight="1" x14ac:dyDescent="0.2">
      <c r="A839" s="9" t="s">
        <v>2683</v>
      </c>
      <c r="B839" s="10" t="s">
        <v>2684</v>
      </c>
      <c r="C839" s="9" t="s">
        <v>25</v>
      </c>
      <c r="D839" s="9" t="s">
        <v>25</v>
      </c>
      <c r="E839" s="9" t="s">
        <v>26</v>
      </c>
      <c r="F839" s="9" t="s">
        <v>1755</v>
      </c>
      <c r="G839" s="9">
        <v>1409</v>
      </c>
      <c r="H839" s="9">
        <v>2199</v>
      </c>
      <c r="I839" s="9">
        <v>36</v>
      </c>
      <c r="J839" s="11">
        <v>3.9</v>
      </c>
      <c r="K839" s="9">
        <v>427</v>
      </c>
      <c r="L839" s="9">
        <v>4.0658167064520381</v>
      </c>
      <c r="M839" s="9" t="s">
        <v>89</v>
      </c>
      <c r="N839" s="9" t="s">
        <v>179</v>
      </c>
      <c r="O839" s="9">
        <v>27.4</v>
      </c>
      <c r="P839" s="9" t="s">
        <v>40</v>
      </c>
      <c r="Q839" s="9" t="b">
        <v>0</v>
      </c>
      <c r="R839" s="9" t="b">
        <v>0</v>
      </c>
      <c r="S839" s="9" t="b">
        <v>0</v>
      </c>
      <c r="T839" s="9">
        <v>1.07</v>
      </c>
      <c r="U839" s="9">
        <v>1</v>
      </c>
      <c r="V839" s="9" t="b">
        <v>1</v>
      </c>
      <c r="W839" s="9" t="s">
        <v>2685</v>
      </c>
    </row>
    <row r="840" spans="1:23" ht="29" customHeight="1" x14ac:dyDescent="0.2">
      <c r="A840" s="9" t="s">
        <v>2686</v>
      </c>
      <c r="B840" s="10" t="s">
        <v>2687</v>
      </c>
      <c r="C840" s="9" t="s">
        <v>25</v>
      </c>
      <c r="D840" s="9" t="s">
        <v>25</v>
      </c>
      <c r="E840" s="9" t="s">
        <v>1815</v>
      </c>
      <c r="F840" s="9" t="s">
        <v>2688</v>
      </c>
      <c r="G840" s="9">
        <v>549</v>
      </c>
      <c r="H840" s="9">
        <v>1999</v>
      </c>
      <c r="I840" s="9">
        <v>73</v>
      </c>
      <c r="J840" s="11">
        <v>4.3</v>
      </c>
      <c r="K840" s="9">
        <v>1367</v>
      </c>
      <c r="L840" s="9">
        <v>4.1420292604894851</v>
      </c>
      <c r="M840" s="9" t="s">
        <v>28</v>
      </c>
      <c r="N840" s="9" t="s">
        <v>93</v>
      </c>
      <c r="O840" s="9">
        <v>72</v>
      </c>
      <c r="P840" s="9" t="s">
        <v>36</v>
      </c>
      <c r="Q840" s="9" t="b">
        <v>0</v>
      </c>
      <c r="R840" s="9" t="b">
        <v>0</v>
      </c>
      <c r="S840" s="9" t="b">
        <v>0</v>
      </c>
      <c r="U840" s="9">
        <v>1</v>
      </c>
      <c r="V840" s="9" t="b">
        <v>1</v>
      </c>
      <c r="W840" s="9" t="s">
        <v>2689</v>
      </c>
    </row>
    <row r="841" spans="1:23" ht="29" customHeight="1" x14ac:dyDescent="0.2">
      <c r="A841" s="9" t="s">
        <v>2690</v>
      </c>
      <c r="B841" s="10" t="s">
        <v>2691</v>
      </c>
      <c r="C841" s="9" t="s">
        <v>25</v>
      </c>
      <c r="D841" s="9" t="s">
        <v>25</v>
      </c>
      <c r="E841" s="9" t="s">
        <v>26</v>
      </c>
      <c r="F841" s="9" t="s">
        <v>2658</v>
      </c>
      <c r="G841" s="9">
        <v>749</v>
      </c>
      <c r="H841" s="9">
        <v>1799</v>
      </c>
      <c r="I841" s="9">
        <v>58</v>
      </c>
      <c r="J841" s="11">
        <v>4</v>
      </c>
      <c r="K841" s="9">
        <v>13199</v>
      </c>
      <c r="L841" s="9">
        <v>4.0187742293830624</v>
      </c>
      <c r="M841" s="9" t="s">
        <v>28</v>
      </c>
      <c r="N841" s="9" t="s">
        <v>93</v>
      </c>
      <c r="O841" s="9">
        <v>33.799999999999997</v>
      </c>
      <c r="P841" s="9" t="s">
        <v>40</v>
      </c>
      <c r="Q841" s="9" t="b">
        <v>0</v>
      </c>
      <c r="R841" s="9" t="b">
        <v>0</v>
      </c>
      <c r="S841" s="9" t="b">
        <v>0</v>
      </c>
      <c r="U841" s="9">
        <v>1</v>
      </c>
      <c r="V841" s="9" t="b">
        <v>1</v>
      </c>
      <c r="W841" s="9" t="s">
        <v>2692</v>
      </c>
    </row>
    <row r="842" spans="1:23" ht="29" customHeight="1" x14ac:dyDescent="0.2">
      <c r="A842" s="9" t="s">
        <v>2693</v>
      </c>
      <c r="B842" s="10" t="s">
        <v>2694</v>
      </c>
      <c r="C842" s="9" t="s">
        <v>25</v>
      </c>
      <c r="D842" s="9" t="s">
        <v>25</v>
      </c>
      <c r="E842" s="9" t="s">
        <v>26</v>
      </c>
      <c r="F842" s="9" t="s">
        <v>27</v>
      </c>
      <c r="G842" s="9">
        <v>379</v>
      </c>
      <c r="H842" s="9">
        <v>1099</v>
      </c>
      <c r="I842" s="9">
        <v>66</v>
      </c>
      <c r="J842" s="11">
        <v>4.3</v>
      </c>
      <c r="K842" s="9">
        <v>2806</v>
      </c>
      <c r="L842" s="9">
        <v>4.1766368412393717</v>
      </c>
      <c r="M842" s="9" t="s">
        <v>28</v>
      </c>
      <c r="N842" s="9" t="s">
        <v>29</v>
      </c>
      <c r="O842" s="9">
        <v>69.3</v>
      </c>
      <c r="P842" s="9" t="s">
        <v>36</v>
      </c>
      <c r="Q842" s="9" t="b">
        <v>0</v>
      </c>
      <c r="R842" s="9" t="b">
        <v>0</v>
      </c>
      <c r="S842" s="9" t="b">
        <v>0</v>
      </c>
      <c r="T842" s="9">
        <v>1.27</v>
      </c>
      <c r="U842" s="9">
        <v>4</v>
      </c>
      <c r="V842" s="9" t="b">
        <v>0</v>
      </c>
      <c r="W842" s="9" t="s">
        <v>2695</v>
      </c>
    </row>
    <row r="843" spans="1:23" ht="29" customHeight="1" x14ac:dyDescent="0.2">
      <c r="A843" s="9" t="s">
        <v>2696</v>
      </c>
      <c r="B843" s="10" t="s">
        <v>2697</v>
      </c>
      <c r="C843" s="9" t="s">
        <v>44</v>
      </c>
      <c r="D843" s="9" t="s">
        <v>44</v>
      </c>
      <c r="E843" s="9" t="s">
        <v>976</v>
      </c>
      <c r="F843" s="9" t="s">
        <v>977</v>
      </c>
      <c r="G843" s="9">
        <v>5998</v>
      </c>
      <c r="H843" s="9">
        <v>7999</v>
      </c>
      <c r="I843" s="9">
        <v>25</v>
      </c>
      <c r="J843" s="11">
        <v>4.2</v>
      </c>
      <c r="K843" s="9">
        <v>30355</v>
      </c>
      <c r="L843" s="9">
        <v>4.1872774702624991</v>
      </c>
      <c r="M843" s="9" t="s">
        <v>28</v>
      </c>
      <c r="N843" s="9" t="s">
        <v>144</v>
      </c>
      <c r="O843" s="9">
        <v>47</v>
      </c>
      <c r="P843" s="9" t="s">
        <v>30</v>
      </c>
      <c r="Q843" s="9" t="b">
        <v>0</v>
      </c>
      <c r="R843" s="9" t="b">
        <v>0</v>
      </c>
      <c r="S843" s="9" t="b">
        <v>0</v>
      </c>
      <c r="T843" s="9">
        <v>2.73</v>
      </c>
      <c r="U843" s="9">
        <v>1</v>
      </c>
      <c r="V843" s="9" t="b">
        <v>1</v>
      </c>
      <c r="W843" s="9" t="s">
        <v>2698</v>
      </c>
    </row>
    <row r="844" spans="1:23" ht="29" customHeight="1" x14ac:dyDescent="0.2">
      <c r="A844" s="9" t="s">
        <v>2699</v>
      </c>
      <c r="B844" s="10" t="s">
        <v>2700</v>
      </c>
      <c r="C844" s="9" t="s">
        <v>25</v>
      </c>
      <c r="D844" s="9" t="s">
        <v>25</v>
      </c>
      <c r="E844" s="9" t="s">
        <v>26</v>
      </c>
      <c r="F844" s="9" t="s">
        <v>2136</v>
      </c>
      <c r="G844" s="9">
        <v>299</v>
      </c>
      <c r="H844" s="9">
        <v>1499</v>
      </c>
      <c r="I844" s="9">
        <v>80</v>
      </c>
      <c r="J844" s="11">
        <v>4.2</v>
      </c>
      <c r="K844" s="9">
        <v>2868</v>
      </c>
      <c r="L844" s="9">
        <v>4.1345357200333028</v>
      </c>
      <c r="M844" s="9" t="s">
        <v>28</v>
      </c>
      <c r="N844" s="9" t="s">
        <v>29</v>
      </c>
      <c r="O844" s="9">
        <v>71.7</v>
      </c>
      <c r="P844" s="9" t="s">
        <v>36</v>
      </c>
      <c r="Q844" s="9" t="b">
        <v>0</v>
      </c>
      <c r="R844" s="9" t="b">
        <v>0</v>
      </c>
      <c r="S844" s="9" t="b">
        <v>0</v>
      </c>
      <c r="U844" s="9">
        <v>1</v>
      </c>
      <c r="V844" s="9" t="b">
        <v>1</v>
      </c>
      <c r="W844" s="9" t="s">
        <v>2701</v>
      </c>
    </row>
    <row r="845" spans="1:23" ht="29" customHeight="1" x14ac:dyDescent="0.2">
      <c r="A845" s="9" t="s">
        <v>2702</v>
      </c>
      <c r="B845" s="10" t="s">
        <v>2703</v>
      </c>
      <c r="C845" s="9" t="s">
        <v>25</v>
      </c>
      <c r="D845" s="9" t="s">
        <v>25</v>
      </c>
      <c r="E845" s="9" t="s">
        <v>26</v>
      </c>
      <c r="F845" s="9" t="s">
        <v>1272</v>
      </c>
      <c r="G845" s="9">
        <v>379</v>
      </c>
      <c r="H845" s="9">
        <v>1499</v>
      </c>
      <c r="I845" s="9">
        <v>75</v>
      </c>
      <c r="J845" s="11">
        <v>4.0999999999999996</v>
      </c>
      <c r="K845" s="9">
        <v>670</v>
      </c>
      <c r="L845" s="9">
        <v>4.0869574938930207</v>
      </c>
      <c r="M845" s="9" t="s">
        <v>89</v>
      </c>
      <c r="N845" s="9" t="s">
        <v>29</v>
      </c>
      <c r="O845" s="9">
        <v>56</v>
      </c>
      <c r="P845" s="9" t="s">
        <v>53</v>
      </c>
      <c r="Q845" s="9" t="b">
        <v>0</v>
      </c>
      <c r="R845" s="9" t="b">
        <v>0</v>
      </c>
      <c r="S845" s="9" t="b">
        <v>0</v>
      </c>
      <c r="T845" s="9">
        <v>0.97</v>
      </c>
      <c r="U845" s="9">
        <v>1</v>
      </c>
      <c r="V845" s="9" t="b">
        <v>1</v>
      </c>
      <c r="W845" s="9" t="s">
        <v>2704</v>
      </c>
    </row>
    <row r="846" spans="1:23" ht="29" customHeight="1" x14ac:dyDescent="0.2">
      <c r="A846" s="9" t="s">
        <v>2705</v>
      </c>
      <c r="B846" s="10" t="s">
        <v>2706</v>
      </c>
      <c r="C846" s="9" t="s">
        <v>1735</v>
      </c>
      <c r="D846" s="9" t="s">
        <v>1724</v>
      </c>
      <c r="E846" s="9" t="s">
        <v>1736</v>
      </c>
      <c r="F846" s="9" t="s">
        <v>2707</v>
      </c>
      <c r="G846" s="9">
        <v>1399</v>
      </c>
      <c r="H846" s="9">
        <v>2999</v>
      </c>
      <c r="I846" s="9">
        <v>53</v>
      </c>
      <c r="J846" s="11">
        <v>4.3</v>
      </c>
      <c r="K846" s="9">
        <v>3530</v>
      </c>
      <c r="L846" s="9">
        <v>4.188884345790993</v>
      </c>
      <c r="M846" s="9" t="s">
        <v>28</v>
      </c>
      <c r="N846" s="9" t="s">
        <v>179</v>
      </c>
      <c r="O846" s="9">
        <v>56.9</v>
      </c>
      <c r="P846" s="9" t="s">
        <v>53</v>
      </c>
      <c r="Q846" s="9" t="b">
        <v>0</v>
      </c>
      <c r="R846" s="9" t="b">
        <v>0</v>
      </c>
      <c r="S846" s="9" t="b">
        <v>0</v>
      </c>
      <c r="U846" s="9">
        <v>1</v>
      </c>
      <c r="V846" s="9" t="b">
        <v>1</v>
      </c>
      <c r="W846" s="9" t="s">
        <v>2708</v>
      </c>
    </row>
    <row r="847" spans="1:23" ht="29" customHeight="1" x14ac:dyDescent="0.2">
      <c r="A847" s="9" t="s">
        <v>2709</v>
      </c>
      <c r="B847" s="10" t="s">
        <v>2710</v>
      </c>
      <c r="C847" s="9" t="s">
        <v>44</v>
      </c>
      <c r="D847" s="9" t="s">
        <v>44</v>
      </c>
      <c r="E847" s="9" t="s">
        <v>1769</v>
      </c>
      <c r="F847" s="9" t="s">
        <v>2711</v>
      </c>
      <c r="G847" s="9">
        <v>699</v>
      </c>
      <c r="H847" s="9">
        <v>1299</v>
      </c>
      <c r="I847" s="9">
        <v>46</v>
      </c>
      <c r="J847" s="11">
        <v>4.3</v>
      </c>
      <c r="K847" s="9">
        <v>6183</v>
      </c>
      <c r="L847" s="9">
        <v>4.2185248697079896</v>
      </c>
      <c r="M847" s="9" t="s">
        <v>28</v>
      </c>
      <c r="N847" s="9" t="s">
        <v>93</v>
      </c>
      <c r="O847" s="9">
        <v>65.3</v>
      </c>
      <c r="P847" s="9" t="s">
        <v>36</v>
      </c>
      <c r="Q847" s="9" t="b">
        <v>0</v>
      </c>
      <c r="R847" s="9" t="b">
        <v>0</v>
      </c>
      <c r="S847" s="9" t="b">
        <v>0</v>
      </c>
      <c r="U847" s="9">
        <v>1</v>
      </c>
      <c r="V847" s="9" t="b">
        <v>1</v>
      </c>
      <c r="W847" s="9" t="s">
        <v>2712</v>
      </c>
    </row>
    <row r="848" spans="1:23" ht="29" customHeight="1" x14ac:dyDescent="0.2">
      <c r="A848" s="9" t="s">
        <v>2713</v>
      </c>
      <c r="B848" s="10" t="s">
        <v>2714</v>
      </c>
      <c r="C848" s="9" t="s">
        <v>1735</v>
      </c>
      <c r="D848" s="9" t="s">
        <v>1724</v>
      </c>
      <c r="E848" s="9" t="s">
        <v>1736</v>
      </c>
      <c r="F848" s="9" t="s">
        <v>2160</v>
      </c>
      <c r="G848" s="9">
        <v>300</v>
      </c>
      <c r="H848" s="9">
        <v>300</v>
      </c>
      <c r="I848" s="9">
        <v>0</v>
      </c>
      <c r="J848" s="11">
        <v>4.2</v>
      </c>
      <c r="K848" s="9">
        <v>419</v>
      </c>
      <c r="L848" s="9">
        <v>4.0961949280595036</v>
      </c>
      <c r="M848" s="9" t="s">
        <v>89</v>
      </c>
      <c r="N848" s="9" t="s">
        <v>29</v>
      </c>
      <c r="O848" s="9">
        <v>31.3</v>
      </c>
      <c r="P848" s="9" t="s">
        <v>40</v>
      </c>
      <c r="Q848" s="9" t="b">
        <v>0</v>
      </c>
      <c r="R848" s="9" t="b">
        <v>0</v>
      </c>
      <c r="S848" s="9" t="b">
        <v>0</v>
      </c>
      <c r="U848" s="9">
        <v>1</v>
      </c>
      <c r="V848" s="9" t="b">
        <v>1</v>
      </c>
      <c r="W848" s="9" t="s">
        <v>2715</v>
      </c>
    </row>
    <row r="849" spans="1:23" ht="29" customHeight="1" x14ac:dyDescent="0.2">
      <c r="A849" s="9" t="s">
        <v>2716</v>
      </c>
      <c r="B849" s="10" t="s">
        <v>2717</v>
      </c>
      <c r="C849" s="9" t="s">
        <v>25</v>
      </c>
      <c r="D849" s="9" t="s">
        <v>25</v>
      </c>
      <c r="E849" s="9" t="s">
        <v>26</v>
      </c>
      <c r="F849" s="9" t="s">
        <v>1847</v>
      </c>
      <c r="G849" s="9">
        <v>999</v>
      </c>
      <c r="H849" s="9">
        <v>1995</v>
      </c>
      <c r="I849" s="9">
        <v>50</v>
      </c>
      <c r="J849" s="11">
        <v>4.5</v>
      </c>
      <c r="K849" s="9">
        <v>7317</v>
      </c>
      <c r="L849" s="9">
        <v>4.3589457188213201</v>
      </c>
      <c r="M849" s="9" t="s">
        <v>28</v>
      </c>
      <c r="N849" s="9" t="s">
        <v>93</v>
      </c>
      <c r="O849" s="9">
        <v>67.5</v>
      </c>
      <c r="P849" s="9" t="s">
        <v>36</v>
      </c>
      <c r="Q849" s="9" t="b">
        <v>0</v>
      </c>
      <c r="R849" s="9" t="b">
        <v>0</v>
      </c>
      <c r="S849" s="9" t="b">
        <v>0</v>
      </c>
      <c r="U849" s="9">
        <v>1</v>
      </c>
      <c r="V849" s="9" t="b">
        <v>1</v>
      </c>
      <c r="W849" s="9" t="s">
        <v>2718</v>
      </c>
    </row>
    <row r="850" spans="1:23" ht="29" customHeight="1" x14ac:dyDescent="0.2">
      <c r="A850" s="9" t="s">
        <v>2719</v>
      </c>
      <c r="B850" s="10" t="s">
        <v>2720</v>
      </c>
      <c r="C850" s="9" t="s">
        <v>1735</v>
      </c>
      <c r="D850" s="9" t="s">
        <v>1724</v>
      </c>
      <c r="E850" s="9" t="s">
        <v>1799</v>
      </c>
      <c r="F850" s="9" t="s">
        <v>2721</v>
      </c>
      <c r="G850" s="9">
        <v>535</v>
      </c>
      <c r="H850" s="9">
        <v>535</v>
      </c>
      <c r="I850" s="9">
        <v>0</v>
      </c>
      <c r="J850" s="11">
        <v>4.4000000000000004</v>
      </c>
      <c r="K850" s="9">
        <v>4426</v>
      </c>
      <c r="L850" s="9">
        <v>4.2550942286964419</v>
      </c>
      <c r="M850" s="9" t="s">
        <v>28</v>
      </c>
      <c r="N850" s="9" t="s">
        <v>93</v>
      </c>
      <c r="O850" s="9">
        <v>52.8</v>
      </c>
      <c r="P850" s="9" t="s">
        <v>53</v>
      </c>
      <c r="Q850" s="9" t="b">
        <v>0</v>
      </c>
      <c r="R850" s="9" t="b">
        <v>0</v>
      </c>
      <c r="S850" s="9" t="b">
        <v>0</v>
      </c>
      <c r="U850" s="9">
        <v>1</v>
      </c>
      <c r="V850" s="9" t="b">
        <v>1</v>
      </c>
      <c r="W850" s="9" t="s">
        <v>2722</v>
      </c>
    </row>
    <row r="851" spans="1:23" ht="29" customHeight="1" x14ac:dyDescent="0.2">
      <c r="A851" s="9" t="s">
        <v>2723</v>
      </c>
      <c r="B851" s="10" t="s">
        <v>2724</v>
      </c>
      <c r="C851" s="9" t="s">
        <v>25</v>
      </c>
      <c r="D851" s="9" t="s">
        <v>25</v>
      </c>
      <c r="E851" s="9" t="s">
        <v>26</v>
      </c>
      <c r="F851" s="9" t="s">
        <v>2136</v>
      </c>
      <c r="G851" s="9">
        <v>269</v>
      </c>
      <c r="H851" s="9">
        <v>1099</v>
      </c>
      <c r="I851" s="9">
        <v>76</v>
      </c>
      <c r="J851" s="11">
        <v>4.0999999999999996</v>
      </c>
      <c r="K851" s="9">
        <v>1092</v>
      </c>
      <c r="L851" s="9">
        <v>4.0880912744218394</v>
      </c>
      <c r="M851" s="9" t="s">
        <v>28</v>
      </c>
      <c r="N851" s="9" t="s">
        <v>29</v>
      </c>
      <c r="O851" s="9">
        <v>60.2</v>
      </c>
      <c r="P851" s="9" t="s">
        <v>53</v>
      </c>
      <c r="Q851" s="9" t="b">
        <v>0</v>
      </c>
      <c r="R851" s="9" t="b">
        <v>0</v>
      </c>
      <c r="S851" s="9" t="b">
        <v>0</v>
      </c>
      <c r="U851" s="9">
        <v>1</v>
      </c>
      <c r="V851" s="9" t="b">
        <v>1</v>
      </c>
      <c r="W851" s="9" t="s">
        <v>2725</v>
      </c>
    </row>
    <row r="852" spans="1:23" ht="29" customHeight="1" x14ac:dyDescent="0.2">
      <c r="A852" s="9" t="s">
        <v>2726</v>
      </c>
      <c r="B852" s="10" t="s">
        <v>2727</v>
      </c>
      <c r="C852" s="9" t="s">
        <v>1735</v>
      </c>
      <c r="D852" s="9" t="s">
        <v>1724</v>
      </c>
      <c r="E852" s="9" t="s">
        <v>1736</v>
      </c>
      <c r="F852" s="9" t="s">
        <v>2425</v>
      </c>
      <c r="G852" s="9">
        <v>341</v>
      </c>
      <c r="H852" s="9">
        <v>450</v>
      </c>
      <c r="I852" s="9">
        <v>24</v>
      </c>
      <c r="J852" s="11">
        <v>4.3</v>
      </c>
      <c r="K852" s="9">
        <v>2493</v>
      </c>
      <c r="L852" s="9">
        <v>4.170464246132334</v>
      </c>
      <c r="M852" s="9" t="s">
        <v>28</v>
      </c>
      <c r="N852" s="9" t="s">
        <v>29</v>
      </c>
      <c r="O852" s="9">
        <v>44.8</v>
      </c>
      <c r="P852" s="9" t="s">
        <v>30</v>
      </c>
      <c r="Q852" s="9" t="b">
        <v>0</v>
      </c>
      <c r="R852" s="9" t="b">
        <v>0</v>
      </c>
      <c r="S852" s="9" t="b">
        <v>0</v>
      </c>
      <c r="U852" s="9">
        <v>1</v>
      </c>
      <c r="V852" s="9" t="b">
        <v>1</v>
      </c>
      <c r="W852" s="9" t="s">
        <v>2728</v>
      </c>
    </row>
    <row r="853" spans="1:23" ht="29" customHeight="1" x14ac:dyDescent="0.2">
      <c r="A853" s="9" t="s">
        <v>2729</v>
      </c>
      <c r="B853" s="10" t="s">
        <v>2730</v>
      </c>
      <c r="C853" s="9" t="s">
        <v>25</v>
      </c>
      <c r="D853" s="9" t="s">
        <v>25</v>
      </c>
      <c r="E853" s="9" t="s">
        <v>34</v>
      </c>
      <c r="F853" s="9" t="s">
        <v>1877</v>
      </c>
      <c r="G853" s="9">
        <v>2499</v>
      </c>
      <c r="H853" s="9">
        <v>3999</v>
      </c>
      <c r="I853" s="9">
        <v>38</v>
      </c>
      <c r="J853" s="11">
        <v>4.4000000000000004</v>
      </c>
      <c r="K853" s="9">
        <v>12679</v>
      </c>
      <c r="L853" s="9">
        <v>4.3278313469988028</v>
      </c>
      <c r="M853" s="9" t="s">
        <v>28</v>
      </c>
      <c r="N853" s="9" t="s">
        <v>179</v>
      </c>
      <c r="O853" s="9">
        <v>61.7</v>
      </c>
      <c r="P853" s="9" t="s">
        <v>36</v>
      </c>
      <c r="Q853" s="9" t="b">
        <v>0</v>
      </c>
      <c r="R853" s="9" t="b">
        <v>0</v>
      </c>
      <c r="S853" s="9" t="b">
        <v>0</v>
      </c>
      <c r="U853" s="9">
        <v>1</v>
      </c>
      <c r="V853" s="9" t="b">
        <v>1</v>
      </c>
      <c r="W853" s="9" t="s">
        <v>2731</v>
      </c>
    </row>
    <row r="854" spans="1:23" ht="29" customHeight="1" x14ac:dyDescent="0.2">
      <c r="A854" s="9" t="s">
        <v>2732</v>
      </c>
      <c r="B854" s="10" t="s">
        <v>2733</v>
      </c>
      <c r="C854" s="9" t="s">
        <v>25</v>
      </c>
      <c r="D854" s="9" t="s">
        <v>25</v>
      </c>
      <c r="E854" s="9" t="s">
        <v>1815</v>
      </c>
      <c r="F854" s="9" t="s">
        <v>2488</v>
      </c>
      <c r="G854" s="9">
        <v>5899</v>
      </c>
      <c r="H854" s="9">
        <v>7005</v>
      </c>
      <c r="I854" s="9">
        <v>16</v>
      </c>
      <c r="J854" s="11">
        <v>3.6</v>
      </c>
      <c r="K854" s="9">
        <v>4199</v>
      </c>
      <c r="L854" s="9">
        <v>3.8290321034579931</v>
      </c>
      <c r="M854" s="9" t="s">
        <v>28</v>
      </c>
      <c r="N854" s="9" t="s">
        <v>144</v>
      </c>
      <c r="O854" s="9">
        <v>6.2</v>
      </c>
      <c r="P854" s="9" t="s">
        <v>40</v>
      </c>
      <c r="Q854" s="9" t="b">
        <v>0</v>
      </c>
      <c r="R854" s="9" t="b">
        <v>0</v>
      </c>
      <c r="S854" s="9" t="b">
        <v>1</v>
      </c>
      <c r="U854" s="9">
        <v>1</v>
      </c>
      <c r="V854" s="9" t="b">
        <v>1</v>
      </c>
      <c r="W854" s="9" t="s">
        <v>2734</v>
      </c>
    </row>
    <row r="855" spans="1:23" ht="29" customHeight="1" x14ac:dyDescent="0.2">
      <c r="A855" s="9" t="s">
        <v>2735</v>
      </c>
      <c r="B855" s="10" t="s">
        <v>2736</v>
      </c>
      <c r="C855" s="9" t="s">
        <v>25</v>
      </c>
      <c r="D855" s="9" t="s">
        <v>25</v>
      </c>
      <c r="E855" s="9" t="s">
        <v>34</v>
      </c>
      <c r="F855" s="9" t="s">
        <v>1877</v>
      </c>
      <c r="G855" s="9">
        <v>1565</v>
      </c>
      <c r="H855" s="9">
        <v>2999</v>
      </c>
      <c r="I855" s="9">
        <v>48</v>
      </c>
      <c r="J855" s="11">
        <v>4</v>
      </c>
      <c r="K855" s="9">
        <v>11113</v>
      </c>
      <c r="L855" s="9">
        <v>4.0214069504676022</v>
      </c>
      <c r="M855" s="9" t="s">
        <v>28</v>
      </c>
      <c r="N855" s="9" t="s">
        <v>179</v>
      </c>
      <c r="O855" s="9">
        <v>31.5</v>
      </c>
      <c r="P855" s="9" t="s">
        <v>40</v>
      </c>
      <c r="Q855" s="9" t="b">
        <v>0</v>
      </c>
      <c r="R855" s="9" t="b">
        <v>0</v>
      </c>
      <c r="S855" s="9" t="b">
        <v>0</v>
      </c>
      <c r="U855" s="9">
        <v>1</v>
      </c>
      <c r="V855" s="9" t="b">
        <v>1</v>
      </c>
      <c r="W855" s="9" t="s">
        <v>2737</v>
      </c>
    </row>
    <row r="856" spans="1:23" ht="29" customHeight="1" x14ac:dyDescent="0.2">
      <c r="A856" s="9" t="s">
        <v>2738</v>
      </c>
      <c r="B856" s="10" t="s">
        <v>2739</v>
      </c>
      <c r="C856" s="9" t="s">
        <v>44</v>
      </c>
      <c r="D856" s="9" t="s">
        <v>44</v>
      </c>
      <c r="E856" s="9" t="s">
        <v>1769</v>
      </c>
      <c r="F856" s="9" t="s">
        <v>1783</v>
      </c>
      <c r="G856" s="9">
        <v>326</v>
      </c>
      <c r="H856" s="9">
        <v>799</v>
      </c>
      <c r="I856" s="9">
        <v>59</v>
      </c>
      <c r="J856" s="11">
        <v>4.4000000000000004</v>
      </c>
      <c r="K856" s="9">
        <v>10773</v>
      </c>
      <c r="L856" s="9">
        <v>4.3183680707014416</v>
      </c>
      <c r="M856" s="9" t="s">
        <v>28</v>
      </c>
      <c r="N856" s="9" t="s">
        <v>29</v>
      </c>
      <c r="O856" s="9">
        <v>82.7</v>
      </c>
      <c r="P856" s="9" t="s">
        <v>36</v>
      </c>
      <c r="Q856" s="9" t="b">
        <v>1</v>
      </c>
      <c r="R856" s="9" t="b">
        <v>0</v>
      </c>
      <c r="S856" s="9" t="b">
        <v>0</v>
      </c>
      <c r="U856" s="9">
        <v>1</v>
      </c>
      <c r="V856" s="9" t="b">
        <v>1</v>
      </c>
      <c r="W856" s="9" t="s">
        <v>2740</v>
      </c>
    </row>
    <row r="857" spans="1:23" ht="29" customHeight="1" x14ac:dyDescent="0.2">
      <c r="A857" s="9" t="s">
        <v>2741</v>
      </c>
      <c r="B857" s="10" t="s">
        <v>2742</v>
      </c>
      <c r="C857" s="9" t="s">
        <v>25</v>
      </c>
      <c r="D857" s="9" t="s">
        <v>25</v>
      </c>
      <c r="E857" s="9" t="s">
        <v>1651</v>
      </c>
      <c r="F857" s="9" t="s">
        <v>1765</v>
      </c>
      <c r="G857" s="9">
        <v>657</v>
      </c>
      <c r="H857" s="9">
        <v>999</v>
      </c>
      <c r="I857" s="9">
        <v>34</v>
      </c>
      <c r="J857" s="11">
        <v>4.3</v>
      </c>
      <c r="K857" s="9">
        <v>13944</v>
      </c>
      <c r="L857" s="9">
        <v>4.2542365284884536</v>
      </c>
      <c r="M857" s="9" t="s">
        <v>28</v>
      </c>
      <c r="N857" s="9" t="s">
        <v>93</v>
      </c>
      <c r="O857" s="9">
        <v>61.9</v>
      </c>
      <c r="P857" s="9" t="s">
        <v>36</v>
      </c>
      <c r="Q857" s="9" t="b">
        <v>0</v>
      </c>
      <c r="R857" s="9" t="b">
        <v>0</v>
      </c>
      <c r="S857" s="9" t="b">
        <v>0</v>
      </c>
      <c r="U857" s="9">
        <v>1</v>
      </c>
      <c r="V857" s="9" t="b">
        <v>1</v>
      </c>
      <c r="W857" s="9" t="s">
        <v>2743</v>
      </c>
    </row>
    <row r="858" spans="1:23" ht="29" customHeight="1" x14ac:dyDescent="0.2">
      <c r="A858" s="9" t="s">
        <v>2744</v>
      </c>
      <c r="B858" s="10" t="s">
        <v>2745</v>
      </c>
      <c r="C858" s="9" t="s">
        <v>25</v>
      </c>
      <c r="D858" s="9" t="s">
        <v>25</v>
      </c>
      <c r="E858" s="9" t="s">
        <v>26</v>
      </c>
      <c r="F858" s="9" t="s">
        <v>1839</v>
      </c>
      <c r="G858" s="9">
        <v>1995</v>
      </c>
      <c r="H858" s="9">
        <v>2895</v>
      </c>
      <c r="I858" s="9">
        <v>31</v>
      </c>
      <c r="J858" s="11">
        <v>4.5999999999999996</v>
      </c>
      <c r="K858" s="9">
        <v>10760</v>
      </c>
      <c r="L858" s="9">
        <v>4.4664788494874026</v>
      </c>
      <c r="M858" s="9" t="s">
        <v>28</v>
      </c>
      <c r="N858" s="9" t="s">
        <v>179</v>
      </c>
      <c r="O858" s="9">
        <v>59.4</v>
      </c>
      <c r="P858" s="9" t="s">
        <v>53</v>
      </c>
      <c r="Q858" s="9" t="b">
        <v>0</v>
      </c>
      <c r="R858" s="9" t="b">
        <v>0</v>
      </c>
      <c r="S858" s="9" t="b">
        <v>0</v>
      </c>
      <c r="U858" s="9">
        <v>1</v>
      </c>
      <c r="V858" s="9" t="b">
        <v>1</v>
      </c>
      <c r="W858" s="9" t="s">
        <v>2746</v>
      </c>
    </row>
    <row r="859" spans="1:23" ht="29" customHeight="1" x14ac:dyDescent="0.2">
      <c r="A859" s="9" t="s">
        <v>2747</v>
      </c>
      <c r="B859" s="10" t="s">
        <v>2748</v>
      </c>
      <c r="C859" s="9" t="s">
        <v>44</v>
      </c>
      <c r="D859" s="9" t="s">
        <v>44</v>
      </c>
      <c r="E859" s="9" t="s">
        <v>1730</v>
      </c>
      <c r="F859" s="9" t="s">
        <v>1730</v>
      </c>
      <c r="G859" s="9">
        <v>1500</v>
      </c>
      <c r="H859" s="9">
        <v>1500</v>
      </c>
      <c r="I859" s="9">
        <v>0</v>
      </c>
      <c r="J859" s="11">
        <v>4.4000000000000004</v>
      </c>
      <c r="K859" s="9">
        <v>25996</v>
      </c>
      <c r="L859" s="9">
        <v>4.360126992008361</v>
      </c>
      <c r="M859" s="9" t="s">
        <v>28</v>
      </c>
      <c r="N859" s="9" t="s">
        <v>179</v>
      </c>
      <c r="O859" s="9">
        <v>50.4</v>
      </c>
      <c r="P859" s="9" t="s">
        <v>30</v>
      </c>
      <c r="Q859" s="9" t="b">
        <v>0</v>
      </c>
      <c r="R859" s="9" t="b">
        <v>0</v>
      </c>
      <c r="S859" s="9" t="b">
        <v>0</v>
      </c>
      <c r="U859" s="9">
        <v>1</v>
      </c>
      <c r="V859" s="9" t="b">
        <v>1</v>
      </c>
      <c r="W859" s="9" t="s">
        <v>2749</v>
      </c>
    </row>
    <row r="860" spans="1:23" ht="29" customHeight="1" x14ac:dyDescent="0.2">
      <c r="A860" s="9" t="s">
        <v>2750</v>
      </c>
      <c r="B860" s="10" t="s">
        <v>2751</v>
      </c>
      <c r="C860" s="9" t="s">
        <v>25</v>
      </c>
      <c r="D860" s="9" t="s">
        <v>25</v>
      </c>
      <c r="E860" s="9" t="s">
        <v>26</v>
      </c>
      <c r="F860" s="9" t="s">
        <v>1714</v>
      </c>
      <c r="G860" s="9">
        <v>2640</v>
      </c>
      <c r="H860" s="9">
        <v>3195</v>
      </c>
      <c r="I860" s="9">
        <v>17</v>
      </c>
      <c r="J860" s="11">
        <v>4.5</v>
      </c>
      <c r="K860" s="9">
        <v>16146</v>
      </c>
      <c r="L860" s="9">
        <v>4.4215003185413666</v>
      </c>
      <c r="M860" s="9" t="s">
        <v>28</v>
      </c>
      <c r="N860" s="9" t="s">
        <v>144</v>
      </c>
      <c r="O860" s="9">
        <v>53.4</v>
      </c>
      <c r="P860" s="9" t="s">
        <v>53</v>
      </c>
      <c r="Q860" s="9" t="b">
        <v>0</v>
      </c>
      <c r="R860" s="9" t="b">
        <v>0</v>
      </c>
      <c r="S860" s="9" t="b">
        <v>0</v>
      </c>
      <c r="U860" s="9">
        <v>1</v>
      </c>
      <c r="V860" s="9" t="b">
        <v>1</v>
      </c>
      <c r="W860" s="9" t="s">
        <v>2752</v>
      </c>
    </row>
    <row r="861" spans="1:23" ht="29" customHeight="1" x14ac:dyDescent="0.2">
      <c r="A861" s="9" t="s">
        <v>2753</v>
      </c>
      <c r="B861" s="10" t="s">
        <v>2754</v>
      </c>
      <c r="C861" s="9" t="s">
        <v>25</v>
      </c>
      <c r="D861" s="9" t="s">
        <v>25</v>
      </c>
      <c r="E861" s="9" t="s">
        <v>1815</v>
      </c>
      <c r="F861" s="9" t="s">
        <v>2488</v>
      </c>
      <c r="G861" s="9">
        <v>5299</v>
      </c>
      <c r="H861" s="9">
        <v>6355</v>
      </c>
      <c r="I861" s="9">
        <v>17</v>
      </c>
      <c r="J861" s="11">
        <v>3.9</v>
      </c>
      <c r="K861" s="9">
        <v>8280</v>
      </c>
      <c r="L861" s="9">
        <v>3.9576864514578212</v>
      </c>
      <c r="M861" s="9" t="s">
        <v>28</v>
      </c>
      <c r="N861" s="9" t="s">
        <v>144</v>
      </c>
      <c r="O861" s="9">
        <v>10.5</v>
      </c>
      <c r="P861" s="9" t="s">
        <v>40</v>
      </c>
      <c r="Q861" s="9" t="b">
        <v>0</v>
      </c>
      <c r="R861" s="9" t="b">
        <v>0</v>
      </c>
      <c r="S861" s="9" t="b">
        <v>0</v>
      </c>
      <c r="U861" s="9">
        <v>1</v>
      </c>
      <c r="V861" s="9" t="b">
        <v>1</v>
      </c>
      <c r="W861" s="9" t="s">
        <v>2755</v>
      </c>
    </row>
    <row r="862" spans="1:23" ht="29" customHeight="1" x14ac:dyDescent="0.2">
      <c r="A862" s="9" t="s">
        <v>2756</v>
      </c>
      <c r="B862" s="10" t="s">
        <v>2757</v>
      </c>
      <c r="C862" s="9" t="s">
        <v>25</v>
      </c>
      <c r="D862" s="9" t="s">
        <v>25</v>
      </c>
      <c r="E862" s="9" t="s">
        <v>26</v>
      </c>
      <c r="F862" s="9" t="s">
        <v>27</v>
      </c>
      <c r="G862" s="9">
        <v>263</v>
      </c>
      <c r="H862" s="9">
        <v>699</v>
      </c>
      <c r="I862" s="9">
        <v>62</v>
      </c>
      <c r="J862" s="11">
        <v>4.0999999999999996</v>
      </c>
      <c r="K862" s="9">
        <v>450</v>
      </c>
      <c r="L862" s="9">
        <v>4.0862763422387687</v>
      </c>
      <c r="M862" s="9" t="s">
        <v>89</v>
      </c>
      <c r="N862" s="9" t="s">
        <v>29</v>
      </c>
      <c r="O862" s="9">
        <v>54.5</v>
      </c>
      <c r="P862" s="9" t="s">
        <v>53</v>
      </c>
      <c r="Q862" s="9" t="b">
        <v>0</v>
      </c>
      <c r="R862" s="9" t="b">
        <v>0</v>
      </c>
      <c r="S862" s="9" t="b">
        <v>0</v>
      </c>
      <c r="T862" s="9">
        <v>0.88</v>
      </c>
      <c r="U862" s="9">
        <v>1</v>
      </c>
      <c r="V862" s="9" t="b">
        <v>1</v>
      </c>
      <c r="W862" s="9" t="s">
        <v>2758</v>
      </c>
    </row>
    <row r="863" spans="1:23" ht="29" customHeight="1" x14ac:dyDescent="0.2">
      <c r="A863" s="9" t="s">
        <v>2759</v>
      </c>
      <c r="B863" s="10" t="s">
        <v>2760</v>
      </c>
      <c r="C863" s="9" t="s">
        <v>25</v>
      </c>
      <c r="D863" s="9" t="s">
        <v>25</v>
      </c>
      <c r="E863" s="9" t="s">
        <v>26</v>
      </c>
      <c r="F863" s="9" t="s">
        <v>2658</v>
      </c>
      <c r="G863" s="9">
        <v>1990</v>
      </c>
      <c r="H863" s="9">
        <v>2999</v>
      </c>
      <c r="I863" s="9">
        <v>34</v>
      </c>
      <c r="J863" s="11">
        <v>4.3</v>
      </c>
      <c r="K863" s="9">
        <v>14237</v>
      </c>
      <c r="L863" s="9">
        <v>4.254981476801067</v>
      </c>
      <c r="M863" s="9" t="s">
        <v>28</v>
      </c>
      <c r="N863" s="9" t="s">
        <v>179</v>
      </c>
      <c r="O863" s="9">
        <v>53.7</v>
      </c>
      <c r="P863" s="9" t="s">
        <v>53</v>
      </c>
      <c r="Q863" s="9" t="b">
        <v>0</v>
      </c>
      <c r="R863" s="9" t="b">
        <v>0</v>
      </c>
      <c r="S863" s="9" t="b">
        <v>0</v>
      </c>
      <c r="U863" s="9">
        <v>1</v>
      </c>
      <c r="V863" s="9" t="b">
        <v>1</v>
      </c>
      <c r="W863" s="9" t="s">
        <v>2761</v>
      </c>
    </row>
    <row r="864" spans="1:23" ht="29" customHeight="1" x14ac:dyDescent="0.2">
      <c r="A864" s="9" t="s">
        <v>2762</v>
      </c>
      <c r="B864" s="10" t="s">
        <v>2763</v>
      </c>
      <c r="C864" s="9" t="s">
        <v>44</v>
      </c>
      <c r="D864" s="9" t="s">
        <v>44</v>
      </c>
      <c r="E864" s="9" t="s">
        <v>2764</v>
      </c>
      <c r="F864" s="9" t="s">
        <v>2765</v>
      </c>
      <c r="G864" s="9">
        <v>1289</v>
      </c>
      <c r="H864" s="9">
        <v>1499</v>
      </c>
      <c r="I864" s="9">
        <v>14</v>
      </c>
      <c r="J864" s="11">
        <v>4.5</v>
      </c>
      <c r="K864" s="9">
        <v>20668</v>
      </c>
      <c r="L864" s="9">
        <v>4.4360303346915053</v>
      </c>
      <c r="M864" s="9" t="s">
        <v>28</v>
      </c>
      <c r="N864" s="9" t="s">
        <v>179</v>
      </c>
      <c r="O864" s="9">
        <v>61.3</v>
      </c>
      <c r="P864" s="9" t="s">
        <v>36</v>
      </c>
      <c r="Q864" s="9" t="b">
        <v>0</v>
      </c>
      <c r="R864" s="9" t="b">
        <v>0</v>
      </c>
      <c r="S864" s="9" t="b">
        <v>0</v>
      </c>
      <c r="U864" s="9">
        <v>1</v>
      </c>
      <c r="V864" s="9" t="b">
        <v>1</v>
      </c>
      <c r="W864" s="9" t="s">
        <v>2766</v>
      </c>
    </row>
    <row r="865" spans="1:23" ht="29" customHeight="1" x14ac:dyDescent="0.2">
      <c r="A865" s="9" t="s">
        <v>2767</v>
      </c>
      <c r="B865" s="10" t="s">
        <v>2768</v>
      </c>
      <c r="C865" s="9" t="s">
        <v>1735</v>
      </c>
      <c r="D865" s="9" t="s">
        <v>1724</v>
      </c>
      <c r="E865" s="9" t="s">
        <v>1736</v>
      </c>
      <c r="F865" s="9" t="s">
        <v>2160</v>
      </c>
      <c r="G865" s="9">
        <v>165</v>
      </c>
      <c r="H865" s="9">
        <v>165</v>
      </c>
      <c r="I865" s="9">
        <v>0</v>
      </c>
      <c r="J865" s="11">
        <v>4.5</v>
      </c>
      <c r="K865" s="9">
        <v>1674</v>
      </c>
      <c r="L865" s="9">
        <v>4.212533632241481</v>
      </c>
      <c r="M865" s="9" t="s">
        <v>28</v>
      </c>
      <c r="N865" s="9" t="s">
        <v>29</v>
      </c>
      <c r="O865" s="9">
        <v>50.3</v>
      </c>
      <c r="P865" s="9" t="s">
        <v>30</v>
      </c>
      <c r="Q865" s="9" t="b">
        <v>0</v>
      </c>
      <c r="R865" s="9" t="b">
        <v>0</v>
      </c>
      <c r="S865" s="9" t="b">
        <v>0</v>
      </c>
      <c r="U865" s="9">
        <v>1</v>
      </c>
      <c r="V865" s="9" t="b">
        <v>1</v>
      </c>
      <c r="W865" s="9" t="s">
        <v>2769</v>
      </c>
    </row>
    <row r="866" spans="1:23" ht="29" customHeight="1" x14ac:dyDescent="0.2">
      <c r="A866" s="9" t="s">
        <v>2770</v>
      </c>
      <c r="B866" s="10" t="s">
        <v>2771</v>
      </c>
      <c r="C866" s="9" t="s">
        <v>25</v>
      </c>
      <c r="D866" s="9" t="s">
        <v>25</v>
      </c>
      <c r="E866" s="9" t="s">
        <v>26</v>
      </c>
      <c r="F866" s="9" t="s">
        <v>2371</v>
      </c>
      <c r="G866" s="9">
        <v>1699</v>
      </c>
      <c r="H866" s="9">
        <v>3499</v>
      </c>
      <c r="I866" s="9">
        <v>51</v>
      </c>
      <c r="J866" s="11">
        <v>3.6</v>
      </c>
      <c r="K866" s="9">
        <v>7689</v>
      </c>
      <c r="L866" s="9">
        <v>3.75923146240063</v>
      </c>
      <c r="M866" s="9" t="s">
        <v>28</v>
      </c>
      <c r="N866" s="9" t="s">
        <v>179</v>
      </c>
      <c r="O866" s="9">
        <v>20.5</v>
      </c>
      <c r="P866" s="9" t="s">
        <v>40</v>
      </c>
      <c r="Q866" s="9" t="b">
        <v>0</v>
      </c>
      <c r="R866" s="9" t="b">
        <v>0</v>
      </c>
      <c r="S866" s="9" t="b">
        <v>1</v>
      </c>
      <c r="U866" s="9">
        <v>1</v>
      </c>
      <c r="V866" s="9" t="b">
        <v>1</v>
      </c>
      <c r="W866" s="9" t="s">
        <v>2772</v>
      </c>
    </row>
    <row r="867" spans="1:23" ht="29" customHeight="1" x14ac:dyDescent="0.2">
      <c r="A867" s="9" t="s">
        <v>2773</v>
      </c>
      <c r="B867" s="10" t="s">
        <v>2774</v>
      </c>
      <c r="C867" s="9" t="s">
        <v>44</v>
      </c>
      <c r="D867" s="9" t="s">
        <v>44</v>
      </c>
      <c r="E867" s="9" t="s">
        <v>1769</v>
      </c>
      <c r="F867" s="9" t="s">
        <v>2037</v>
      </c>
      <c r="G867" s="9">
        <v>2299</v>
      </c>
      <c r="H867" s="9">
        <v>7500</v>
      </c>
      <c r="I867" s="9">
        <v>69</v>
      </c>
      <c r="J867" s="11">
        <v>4.0999999999999996</v>
      </c>
      <c r="K867" s="9">
        <v>5554</v>
      </c>
      <c r="L867" s="9">
        <v>4.0937947825557686</v>
      </c>
      <c r="M867" s="9" t="s">
        <v>28</v>
      </c>
      <c r="N867" s="9" t="s">
        <v>179</v>
      </c>
      <c r="O867" s="9">
        <v>52.9</v>
      </c>
      <c r="P867" s="9" t="s">
        <v>53</v>
      </c>
      <c r="Q867" s="9" t="b">
        <v>0</v>
      </c>
      <c r="R867" s="9" t="b">
        <v>0</v>
      </c>
      <c r="S867" s="9" t="b">
        <v>0</v>
      </c>
      <c r="U867" s="9">
        <v>1</v>
      </c>
      <c r="V867" s="9" t="b">
        <v>1</v>
      </c>
      <c r="W867" s="9" t="s">
        <v>2775</v>
      </c>
    </row>
    <row r="868" spans="1:23" ht="29" customHeight="1" x14ac:dyDescent="0.2">
      <c r="A868" s="9" t="s">
        <v>2776</v>
      </c>
      <c r="B868" s="10" t="s">
        <v>2777</v>
      </c>
      <c r="C868" s="9" t="s">
        <v>25</v>
      </c>
      <c r="D868" s="9" t="s">
        <v>25</v>
      </c>
      <c r="E868" s="9" t="s">
        <v>26</v>
      </c>
      <c r="F868" s="9" t="s">
        <v>2011</v>
      </c>
      <c r="G868" s="9">
        <v>39</v>
      </c>
      <c r="H868" s="9">
        <v>39</v>
      </c>
      <c r="I868" s="9">
        <v>0</v>
      </c>
      <c r="J868" s="11">
        <v>3.8</v>
      </c>
      <c r="K868" s="9">
        <v>3344</v>
      </c>
      <c r="L868" s="9">
        <v>3.9506985283445881</v>
      </c>
      <c r="M868" s="9" t="s">
        <v>28</v>
      </c>
      <c r="N868" s="9" t="s">
        <v>29</v>
      </c>
      <c r="O868" s="9">
        <v>25.1</v>
      </c>
      <c r="P868" s="9" t="s">
        <v>40</v>
      </c>
      <c r="Q868" s="9" t="b">
        <v>0</v>
      </c>
      <c r="R868" s="9" t="b">
        <v>0</v>
      </c>
      <c r="S868" s="9" t="b">
        <v>1</v>
      </c>
      <c r="U868" s="9">
        <v>1</v>
      </c>
      <c r="V868" s="9" t="b">
        <v>1</v>
      </c>
      <c r="W868" s="9" t="s">
        <v>2778</v>
      </c>
    </row>
    <row r="869" spans="1:23" ht="29" customHeight="1" x14ac:dyDescent="0.2">
      <c r="A869" s="9" t="s">
        <v>2779</v>
      </c>
      <c r="B869" s="10" t="s">
        <v>2780</v>
      </c>
      <c r="C869" s="9" t="s">
        <v>25</v>
      </c>
      <c r="D869" s="9" t="s">
        <v>25</v>
      </c>
      <c r="E869" s="9" t="s">
        <v>2781</v>
      </c>
      <c r="F869" s="9" t="s">
        <v>2781</v>
      </c>
      <c r="G869" s="9">
        <v>26999</v>
      </c>
      <c r="H869" s="9">
        <v>37999</v>
      </c>
      <c r="I869" s="9">
        <v>29</v>
      </c>
      <c r="J869" s="11">
        <v>4.5999999999999996</v>
      </c>
      <c r="K869" s="9">
        <v>2886</v>
      </c>
      <c r="L869" s="9">
        <v>4.3083461068934064</v>
      </c>
      <c r="M869" s="9" t="s">
        <v>28</v>
      </c>
      <c r="N869" s="9" t="s">
        <v>58</v>
      </c>
      <c r="O869" s="9">
        <v>63</v>
      </c>
      <c r="P869" s="9" t="s">
        <v>36</v>
      </c>
      <c r="Q869" s="9" t="b">
        <v>0</v>
      </c>
      <c r="R869" s="9" t="b">
        <v>0</v>
      </c>
      <c r="S869" s="9" t="b">
        <v>0</v>
      </c>
      <c r="U869" s="9">
        <v>1</v>
      </c>
      <c r="V869" s="9" t="b">
        <v>1</v>
      </c>
      <c r="W869" s="9" t="s">
        <v>2782</v>
      </c>
    </row>
    <row r="870" spans="1:23" ht="29" customHeight="1" x14ac:dyDescent="0.2">
      <c r="A870" s="9" t="s">
        <v>2783</v>
      </c>
      <c r="B870" s="10" t="s">
        <v>2784</v>
      </c>
      <c r="C870" s="9" t="s">
        <v>44</v>
      </c>
      <c r="D870" s="9" t="s">
        <v>44</v>
      </c>
      <c r="E870" s="9" t="s">
        <v>1009</v>
      </c>
      <c r="F870" s="9" t="s">
        <v>1010</v>
      </c>
      <c r="G870" s="9">
        <v>1490</v>
      </c>
      <c r="H870" s="9">
        <v>1990</v>
      </c>
      <c r="I870" s="9">
        <v>25</v>
      </c>
      <c r="J870" s="11">
        <v>4.0999999999999996</v>
      </c>
      <c r="K870" s="9">
        <v>98250</v>
      </c>
      <c r="L870" s="9">
        <v>4.0994332958380664</v>
      </c>
      <c r="M870" s="9" t="s">
        <v>28</v>
      </c>
      <c r="N870" s="9" t="s">
        <v>179</v>
      </c>
      <c r="O870" s="9">
        <v>39.200000000000003</v>
      </c>
      <c r="P870" s="9" t="s">
        <v>30</v>
      </c>
      <c r="Q870" s="9" t="b">
        <v>0</v>
      </c>
      <c r="R870" s="9" t="b">
        <v>0</v>
      </c>
      <c r="S870" s="9" t="b">
        <v>0</v>
      </c>
      <c r="T870" s="9">
        <v>1.57</v>
      </c>
      <c r="U870" s="9">
        <v>1</v>
      </c>
      <c r="V870" s="9" t="b">
        <v>1</v>
      </c>
      <c r="W870" s="9" t="s">
        <v>2785</v>
      </c>
    </row>
    <row r="871" spans="1:23" ht="29" customHeight="1" x14ac:dyDescent="0.2">
      <c r="A871" s="9" t="s">
        <v>2786</v>
      </c>
      <c r="B871" s="10" t="s">
        <v>2787</v>
      </c>
      <c r="C871" s="9" t="s">
        <v>25</v>
      </c>
      <c r="D871" s="9" t="s">
        <v>25</v>
      </c>
      <c r="E871" s="9" t="s">
        <v>26</v>
      </c>
      <c r="F871" s="9" t="s">
        <v>1667</v>
      </c>
      <c r="G871" s="9">
        <v>398</v>
      </c>
      <c r="H871" s="9">
        <v>1949</v>
      </c>
      <c r="I871" s="9">
        <v>80</v>
      </c>
      <c r="J871" s="11">
        <v>4</v>
      </c>
      <c r="K871" s="9">
        <v>75</v>
      </c>
      <c r="L871" s="9">
        <v>4.0829808707963036</v>
      </c>
      <c r="M871" s="9" t="s">
        <v>204</v>
      </c>
      <c r="N871" s="9" t="s">
        <v>29</v>
      </c>
      <c r="O871" s="9">
        <v>55.2</v>
      </c>
      <c r="P871" s="9" t="s">
        <v>53</v>
      </c>
      <c r="Q871" s="9" t="b">
        <v>0</v>
      </c>
      <c r="R871" s="9" t="b">
        <v>0</v>
      </c>
      <c r="S871" s="9" t="b">
        <v>0</v>
      </c>
      <c r="T871" s="9">
        <v>0.69</v>
      </c>
      <c r="U871" s="9">
        <v>1</v>
      </c>
      <c r="V871" s="9" t="b">
        <v>1</v>
      </c>
      <c r="W871" s="9" t="s">
        <v>2788</v>
      </c>
    </row>
    <row r="872" spans="1:23" ht="29" customHeight="1" x14ac:dyDescent="0.2">
      <c r="A872" s="9" t="s">
        <v>2789</v>
      </c>
      <c r="B872" s="10" t="s">
        <v>2790</v>
      </c>
      <c r="C872" s="9" t="s">
        <v>25</v>
      </c>
      <c r="D872" s="9" t="s">
        <v>25</v>
      </c>
      <c r="E872" s="9" t="s">
        <v>26</v>
      </c>
      <c r="F872" s="9" t="s">
        <v>2371</v>
      </c>
      <c r="G872" s="9">
        <v>770</v>
      </c>
      <c r="H872" s="9">
        <v>1547</v>
      </c>
      <c r="I872" s="9">
        <v>50</v>
      </c>
      <c r="J872" s="11">
        <v>4.3</v>
      </c>
      <c r="K872" s="9">
        <v>2585</v>
      </c>
      <c r="L872" s="9">
        <v>4.1723417237779934</v>
      </c>
      <c r="M872" s="9" t="s">
        <v>28</v>
      </c>
      <c r="N872" s="9" t="s">
        <v>93</v>
      </c>
      <c r="O872" s="9">
        <v>55.9</v>
      </c>
      <c r="P872" s="9" t="s">
        <v>53</v>
      </c>
      <c r="Q872" s="9" t="b">
        <v>0</v>
      </c>
      <c r="R872" s="9" t="b">
        <v>0</v>
      </c>
      <c r="S872" s="9" t="b">
        <v>0</v>
      </c>
      <c r="U872" s="9">
        <v>1</v>
      </c>
      <c r="V872" s="9" t="b">
        <v>1</v>
      </c>
      <c r="W872" s="9" t="s">
        <v>2791</v>
      </c>
    </row>
    <row r="873" spans="1:23" ht="29" customHeight="1" x14ac:dyDescent="0.2">
      <c r="A873" s="9" t="s">
        <v>2792</v>
      </c>
      <c r="B873" s="10" t="s">
        <v>2793</v>
      </c>
      <c r="C873" s="9" t="s">
        <v>44</v>
      </c>
      <c r="D873" s="9" t="s">
        <v>44</v>
      </c>
      <c r="E873" s="9" t="s">
        <v>981</v>
      </c>
      <c r="F873" s="9" t="s">
        <v>1158</v>
      </c>
      <c r="G873" s="9">
        <v>279</v>
      </c>
      <c r="H873" s="9">
        <v>1299</v>
      </c>
      <c r="I873" s="9">
        <v>79</v>
      </c>
      <c r="J873" s="11">
        <v>4</v>
      </c>
      <c r="K873" s="9">
        <v>5072</v>
      </c>
      <c r="L873" s="9">
        <v>4.0360449478386791</v>
      </c>
      <c r="M873" s="9" t="s">
        <v>28</v>
      </c>
      <c r="N873" s="9" t="s">
        <v>29</v>
      </c>
      <c r="O873" s="9">
        <v>58.7</v>
      </c>
      <c r="P873" s="9" t="s">
        <v>53</v>
      </c>
      <c r="Q873" s="9" t="b">
        <v>0</v>
      </c>
      <c r="R873" s="9" t="b">
        <v>0</v>
      </c>
      <c r="S873" s="9" t="b">
        <v>0</v>
      </c>
      <c r="U873" s="9">
        <v>1</v>
      </c>
      <c r="V873" s="9" t="b">
        <v>1</v>
      </c>
      <c r="W873" s="9" t="s">
        <v>2794</v>
      </c>
    </row>
    <row r="874" spans="1:23" ht="29" customHeight="1" x14ac:dyDescent="0.2">
      <c r="A874" s="9" t="s">
        <v>2795</v>
      </c>
      <c r="B874" s="10" t="s">
        <v>2796</v>
      </c>
      <c r="C874" s="9" t="s">
        <v>2298</v>
      </c>
      <c r="D874" s="9" t="s">
        <v>1724</v>
      </c>
      <c r="E874" s="9" t="s">
        <v>2299</v>
      </c>
      <c r="F874" s="9" t="s">
        <v>2797</v>
      </c>
      <c r="G874" s="9">
        <v>249</v>
      </c>
      <c r="H874" s="9">
        <v>599</v>
      </c>
      <c r="I874" s="9">
        <v>58</v>
      </c>
      <c r="J874" s="11">
        <v>4.5</v>
      </c>
      <c r="K874" s="9">
        <v>5985</v>
      </c>
      <c r="L874" s="9">
        <v>4.3396705916061364</v>
      </c>
      <c r="M874" s="9" t="s">
        <v>28</v>
      </c>
      <c r="N874" s="9" t="s">
        <v>29</v>
      </c>
      <c r="O874" s="9">
        <v>79.5</v>
      </c>
      <c r="P874" s="9" t="s">
        <v>36</v>
      </c>
      <c r="Q874" s="9" t="b">
        <v>0</v>
      </c>
      <c r="R874" s="9" t="b">
        <v>0</v>
      </c>
      <c r="S874" s="9" t="b">
        <v>0</v>
      </c>
      <c r="U874" s="9">
        <v>1</v>
      </c>
      <c r="V874" s="9" t="b">
        <v>1</v>
      </c>
      <c r="W874" s="9" t="s">
        <v>2798</v>
      </c>
    </row>
    <row r="875" spans="1:23" ht="29" customHeight="1" x14ac:dyDescent="0.2">
      <c r="A875" s="9" t="s">
        <v>2799</v>
      </c>
      <c r="B875" s="10" t="s">
        <v>2800</v>
      </c>
      <c r="C875" s="9" t="s">
        <v>25</v>
      </c>
      <c r="D875" s="9" t="s">
        <v>25</v>
      </c>
      <c r="E875" s="9" t="s">
        <v>26</v>
      </c>
      <c r="F875" s="9" t="s">
        <v>27</v>
      </c>
      <c r="G875" s="9">
        <v>115</v>
      </c>
      <c r="H875" s="9">
        <v>499</v>
      </c>
      <c r="I875" s="9">
        <v>77</v>
      </c>
      <c r="J875" s="11">
        <v>4</v>
      </c>
      <c r="K875" s="9">
        <v>7732</v>
      </c>
      <c r="L875" s="9">
        <v>4.0277036053487159</v>
      </c>
      <c r="M875" s="9" t="s">
        <v>28</v>
      </c>
      <c r="N875" s="9" t="s">
        <v>29</v>
      </c>
      <c r="O875" s="9">
        <v>55</v>
      </c>
      <c r="P875" s="9" t="s">
        <v>53</v>
      </c>
      <c r="Q875" s="9" t="b">
        <v>0</v>
      </c>
      <c r="R875" s="9" t="b">
        <v>0</v>
      </c>
      <c r="S875" s="9" t="b">
        <v>0</v>
      </c>
      <c r="T875" s="9">
        <v>0.38</v>
      </c>
      <c r="U875" s="9">
        <v>2</v>
      </c>
      <c r="V875" s="9" t="b">
        <v>0</v>
      </c>
      <c r="W875" s="9" t="s">
        <v>2801</v>
      </c>
    </row>
    <row r="876" spans="1:23" ht="29" customHeight="1" x14ac:dyDescent="0.2">
      <c r="A876" s="9" t="s">
        <v>2802</v>
      </c>
      <c r="B876" s="10" t="s">
        <v>2803</v>
      </c>
      <c r="C876" s="9" t="s">
        <v>1741</v>
      </c>
      <c r="D876" s="9" t="s">
        <v>1741</v>
      </c>
      <c r="E876" s="9" t="s">
        <v>1742</v>
      </c>
      <c r="F876" s="9" t="s">
        <v>2804</v>
      </c>
      <c r="G876" s="9">
        <v>230</v>
      </c>
      <c r="H876" s="9">
        <v>230</v>
      </c>
      <c r="I876" s="9">
        <v>0</v>
      </c>
      <c r="J876" s="11">
        <v>4.5</v>
      </c>
      <c r="K876" s="9">
        <v>9427</v>
      </c>
      <c r="L876" s="9">
        <v>4.3815109815899627</v>
      </c>
      <c r="M876" s="9" t="s">
        <v>28</v>
      </c>
      <c r="N876" s="9" t="s">
        <v>29</v>
      </c>
      <c r="O876" s="9">
        <v>57</v>
      </c>
      <c r="P876" s="9" t="s">
        <v>53</v>
      </c>
      <c r="Q876" s="9" t="b">
        <v>0</v>
      </c>
      <c r="R876" s="9" t="b">
        <v>0</v>
      </c>
      <c r="S876" s="9" t="b">
        <v>0</v>
      </c>
      <c r="U876" s="9">
        <v>1</v>
      </c>
      <c r="V876" s="9" t="b">
        <v>1</v>
      </c>
      <c r="W876" s="9" t="s">
        <v>2805</v>
      </c>
    </row>
    <row r="877" spans="1:23" ht="29" customHeight="1" x14ac:dyDescent="0.2">
      <c r="A877" s="9" t="s">
        <v>2806</v>
      </c>
      <c r="B877" s="10" t="s">
        <v>2807</v>
      </c>
      <c r="C877" s="9" t="s">
        <v>25</v>
      </c>
      <c r="D877" s="9" t="s">
        <v>25</v>
      </c>
      <c r="E877" s="9" t="s">
        <v>26</v>
      </c>
      <c r="F877" s="9" t="s">
        <v>27</v>
      </c>
      <c r="G877" s="9">
        <v>399</v>
      </c>
      <c r="H877" s="9">
        <v>999</v>
      </c>
      <c r="I877" s="9">
        <v>60</v>
      </c>
      <c r="J877" s="11">
        <v>4.0999999999999996</v>
      </c>
      <c r="K877" s="9">
        <v>1780</v>
      </c>
      <c r="L877" s="9">
        <v>4.0895695248860289</v>
      </c>
      <c r="M877" s="9" t="s">
        <v>28</v>
      </c>
      <c r="N877" s="9" t="s">
        <v>29</v>
      </c>
      <c r="O877" s="9">
        <v>51.5</v>
      </c>
      <c r="P877" s="9" t="s">
        <v>53</v>
      </c>
      <c r="Q877" s="9" t="b">
        <v>0</v>
      </c>
      <c r="R877" s="9" t="b">
        <v>0</v>
      </c>
      <c r="S877" s="9" t="b">
        <v>0</v>
      </c>
      <c r="T877" s="9">
        <v>1.33</v>
      </c>
      <c r="U877" s="9">
        <v>2</v>
      </c>
      <c r="V877" s="9" t="b">
        <v>0</v>
      </c>
      <c r="W877" s="9" t="s">
        <v>2808</v>
      </c>
    </row>
    <row r="878" spans="1:23" ht="29" customHeight="1" x14ac:dyDescent="0.2">
      <c r="A878" s="9" t="s">
        <v>2809</v>
      </c>
      <c r="B878" s="10" t="s">
        <v>2810</v>
      </c>
      <c r="C878" s="9" t="s">
        <v>25</v>
      </c>
      <c r="D878" s="9" t="s">
        <v>25</v>
      </c>
      <c r="E878" s="9" t="s">
        <v>26</v>
      </c>
      <c r="F878" s="9" t="s">
        <v>1839</v>
      </c>
      <c r="G878" s="9">
        <v>599</v>
      </c>
      <c r="H878" s="9">
        <v>700</v>
      </c>
      <c r="I878" s="9">
        <v>14</v>
      </c>
      <c r="J878" s="11">
        <v>4.3</v>
      </c>
      <c r="K878" s="9">
        <v>2301</v>
      </c>
      <c r="L878" s="9">
        <v>4.1663625120278418</v>
      </c>
      <c r="M878" s="9" t="s">
        <v>28</v>
      </c>
      <c r="N878" s="9" t="s">
        <v>93</v>
      </c>
      <c r="O878" s="9">
        <v>43.1</v>
      </c>
      <c r="P878" s="9" t="s">
        <v>30</v>
      </c>
      <c r="Q878" s="9" t="b">
        <v>0</v>
      </c>
      <c r="R878" s="9" t="b">
        <v>0</v>
      </c>
      <c r="S878" s="9" t="b">
        <v>0</v>
      </c>
      <c r="U878" s="9">
        <v>1</v>
      </c>
      <c r="V878" s="9" t="b">
        <v>1</v>
      </c>
      <c r="W878" s="9" t="s">
        <v>2811</v>
      </c>
    </row>
    <row r="879" spans="1:23" ht="29" customHeight="1" x14ac:dyDescent="0.2">
      <c r="A879" s="9" t="s">
        <v>2812</v>
      </c>
      <c r="B879" s="10" t="s">
        <v>2813</v>
      </c>
      <c r="C879" s="9" t="s">
        <v>25</v>
      </c>
      <c r="D879" s="9" t="s">
        <v>25</v>
      </c>
      <c r="E879" s="9" t="s">
        <v>1815</v>
      </c>
      <c r="F879" s="9" t="s">
        <v>2814</v>
      </c>
      <c r="G879" s="9">
        <v>598</v>
      </c>
      <c r="H879" s="9">
        <v>1150</v>
      </c>
      <c r="I879" s="9">
        <v>48</v>
      </c>
      <c r="J879" s="11">
        <v>4.0999999999999996</v>
      </c>
      <c r="K879" s="9">
        <v>2535</v>
      </c>
      <c r="L879" s="9">
        <v>4.0908200224979456</v>
      </c>
      <c r="M879" s="9" t="s">
        <v>28</v>
      </c>
      <c r="N879" s="9" t="s">
        <v>93</v>
      </c>
      <c r="O879" s="9">
        <v>49.8</v>
      </c>
      <c r="P879" s="9" t="s">
        <v>30</v>
      </c>
      <c r="Q879" s="9" t="b">
        <v>0</v>
      </c>
      <c r="R879" s="9" t="b">
        <v>0</v>
      </c>
      <c r="S879" s="9" t="b">
        <v>0</v>
      </c>
      <c r="U879" s="9">
        <v>1</v>
      </c>
      <c r="V879" s="9" t="b">
        <v>1</v>
      </c>
      <c r="W879" s="9" t="s">
        <v>2815</v>
      </c>
    </row>
    <row r="880" spans="1:23" ht="29" customHeight="1" x14ac:dyDescent="0.2">
      <c r="A880" s="9" t="s">
        <v>2816</v>
      </c>
      <c r="B880" s="10" t="s">
        <v>2817</v>
      </c>
      <c r="C880" s="9" t="s">
        <v>25</v>
      </c>
      <c r="D880" s="9" t="s">
        <v>25</v>
      </c>
      <c r="E880" s="9" t="s">
        <v>26</v>
      </c>
      <c r="F880" s="9" t="s">
        <v>1272</v>
      </c>
      <c r="G880" s="9">
        <v>399</v>
      </c>
      <c r="H880" s="9">
        <v>1499</v>
      </c>
      <c r="I880" s="9">
        <v>73</v>
      </c>
      <c r="J880" s="11">
        <v>4</v>
      </c>
      <c r="K880" s="9">
        <v>691</v>
      </c>
      <c r="L880" s="9">
        <v>4.0715031080455404</v>
      </c>
      <c r="M880" s="9" t="s">
        <v>89</v>
      </c>
      <c r="N880" s="9" t="s">
        <v>29</v>
      </c>
      <c r="O880" s="9">
        <v>50.6</v>
      </c>
      <c r="P880" s="9" t="s">
        <v>53</v>
      </c>
      <c r="Q880" s="9" t="b">
        <v>0</v>
      </c>
      <c r="R880" s="9" t="b">
        <v>0</v>
      </c>
      <c r="S880" s="9" t="b">
        <v>0</v>
      </c>
      <c r="T880" s="9">
        <v>1.03</v>
      </c>
      <c r="U880" s="9">
        <v>1</v>
      </c>
      <c r="V880" s="9" t="b">
        <v>1</v>
      </c>
      <c r="W880" s="9" t="s">
        <v>2818</v>
      </c>
    </row>
    <row r="881" spans="1:23" ht="29" customHeight="1" x14ac:dyDescent="0.2">
      <c r="A881" s="9" t="s">
        <v>2819</v>
      </c>
      <c r="B881" s="10" t="s">
        <v>2820</v>
      </c>
      <c r="C881" s="9" t="s">
        <v>25</v>
      </c>
      <c r="D881" s="9" t="s">
        <v>25</v>
      </c>
      <c r="E881" s="9" t="s">
        <v>26</v>
      </c>
      <c r="F881" s="9" t="s">
        <v>1667</v>
      </c>
      <c r="G881" s="9">
        <v>499</v>
      </c>
      <c r="H881" s="9">
        <v>1299</v>
      </c>
      <c r="I881" s="9">
        <v>62</v>
      </c>
      <c r="J881" s="11">
        <v>4.0999999999999996</v>
      </c>
      <c r="K881" s="9">
        <v>2740</v>
      </c>
      <c r="L881" s="9">
        <v>4.091109433553374</v>
      </c>
      <c r="M881" s="9" t="s">
        <v>28</v>
      </c>
      <c r="N881" s="9" t="s">
        <v>29</v>
      </c>
      <c r="O881" s="9">
        <v>51.9</v>
      </c>
      <c r="P881" s="9" t="s">
        <v>53</v>
      </c>
      <c r="Q881" s="9" t="b">
        <v>0</v>
      </c>
      <c r="R881" s="9" t="b">
        <v>0</v>
      </c>
      <c r="S881" s="9" t="b">
        <v>0</v>
      </c>
      <c r="T881" s="9">
        <v>0.87</v>
      </c>
      <c r="U881" s="9">
        <v>1</v>
      </c>
      <c r="V881" s="9" t="b">
        <v>1</v>
      </c>
      <c r="W881" s="9" t="s">
        <v>2821</v>
      </c>
    </row>
    <row r="882" spans="1:23" ht="29" customHeight="1" x14ac:dyDescent="0.2">
      <c r="A882" s="9" t="s">
        <v>2822</v>
      </c>
      <c r="B882" s="10" t="s">
        <v>2823</v>
      </c>
      <c r="C882" s="9" t="s">
        <v>25</v>
      </c>
      <c r="D882" s="9" t="s">
        <v>25</v>
      </c>
      <c r="E882" s="9" t="s">
        <v>26</v>
      </c>
      <c r="F882" s="9" t="s">
        <v>27</v>
      </c>
      <c r="G882" s="9">
        <v>199</v>
      </c>
      <c r="H882" s="9">
        <v>499</v>
      </c>
      <c r="I882" s="9">
        <v>60</v>
      </c>
      <c r="J882" s="11">
        <v>4.0999999999999996</v>
      </c>
      <c r="K882" s="9">
        <v>602</v>
      </c>
      <c r="L882" s="9">
        <v>4.0867542883906092</v>
      </c>
      <c r="M882" s="9" t="s">
        <v>89</v>
      </c>
      <c r="N882" s="9" t="s">
        <v>29</v>
      </c>
      <c r="O882" s="9">
        <v>55.6</v>
      </c>
      <c r="P882" s="9" t="s">
        <v>53</v>
      </c>
      <c r="Q882" s="9" t="b">
        <v>0</v>
      </c>
      <c r="R882" s="9" t="b">
        <v>0</v>
      </c>
      <c r="S882" s="9" t="b">
        <v>0</v>
      </c>
      <c r="T882" s="9">
        <v>0.67</v>
      </c>
      <c r="U882" s="9">
        <v>1</v>
      </c>
      <c r="V882" s="9" t="b">
        <v>1</v>
      </c>
      <c r="W882" s="9" t="s">
        <v>2824</v>
      </c>
    </row>
    <row r="883" spans="1:23" ht="29" customHeight="1" x14ac:dyDescent="0.2">
      <c r="A883" s="9" t="s">
        <v>2825</v>
      </c>
      <c r="B883" s="10" t="s">
        <v>2826</v>
      </c>
      <c r="C883" s="9" t="s">
        <v>25</v>
      </c>
      <c r="D883" s="9" t="s">
        <v>25</v>
      </c>
      <c r="E883" s="9" t="s">
        <v>26</v>
      </c>
      <c r="F883" s="9" t="s">
        <v>1656</v>
      </c>
      <c r="G883" s="9">
        <v>579</v>
      </c>
      <c r="H883" s="9">
        <v>1090</v>
      </c>
      <c r="I883" s="9">
        <v>47</v>
      </c>
      <c r="J883" s="11">
        <v>4.4000000000000004</v>
      </c>
      <c r="K883" s="9">
        <v>3482</v>
      </c>
      <c r="L883" s="9">
        <v>4.2362121736049172</v>
      </c>
      <c r="M883" s="9" t="s">
        <v>28</v>
      </c>
      <c r="N883" s="9" t="s">
        <v>93</v>
      </c>
      <c r="O883" s="9">
        <v>62.1</v>
      </c>
      <c r="P883" s="9" t="s">
        <v>36</v>
      </c>
      <c r="Q883" s="9" t="b">
        <v>0</v>
      </c>
      <c r="R883" s="9" t="b">
        <v>0</v>
      </c>
      <c r="S883" s="9" t="b">
        <v>0</v>
      </c>
      <c r="T883" s="9">
        <v>1.01</v>
      </c>
      <c r="U883" s="9">
        <v>1</v>
      </c>
      <c r="V883" s="9" t="b">
        <v>1</v>
      </c>
      <c r="W883" s="9" t="s">
        <v>2827</v>
      </c>
    </row>
    <row r="884" spans="1:23" ht="29" customHeight="1" x14ac:dyDescent="0.2">
      <c r="A884" s="9" t="s">
        <v>2828</v>
      </c>
      <c r="B884" s="10" t="s">
        <v>2829</v>
      </c>
      <c r="C884" s="9" t="s">
        <v>1735</v>
      </c>
      <c r="D884" s="9" t="s">
        <v>1724</v>
      </c>
      <c r="E884" s="9" t="s">
        <v>1736</v>
      </c>
      <c r="F884" s="9" t="s">
        <v>2830</v>
      </c>
      <c r="G884" s="9">
        <v>90</v>
      </c>
      <c r="H884" s="9">
        <v>100</v>
      </c>
      <c r="I884" s="9">
        <v>10</v>
      </c>
      <c r="J884" s="11">
        <v>4.0999999999999996</v>
      </c>
      <c r="K884" s="9">
        <v>6199</v>
      </c>
      <c r="L884" s="9">
        <v>4.0941965659469766</v>
      </c>
      <c r="M884" s="9" t="s">
        <v>28</v>
      </c>
      <c r="N884" s="9" t="s">
        <v>29</v>
      </c>
      <c r="O884" s="9">
        <v>40.299999999999997</v>
      </c>
      <c r="P884" s="9" t="s">
        <v>30</v>
      </c>
      <c r="Q884" s="9" t="b">
        <v>0</v>
      </c>
      <c r="R884" s="9" t="b">
        <v>0</v>
      </c>
      <c r="S884" s="9" t="b">
        <v>0</v>
      </c>
      <c r="U884" s="9">
        <v>1</v>
      </c>
      <c r="V884" s="9" t="b">
        <v>1</v>
      </c>
      <c r="W884" s="9" t="s">
        <v>2831</v>
      </c>
    </row>
    <row r="885" spans="1:23" ht="29" customHeight="1" x14ac:dyDescent="0.2">
      <c r="A885" s="9" t="s">
        <v>2832</v>
      </c>
      <c r="B885" s="10" t="s">
        <v>2833</v>
      </c>
      <c r="C885" s="9" t="s">
        <v>25</v>
      </c>
      <c r="D885" s="9" t="s">
        <v>25</v>
      </c>
      <c r="E885" s="9" t="s">
        <v>26</v>
      </c>
      <c r="F885" s="9" t="s">
        <v>1667</v>
      </c>
      <c r="G885" s="9">
        <v>899</v>
      </c>
      <c r="H885" s="9">
        <v>1999</v>
      </c>
      <c r="I885" s="9">
        <v>55</v>
      </c>
      <c r="J885" s="11">
        <v>4.4000000000000004</v>
      </c>
      <c r="K885" s="9">
        <v>1667</v>
      </c>
      <c r="L885" s="9">
        <v>4.1814603723511956</v>
      </c>
      <c r="M885" s="9" t="s">
        <v>28</v>
      </c>
      <c r="N885" s="9" t="s">
        <v>93</v>
      </c>
      <c r="O885" s="9">
        <v>59.4</v>
      </c>
      <c r="P885" s="9" t="s">
        <v>53</v>
      </c>
      <c r="Q885" s="9" t="b">
        <v>0</v>
      </c>
      <c r="R885" s="9" t="b">
        <v>0</v>
      </c>
      <c r="S885" s="9" t="b">
        <v>0</v>
      </c>
      <c r="T885" s="9">
        <v>1.57</v>
      </c>
      <c r="U885" s="9">
        <v>1</v>
      </c>
      <c r="V885" s="9" t="b">
        <v>1</v>
      </c>
      <c r="W885" s="9" t="s">
        <v>2834</v>
      </c>
    </row>
    <row r="886" spans="1:23" ht="29" customHeight="1" x14ac:dyDescent="0.2">
      <c r="A886" s="9" t="s">
        <v>2835</v>
      </c>
      <c r="B886" s="10" t="s">
        <v>2836</v>
      </c>
      <c r="C886" s="9" t="s">
        <v>25</v>
      </c>
      <c r="D886" s="9" t="s">
        <v>25</v>
      </c>
      <c r="E886" s="9" t="s">
        <v>26</v>
      </c>
      <c r="F886" s="9" t="s">
        <v>2582</v>
      </c>
      <c r="G886" s="9">
        <v>1149</v>
      </c>
      <c r="H886" s="9">
        <v>1800</v>
      </c>
      <c r="I886" s="9">
        <v>36</v>
      </c>
      <c r="J886" s="11">
        <v>4.3</v>
      </c>
      <c r="K886" s="9">
        <v>4723</v>
      </c>
      <c r="L886" s="9">
        <v>4.2045064040634994</v>
      </c>
      <c r="M886" s="9" t="s">
        <v>28</v>
      </c>
      <c r="N886" s="9" t="s">
        <v>179</v>
      </c>
      <c r="O886" s="9">
        <v>53.1</v>
      </c>
      <c r="P886" s="9" t="s">
        <v>53</v>
      </c>
      <c r="Q886" s="9" t="b">
        <v>0</v>
      </c>
      <c r="R886" s="9" t="b">
        <v>0</v>
      </c>
      <c r="S886" s="9" t="b">
        <v>0</v>
      </c>
      <c r="U886" s="9">
        <v>1</v>
      </c>
      <c r="V886" s="9" t="b">
        <v>1</v>
      </c>
      <c r="W886" s="9" t="s">
        <v>2837</v>
      </c>
    </row>
    <row r="887" spans="1:23" ht="29" customHeight="1" x14ac:dyDescent="0.2">
      <c r="A887" s="9" t="s">
        <v>2838</v>
      </c>
      <c r="B887" s="10" t="s">
        <v>2839</v>
      </c>
      <c r="C887" s="9" t="s">
        <v>25</v>
      </c>
      <c r="D887" s="9" t="s">
        <v>25</v>
      </c>
      <c r="E887" s="9" t="s">
        <v>26</v>
      </c>
      <c r="F887" s="9" t="s">
        <v>2136</v>
      </c>
      <c r="G887" s="9">
        <v>249</v>
      </c>
      <c r="H887" s="9">
        <v>499</v>
      </c>
      <c r="I887" s="9">
        <v>50</v>
      </c>
      <c r="J887" s="11">
        <v>4.2</v>
      </c>
      <c r="K887" s="9">
        <v>22860</v>
      </c>
      <c r="L887" s="9">
        <v>4.1836957119609659</v>
      </c>
      <c r="M887" s="9" t="s">
        <v>28</v>
      </c>
      <c r="N887" s="9" t="s">
        <v>29</v>
      </c>
      <c r="O887" s="9">
        <v>65.7</v>
      </c>
      <c r="P887" s="9" t="s">
        <v>36</v>
      </c>
      <c r="Q887" s="9" t="b">
        <v>0</v>
      </c>
      <c r="R887" s="9" t="b">
        <v>0</v>
      </c>
      <c r="S887" s="9" t="b">
        <v>0</v>
      </c>
      <c r="U887" s="9">
        <v>1</v>
      </c>
      <c r="V887" s="9" t="b">
        <v>1</v>
      </c>
      <c r="W887" s="9" t="s">
        <v>2840</v>
      </c>
    </row>
    <row r="888" spans="1:23" ht="29" customHeight="1" x14ac:dyDescent="0.2">
      <c r="A888" s="9" t="s">
        <v>2841</v>
      </c>
      <c r="B888" s="10" t="s">
        <v>2842</v>
      </c>
      <c r="C888" s="9" t="s">
        <v>25</v>
      </c>
      <c r="D888" s="9" t="s">
        <v>25</v>
      </c>
      <c r="E888" s="9" t="s">
        <v>26</v>
      </c>
      <c r="F888" s="9" t="s">
        <v>2011</v>
      </c>
      <c r="G888" s="9">
        <v>39</v>
      </c>
      <c r="H888" s="9">
        <v>39</v>
      </c>
      <c r="I888" s="9">
        <v>0</v>
      </c>
      <c r="J888" s="11">
        <v>3.6</v>
      </c>
      <c r="K888" s="9">
        <v>13572</v>
      </c>
      <c r="L888" s="9">
        <v>3.7051913289498302</v>
      </c>
      <c r="M888" s="9" t="s">
        <v>28</v>
      </c>
      <c r="N888" s="9" t="s">
        <v>29</v>
      </c>
      <c r="O888" s="9">
        <v>21</v>
      </c>
      <c r="P888" s="9" t="s">
        <v>40</v>
      </c>
      <c r="Q888" s="9" t="b">
        <v>0</v>
      </c>
      <c r="R888" s="9" t="b">
        <v>0</v>
      </c>
      <c r="S888" s="9" t="b">
        <v>1</v>
      </c>
      <c r="U888" s="9">
        <v>1</v>
      </c>
      <c r="V888" s="9" t="b">
        <v>1</v>
      </c>
      <c r="W888" s="9" t="s">
        <v>2843</v>
      </c>
    </row>
    <row r="889" spans="1:23" ht="29" customHeight="1" x14ac:dyDescent="0.2">
      <c r="A889" s="9" t="s">
        <v>2844</v>
      </c>
      <c r="B889" s="10" t="s">
        <v>2845</v>
      </c>
      <c r="C889" s="9" t="s">
        <v>25</v>
      </c>
      <c r="D889" s="9" t="s">
        <v>25</v>
      </c>
      <c r="E889" s="9" t="s">
        <v>34</v>
      </c>
      <c r="F889" s="9" t="s">
        <v>1804</v>
      </c>
      <c r="G889" s="9">
        <v>1599</v>
      </c>
      <c r="H889" s="9">
        <v>3599</v>
      </c>
      <c r="I889" s="9">
        <v>56</v>
      </c>
      <c r="J889" s="11">
        <v>4.2</v>
      </c>
      <c r="K889" s="9">
        <v>16182</v>
      </c>
      <c r="L889" s="9">
        <v>4.1782365610409293</v>
      </c>
      <c r="M889" s="9" t="s">
        <v>28</v>
      </c>
      <c r="N889" s="9" t="s">
        <v>179</v>
      </c>
      <c r="O889" s="9">
        <v>62.6</v>
      </c>
      <c r="P889" s="9" t="s">
        <v>36</v>
      </c>
      <c r="Q889" s="9" t="b">
        <v>0</v>
      </c>
      <c r="R889" s="9" t="b">
        <v>0</v>
      </c>
      <c r="S889" s="9" t="b">
        <v>0</v>
      </c>
      <c r="U889" s="9">
        <v>1</v>
      </c>
      <c r="V889" s="9" t="b">
        <v>1</v>
      </c>
      <c r="W889" s="9" t="s">
        <v>2846</v>
      </c>
    </row>
    <row r="890" spans="1:23" ht="29" customHeight="1" x14ac:dyDescent="0.2">
      <c r="A890" s="9" t="s">
        <v>2847</v>
      </c>
      <c r="B890" s="10" t="s">
        <v>2848</v>
      </c>
      <c r="C890" s="9" t="s">
        <v>44</v>
      </c>
      <c r="D890" s="9" t="s">
        <v>44</v>
      </c>
      <c r="E890" s="9" t="s">
        <v>359</v>
      </c>
      <c r="F890" s="9" t="s">
        <v>1903</v>
      </c>
      <c r="G890" s="9">
        <v>1199</v>
      </c>
      <c r="H890" s="9">
        <v>3990</v>
      </c>
      <c r="I890" s="9">
        <v>70</v>
      </c>
      <c r="J890" s="11">
        <v>4.2</v>
      </c>
      <c r="K890" s="9">
        <v>2908</v>
      </c>
      <c r="L890" s="9">
        <v>4.1349282799911284</v>
      </c>
      <c r="M890" s="9" t="s">
        <v>28</v>
      </c>
      <c r="N890" s="9" t="s">
        <v>179</v>
      </c>
      <c r="O890" s="9">
        <v>65.8</v>
      </c>
      <c r="P890" s="9" t="s">
        <v>36</v>
      </c>
      <c r="Q890" s="9" t="b">
        <v>0</v>
      </c>
      <c r="R890" s="9" t="b">
        <v>0</v>
      </c>
      <c r="S890" s="9" t="b">
        <v>0</v>
      </c>
      <c r="U890" s="9">
        <v>1</v>
      </c>
      <c r="V890" s="9" t="b">
        <v>1</v>
      </c>
      <c r="W890" s="9" t="s">
        <v>2849</v>
      </c>
    </row>
    <row r="891" spans="1:23" ht="29" customHeight="1" x14ac:dyDescent="0.2">
      <c r="A891" s="9" t="s">
        <v>2850</v>
      </c>
      <c r="B891" s="10" t="s">
        <v>2851</v>
      </c>
      <c r="C891" s="9" t="s">
        <v>25</v>
      </c>
      <c r="D891" s="9" t="s">
        <v>25</v>
      </c>
      <c r="E891" s="9" t="s">
        <v>26</v>
      </c>
      <c r="F891" s="9" t="s">
        <v>1656</v>
      </c>
      <c r="G891" s="9">
        <v>1099</v>
      </c>
      <c r="H891" s="9">
        <v>1499</v>
      </c>
      <c r="I891" s="9">
        <v>27</v>
      </c>
      <c r="J891" s="11">
        <v>4.2</v>
      </c>
      <c r="K891" s="9">
        <v>2375</v>
      </c>
      <c r="L891" s="9">
        <v>4.1292772450803774</v>
      </c>
      <c r="M891" s="9" t="s">
        <v>28</v>
      </c>
      <c r="N891" s="9" t="s">
        <v>179</v>
      </c>
      <c r="O891" s="9">
        <v>41</v>
      </c>
      <c r="P891" s="9" t="s">
        <v>30</v>
      </c>
      <c r="Q891" s="9" t="b">
        <v>0</v>
      </c>
      <c r="R891" s="9" t="b">
        <v>0</v>
      </c>
      <c r="S891" s="9" t="b">
        <v>0</v>
      </c>
      <c r="T891" s="9">
        <v>1.91</v>
      </c>
      <c r="U891" s="9">
        <v>1</v>
      </c>
      <c r="V891" s="9" t="b">
        <v>1</v>
      </c>
      <c r="W891" s="9" t="s">
        <v>2852</v>
      </c>
    </row>
    <row r="892" spans="1:23" ht="29" customHeight="1" x14ac:dyDescent="0.2">
      <c r="A892" s="9" t="s">
        <v>2853</v>
      </c>
      <c r="B892" s="10" t="s">
        <v>2854</v>
      </c>
      <c r="C892" s="9" t="s">
        <v>1735</v>
      </c>
      <c r="D892" s="9" t="s">
        <v>1724</v>
      </c>
      <c r="E892" s="9" t="s">
        <v>1736</v>
      </c>
      <c r="F892" s="9" t="s">
        <v>2160</v>
      </c>
      <c r="G892" s="9">
        <v>120</v>
      </c>
      <c r="H892" s="9">
        <v>120</v>
      </c>
      <c r="I892" s="9">
        <v>0</v>
      </c>
      <c r="J892" s="11">
        <v>4.5</v>
      </c>
      <c r="K892" s="9">
        <v>4951</v>
      </c>
      <c r="L892" s="9">
        <v>4.3206448719436299</v>
      </c>
      <c r="M892" s="9" t="s">
        <v>28</v>
      </c>
      <c r="N892" s="9" t="s">
        <v>29</v>
      </c>
      <c r="O892" s="9">
        <v>59.2</v>
      </c>
      <c r="P892" s="9" t="s">
        <v>53</v>
      </c>
      <c r="Q892" s="9" t="b">
        <v>0</v>
      </c>
      <c r="R892" s="9" t="b">
        <v>0</v>
      </c>
      <c r="S892" s="9" t="b">
        <v>0</v>
      </c>
      <c r="U892" s="9">
        <v>1</v>
      </c>
      <c r="V892" s="9" t="b">
        <v>1</v>
      </c>
      <c r="W892" s="9" t="s">
        <v>2855</v>
      </c>
    </row>
    <row r="893" spans="1:23" ht="29" customHeight="1" x14ac:dyDescent="0.2">
      <c r="A893" s="9" t="s">
        <v>2856</v>
      </c>
      <c r="B893" s="10" t="s">
        <v>2857</v>
      </c>
      <c r="C893" s="9" t="s">
        <v>25</v>
      </c>
      <c r="D893" s="9" t="s">
        <v>25</v>
      </c>
      <c r="E893" s="9" t="s">
        <v>26</v>
      </c>
      <c r="F893" s="9" t="s">
        <v>2582</v>
      </c>
      <c r="G893" s="9">
        <v>1519</v>
      </c>
      <c r="H893" s="9">
        <v>3499</v>
      </c>
      <c r="I893" s="9">
        <v>57</v>
      </c>
      <c r="J893" s="11">
        <v>4.3</v>
      </c>
      <c r="K893" s="9">
        <v>408</v>
      </c>
      <c r="L893" s="9">
        <v>4.1057041341999323</v>
      </c>
      <c r="M893" s="9" t="s">
        <v>89</v>
      </c>
      <c r="N893" s="9" t="s">
        <v>179</v>
      </c>
      <c r="O893" s="9">
        <v>51.6</v>
      </c>
      <c r="P893" s="9" t="s">
        <v>53</v>
      </c>
      <c r="Q893" s="9" t="b">
        <v>0</v>
      </c>
      <c r="R893" s="9" t="b">
        <v>0</v>
      </c>
      <c r="S893" s="9" t="b">
        <v>0</v>
      </c>
      <c r="U893" s="9">
        <v>1</v>
      </c>
      <c r="V893" s="9" t="b">
        <v>1</v>
      </c>
      <c r="W893" s="9" t="s">
        <v>2858</v>
      </c>
    </row>
    <row r="894" spans="1:23" ht="29" customHeight="1" x14ac:dyDescent="0.2">
      <c r="A894" s="9" t="s">
        <v>2859</v>
      </c>
      <c r="B894" s="10" t="s">
        <v>2860</v>
      </c>
      <c r="C894" s="9" t="s">
        <v>1735</v>
      </c>
      <c r="D894" s="9" t="s">
        <v>1724</v>
      </c>
      <c r="E894" s="9" t="s">
        <v>1736</v>
      </c>
      <c r="F894" s="9" t="s">
        <v>2830</v>
      </c>
      <c r="G894" s="9">
        <v>420</v>
      </c>
      <c r="H894" s="9">
        <v>420</v>
      </c>
      <c r="I894" s="9">
        <v>0</v>
      </c>
      <c r="J894" s="11">
        <v>4.2</v>
      </c>
      <c r="K894" s="9">
        <v>1926</v>
      </c>
      <c r="L894" s="9">
        <v>4.1236950147984208</v>
      </c>
      <c r="M894" s="9" t="s">
        <v>28</v>
      </c>
      <c r="N894" s="9" t="s">
        <v>29</v>
      </c>
      <c r="O894" s="9">
        <v>35.6</v>
      </c>
      <c r="P894" s="9" t="s">
        <v>40</v>
      </c>
      <c r="Q894" s="9" t="b">
        <v>0</v>
      </c>
      <c r="R894" s="9" t="b">
        <v>0</v>
      </c>
      <c r="S894" s="9" t="b">
        <v>0</v>
      </c>
      <c r="U894" s="9">
        <v>1</v>
      </c>
      <c r="V894" s="9" t="b">
        <v>1</v>
      </c>
      <c r="W894" s="9" t="s">
        <v>2861</v>
      </c>
    </row>
    <row r="895" spans="1:23" ht="29" customHeight="1" x14ac:dyDescent="0.2">
      <c r="A895" s="9" t="s">
        <v>2862</v>
      </c>
      <c r="B895" s="10" t="s">
        <v>2863</v>
      </c>
      <c r="C895" s="9" t="s">
        <v>1735</v>
      </c>
      <c r="D895" s="9" t="s">
        <v>1724</v>
      </c>
      <c r="E895" s="9" t="s">
        <v>1736</v>
      </c>
      <c r="F895" s="9" t="s">
        <v>2864</v>
      </c>
      <c r="G895" s="9">
        <v>225</v>
      </c>
      <c r="H895" s="9">
        <v>225</v>
      </c>
      <c r="I895" s="9">
        <v>0</v>
      </c>
      <c r="J895" s="11">
        <v>4.0999999999999996</v>
      </c>
      <c r="K895" s="9">
        <v>4798</v>
      </c>
      <c r="L895" s="9">
        <v>4.0932467836786186</v>
      </c>
      <c r="M895" s="9" t="s">
        <v>28</v>
      </c>
      <c r="N895" s="9" t="s">
        <v>29</v>
      </c>
      <c r="O895" s="9">
        <v>31.2</v>
      </c>
      <c r="P895" s="9" t="s">
        <v>40</v>
      </c>
      <c r="Q895" s="9" t="b">
        <v>0</v>
      </c>
      <c r="R895" s="9" t="b">
        <v>0</v>
      </c>
      <c r="S895" s="9" t="b">
        <v>0</v>
      </c>
      <c r="U895" s="9">
        <v>1</v>
      </c>
      <c r="V895" s="9" t="b">
        <v>1</v>
      </c>
      <c r="W895" s="9" t="s">
        <v>2865</v>
      </c>
    </row>
    <row r="896" spans="1:23" ht="29" customHeight="1" x14ac:dyDescent="0.2">
      <c r="A896" s="9" t="s">
        <v>2866</v>
      </c>
      <c r="B896" s="10" t="s">
        <v>2867</v>
      </c>
      <c r="C896" s="9" t="s">
        <v>25</v>
      </c>
      <c r="D896" s="9" t="s">
        <v>25</v>
      </c>
      <c r="E896" s="9" t="s">
        <v>26</v>
      </c>
      <c r="F896" s="9" t="s">
        <v>2868</v>
      </c>
      <c r="G896" s="9">
        <v>199</v>
      </c>
      <c r="H896" s="9">
        <v>799</v>
      </c>
      <c r="I896" s="9">
        <v>75</v>
      </c>
      <c r="J896" s="11">
        <v>4.0999999999999996</v>
      </c>
      <c r="K896" s="9">
        <v>7333</v>
      </c>
      <c r="L896" s="9">
        <v>4.0947896977766494</v>
      </c>
      <c r="M896" s="9" t="s">
        <v>28</v>
      </c>
      <c r="N896" s="9" t="s">
        <v>29</v>
      </c>
      <c r="O896" s="9">
        <v>65.8</v>
      </c>
      <c r="P896" s="9" t="s">
        <v>36</v>
      </c>
      <c r="Q896" s="9" t="b">
        <v>0</v>
      </c>
      <c r="R896" s="9" t="b">
        <v>0</v>
      </c>
      <c r="S896" s="9" t="b">
        <v>0</v>
      </c>
      <c r="U896" s="9">
        <v>1</v>
      </c>
      <c r="V896" s="9" t="b">
        <v>1</v>
      </c>
      <c r="W896" s="9" t="s">
        <v>2869</v>
      </c>
    </row>
    <row r="897" spans="1:23" ht="29" customHeight="1" x14ac:dyDescent="0.2">
      <c r="A897" s="9" t="s">
        <v>2870</v>
      </c>
      <c r="B897" s="10" t="s">
        <v>2871</v>
      </c>
      <c r="C897" s="9" t="s">
        <v>44</v>
      </c>
      <c r="D897" s="9" t="s">
        <v>44</v>
      </c>
      <c r="E897" s="9" t="s">
        <v>981</v>
      </c>
      <c r="F897" s="9" t="s">
        <v>1614</v>
      </c>
      <c r="G897" s="9">
        <v>1799</v>
      </c>
      <c r="H897" s="9">
        <v>3999</v>
      </c>
      <c r="I897" s="9">
        <v>55</v>
      </c>
      <c r="J897" s="11">
        <v>4.5999999999999996</v>
      </c>
      <c r="K897" s="9">
        <v>245</v>
      </c>
      <c r="L897" s="9">
        <v>4.1161420066577206</v>
      </c>
      <c r="M897" s="9" t="s">
        <v>89</v>
      </c>
      <c r="N897" s="9" t="s">
        <v>179</v>
      </c>
      <c r="O897" s="9">
        <v>59.9</v>
      </c>
      <c r="P897" s="9" t="s">
        <v>53</v>
      </c>
      <c r="Q897" s="9" t="b">
        <v>0</v>
      </c>
      <c r="R897" s="9" t="b">
        <v>0</v>
      </c>
      <c r="S897" s="9" t="b">
        <v>0</v>
      </c>
      <c r="U897" s="9">
        <v>1</v>
      </c>
      <c r="V897" s="9" t="b">
        <v>1</v>
      </c>
      <c r="W897" s="9" t="s">
        <v>2872</v>
      </c>
    </row>
    <row r="898" spans="1:23" ht="29" customHeight="1" x14ac:dyDescent="0.2">
      <c r="A898" s="9" t="s">
        <v>2873</v>
      </c>
      <c r="B898" s="10" t="s">
        <v>2874</v>
      </c>
      <c r="C898" s="9" t="s">
        <v>25</v>
      </c>
      <c r="D898" s="9" t="s">
        <v>25</v>
      </c>
      <c r="E898" s="9" t="s">
        <v>1815</v>
      </c>
      <c r="F898" s="9" t="s">
        <v>2621</v>
      </c>
      <c r="G898" s="9">
        <v>8349</v>
      </c>
      <c r="H898" s="9">
        <v>9625</v>
      </c>
      <c r="I898" s="9">
        <v>13</v>
      </c>
      <c r="J898" s="11">
        <v>3.8</v>
      </c>
      <c r="K898" s="9">
        <v>3652</v>
      </c>
      <c r="L898" s="9">
        <v>3.9444384775346699</v>
      </c>
      <c r="M898" s="9" t="s">
        <v>28</v>
      </c>
      <c r="N898" s="9" t="s">
        <v>144</v>
      </c>
      <c r="O898" s="9">
        <v>8</v>
      </c>
      <c r="P898" s="9" t="s">
        <v>40</v>
      </c>
      <c r="Q898" s="9" t="b">
        <v>0</v>
      </c>
      <c r="R898" s="9" t="b">
        <v>0</v>
      </c>
      <c r="S898" s="9" t="b">
        <v>1</v>
      </c>
      <c r="U898" s="9">
        <v>1</v>
      </c>
      <c r="V898" s="9" t="b">
        <v>1</v>
      </c>
      <c r="W898" s="9" t="s">
        <v>2875</v>
      </c>
    </row>
    <row r="899" spans="1:23" ht="29" customHeight="1" x14ac:dyDescent="0.2">
      <c r="A899" s="9" t="s">
        <v>2876</v>
      </c>
      <c r="B899" s="10" t="s">
        <v>2877</v>
      </c>
      <c r="C899" s="9" t="s">
        <v>25</v>
      </c>
      <c r="D899" s="9" t="s">
        <v>25</v>
      </c>
      <c r="E899" s="9" t="s">
        <v>2205</v>
      </c>
      <c r="F899" s="9" t="s">
        <v>2317</v>
      </c>
      <c r="G899" s="9">
        <v>3307</v>
      </c>
      <c r="H899" s="9">
        <v>6100</v>
      </c>
      <c r="I899" s="9">
        <v>46</v>
      </c>
      <c r="J899" s="11">
        <v>4.3</v>
      </c>
      <c r="K899" s="9">
        <v>2515</v>
      </c>
      <c r="L899" s="9">
        <v>4.1709182145250203</v>
      </c>
      <c r="M899" s="9" t="s">
        <v>28</v>
      </c>
      <c r="N899" s="9" t="s">
        <v>144</v>
      </c>
      <c r="O899" s="9">
        <v>54.4</v>
      </c>
      <c r="P899" s="9" t="s">
        <v>53</v>
      </c>
      <c r="Q899" s="9" t="b">
        <v>0</v>
      </c>
      <c r="R899" s="9" t="b">
        <v>0</v>
      </c>
      <c r="S899" s="9" t="b">
        <v>0</v>
      </c>
      <c r="U899" s="9">
        <v>1</v>
      </c>
      <c r="V899" s="9" t="b">
        <v>1</v>
      </c>
      <c r="W899" s="9" t="s">
        <v>2878</v>
      </c>
    </row>
    <row r="900" spans="1:23" ht="29" customHeight="1" x14ac:dyDescent="0.2">
      <c r="A900" s="9" t="s">
        <v>2879</v>
      </c>
      <c r="B900" s="10" t="s">
        <v>2880</v>
      </c>
      <c r="C900" s="9" t="s">
        <v>25</v>
      </c>
      <c r="D900" s="9" t="s">
        <v>25</v>
      </c>
      <c r="E900" s="9" t="s">
        <v>26</v>
      </c>
      <c r="F900" s="9" t="s">
        <v>27</v>
      </c>
      <c r="G900" s="9">
        <v>325</v>
      </c>
      <c r="H900" s="9">
        <v>1299</v>
      </c>
      <c r="I900" s="9">
        <v>75</v>
      </c>
      <c r="J900" s="11">
        <v>4.2</v>
      </c>
      <c r="K900" s="9">
        <v>10576</v>
      </c>
      <c r="L900" s="9">
        <v>4.1697275929616637</v>
      </c>
      <c r="M900" s="9" t="s">
        <v>28</v>
      </c>
      <c r="N900" s="9" t="s">
        <v>29</v>
      </c>
      <c r="O900" s="9">
        <v>72.5</v>
      </c>
      <c r="P900" s="9" t="s">
        <v>36</v>
      </c>
      <c r="Q900" s="9" t="b">
        <v>0</v>
      </c>
      <c r="R900" s="9" t="b">
        <v>0</v>
      </c>
      <c r="S900" s="9" t="b">
        <v>0</v>
      </c>
      <c r="T900" s="9">
        <v>1.0900000000000001</v>
      </c>
      <c r="U900" s="9">
        <v>2</v>
      </c>
      <c r="V900" s="9" t="b">
        <v>0</v>
      </c>
      <c r="W900" s="9" t="s">
        <v>2881</v>
      </c>
    </row>
    <row r="901" spans="1:23" ht="29" customHeight="1" x14ac:dyDescent="0.2">
      <c r="A901" s="9" t="s">
        <v>2882</v>
      </c>
      <c r="B901" s="10" t="s">
        <v>2883</v>
      </c>
      <c r="C901" s="9" t="s">
        <v>25</v>
      </c>
      <c r="D901" s="9" t="s">
        <v>25</v>
      </c>
      <c r="E901" s="9" t="s">
        <v>1651</v>
      </c>
      <c r="F901" s="9" t="s">
        <v>1652</v>
      </c>
      <c r="G901" s="9">
        <v>449</v>
      </c>
      <c r="H901" s="9">
        <v>1300</v>
      </c>
      <c r="I901" s="9">
        <v>65</v>
      </c>
      <c r="J901" s="11">
        <v>4.2</v>
      </c>
      <c r="K901" s="9">
        <v>4959</v>
      </c>
      <c r="L901" s="9">
        <v>4.1502309340917058</v>
      </c>
      <c r="M901" s="9" t="s">
        <v>28</v>
      </c>
      <c r="N901" s="9" t="s">
        <v>29</v>
      </c>
      <c r="O901" s="9">
        <v>70.5</v>
      </c>
      <c r="P901" s="9" t="s">
        <v>36</v>
      </c>
      <c r="Q901" s="9" t="b">
        <v>0</v>
      </c>
      <c r="R901" s="9" t="b">
        <v>0</v>
      </c>
      <c r="S901" s="9" t="b">
        <v>0</v>
      </c>
      <c r="T901" s="9">
        <v>0.82</v>
      </c>
      <c r="U901" s="9">
        <v>1</v>
      </c>
      <c r="V901" s="9" t="b">
        <v>1</v>
      </c>
      <c r="W901" s="9" t="s">
        <v>2884</v>
      </c>
    </row>
    <row r="902" spans="1:23" ht="29" customHeight="1" x14ac:dyDescent="0.2">
      <c r="A902" s="9" t="s">
        <v>2885</v>
      </c>
      <c r="B902" s="10" t="s">
        <v>2886</v>
      </c>
      <c r="C902" s="9" t="s">
        <v>44</v>
      </c>
      <c r="D902" s="9" t="s">
        <v>44</v>
      </c>
      <c r="E902" s="9" t="s">
        <v>1730</v>
      </c>
      <c r="F902" s="9" t="s">
        <v>1731</v>
      </c>
      <c r="G902" s="9">
        <v>380</v>
      </c>
      <c r="H902" s="9">
        <v>400</v>
      </c>
      <c r="I902" s="9">
        <v>5</v>
      </c>
      <c r="J902" s="11">
        <v>4.4000000000000004</v>
      </c>
      <c r="K902" s="9">
        <v>2111</v>
      </c>
      <c r="L902" s="9">
        <v>4.1979806063983673</v>
      </c>
      <c r="M902" s="9" t="s">
        <v>28</v>
      </c>
      <c r="N902" s="9" t="s">
        <v>29</v>
      </c>
      <c r="O902" s="9">
        <v>47.9</v>
      </c>
      <c r="P902" s="9" t="s">
        <v>30</v>
      </c>
      <c r="Q902" s="9" t="b">
        <v>0</v>
      </c>
      <c r="R902" s="9" t="b">
        <v>0</v>
      </c>
      <c r="S902" s="9" t="b">
        <v>0</v>
      </c>
      <c r="U902" s="9">
        <v>1</v>
      </c>
      <c r="V902" s="9" t="b">
        <v>1</v>
      </c>
      <c r="W902" s="9" t="s">
        <v>2887</v>
      </c>
    </row>
    <row r="903" spans="1:23" ht="29" customHeight="1" x14ac:dyDescent="0.2">
      <c r="A903" s="9" t="s">
        <v>2888</v>
      </c>
      <c r="B903" s="10" t="s">
        <v>2889</v>
      </c>
      <c r="C903" s="9" t="s">
        <v>25</v>
      </c>
      <c r="D903" s="9" t="s">
        <v>25</v>
      </c>
      <c r="E903" s="9" t="s">
        <v>26</v>
      </c>
      <c r="F903" s="9" t="s">
        <v>1660</v>
      </c>
      <c r="G903" s="9">
        <v>499</v>
      </c>
      <c r="H903" s="9">
        <v>1399</v>
      </c>
      <c r="I903" s="9">
        <v>64</v>
      </c>
      <c r="J903" s="11">
        <v>3.9</v>
      </c>
      <c r="K903" s="9">
        <v>1462</v>
      </c>
      <c r="L903" s="9">
        <v>4.032967574252238</v>
      </c>
      <c r="M903" s="9" t="s">
        <v>28</v>
      </c>
      <c r="N903" s="9" t="s">
        <v>29</v>
      </c>
      <c r="O903" s="9">
        <v>41.2</v>
      </c>
      <c r="P903" s="9" t="s">
        <v>30</v>
      </c>
      <c r="Q903" s="9" t="b">
        <v>0</v>
      </c>
      <c r="R903" s="9" t="b">
        <v>0</v>
      </c>
      <c r="S903" s="9" t="b">
        <v>0</v>
      </c>
      <c r="T903" s="9">
        <v>1.73</v>
      </c>
      <c r="U903" s="9">
        <v>1</v>
      </c>
      <c r="V903" s="9" t="b">
        <v>1</v>
      </c>
      <c r="W903" s="9" t="s">
        <v>2890</v>
      </c>
    </row>
    <row r="904" spans="1:23" ht="29" customHeight="1" x14ac:dyDescent="0.2">
      <c r="A904" s="9" t="s">
        <v>2891</v>
      </c>
      <c r="B904" s="10" t="s">
        <v>2892</v>
      </c>
      <c r="C904" s="9" t="s">
        <v>25</v>
      </c>
      <c r="D904" s="9" t="s">
        <v>25</v>
      </c>
      <c r="E904" s="9" t="s">
        <v>2893</v>
      </c>
      <c r="F904" s="9" t="s">
        <v>2894</v>
      </c>
      <c r="G904" s="9">
        <v>37247</v>
      </c>
      <c r="H904" s="9">
        <v>59890</v>
      </c>
      <c r="I904" s="9">
        <v>38</v>
      </c>
      <c r="J904" s="11">
        <v>4</v>
      </c>
      <c r="K904" s="9">
        <v>323</v>
      </c>
      <c r="L904" s="9">
        <v>4.0779437257816218</v>
      </c>
      <c r="M904" s="9" t="s">
        <v>89</v>
      </c>
      <c r="N904" s="9" t="s">
        <v>58</v>
      </c>
      <c r="O904" s="9">
        <v>36.799999999999997</v>
      </c>
      <c r="P904" s="9" t="s">
        <v>40</v>
      </c>
      <c r="Q904" s="9" t="b">
        <v>0</v>
      </c>
      <c r="R904" s="9" t="b">
        <v>0</v>
      </c>
      <c r="S904" s="9" t="b">
        <v>0</v>
      </c>
      <c r="U904" s="9">
        <v>1</v>
      </c>
      <c r="V904" s="9" t="b">
        <v>1</v>
      </c>
      <c r="W904" s="9" t="s">
        <v>2895</v>
      </c>
    </row>
    <row r="905" spans="1:23" ht="29" customHeight="1" x14ac:dyDescent="0.2">
      <c r="A905" s="9" t="s">
        <v>2896</v>
      </c>
      <c r="B905" s="10" t="s">
        <v>2897</v>
      </c>
      <c r="C905" s="9" t="s">
        <v>44</v>
      </c>
      <c r="D905" s="9" t="s">
        <v>44</v>
      </c>
      <c r="E905" s="9" t="s">
        <v>1009</v>
      </c>
      <c r="F905" s="9" t="s">
        <v>1507</v>
      </c>
      <c r="G905" s="9">
        <v>849</v>
      </c>
      <c r="H905" s="9">
        <v>2490</v>
      </c>
      <c r="I905" s="9">
        <v>66</v>
      </c>
      <c r="J905" s="11">
        <v>4.2</v>
      </c>
      <c r="K905" s="9">
        <v>91188</v>
      </c>
      <c r="L905" s="9">
        <v>4.1954285558441597</v>
      </c>
      <c r="M905" s="9" t="s">
        <v>28</v>
      </c>
      <c r="N905" s="9" t="s">
        <v>93</v>
      </c>
      <c r="O905" s="9">
        <v>73.400000000000006</v>
      </c>
      <c r="P905" s="9" t="s">
        <v>36</v>
      </c>
      <c r="Q905" s="9" t="b">
        <v>0</v>
      </c>
      <c r="R905" s="9" t="b">
        <v>0</v>
      </c>
      <c r="S905" s="9" t="b">
        <v>0</v>
      </c>
      <c r="U905" s="9">
        <v>1</v>
      </c>
      <c r="V905" s="9" t="b">
        <v>1</v>
      </c>
      <c r="W905" s="9" t="s">
        <v>2898</v>
      </c>
    </row>
    <row r="906" spans="1:23" ht="29" customHeight="1" x14ac:dyDescent="0.2">
      <c r="A906" s="9" t="s">
        <v>2899</v>
      </c>
      <c r="B906" s="10" t="s">
        <v>2900</v>
      </c>
      <c r="C906" s="9" t="s">
        <v>44</v>
      </c>
      <c r="D906" s="9" t="s">
        <v>44</v>
      </c>
      <c r="E906" s="9" t="s">
        <v>359</v>
      </c>
      <c r="F906" s="9" t="s">
        <v>2132</v>
      </c>
      <c r="G906" s="9">
        <v>799</v>
      </c>
      <c r="H906" s="9">
        <v>1999</v>
      </c>
      <c r="I906" s="9">
        <v>60</v>
      </c>
      <c r="J906" s="11">
        <v>3.7</v>
      </c>
      <c r="K906" s="9">
        <v>418</v>
      </c>
      <c r="L906" s="9">
        <v>4.0461760774263409</v>
      </c>
      <c r="M906" s="9" t="s">
        <v>89</v>
      </c>
      <c r="N906" s="9" t="s">
        <v>93</v>
      </c>
      <c r="O906" s="9">
        <v>45.9</v>
      </c>
      <c r="P906" s="9" t="s">
        <v>30</v>
      </c>
      <c r="Q906" s="9" t="b">
        <v>0</v>
      </c>
      <c r="R906" s="9" t="b">
        <v>0</v>
      </c>
      <c r="S906" s="9" t="b">
        <v>1</v>
      </c>
      <c r="U906" s="9">
        <v>1</v>
      </c>
      <c r="V906" s="9" t="b">
        <v>1</v>
      </c>
      <c r="W906" s="9" t="s">
        <v>2901</v>
      </c>
    </row>
    <row r="907" spans="1:23" ht="29" customHeight="1" x14ac:dyDescent="0.2">
      <c r="A907" s="9" t="s">
        <v>2902</v>
      </c>
      <c r="B907" s="10" t="s">
        <v>2903</v>
      </c>
      <c r="C907" s="9" t="s">
        <v>25</v>
      </c>
      <c r="D907" s="9" t="s">
        <v>25</v>
      </c>
      <c r="E907" s="9" t="s">
        <v>26</v>
      </c>
      <c r="F907" s="9" t="s">
        <v>27</v>
      </c>
      <c r="G907" s="9">
        <v>199</v>
      </c>
      <c r="H907" s="9">
        <v>999</v>
      </c>
      <c r="I907" s="9">
        <v>80</v>
      </c>
      <c r="J907" s="11">
        <v>4.5</v>
      </c>
      <c r="K907" s="9">
        <v>127</v>
      </c>
      <c r="L907" s="9">
        <v>4.0981974782570552</v>
      </c>
      <c r="M907" s="9" t="s">
        <v>89</v>
      </c>
      <c r="N907" s="9" t="s">
        <v>29</v>
      </c>
      <c r="O907" s="9">
        <v>70.099999999999994</v>
      </c>
      <c r="P907" s="9" t="s">
        <v>36</v>
      </c>
      <c r="Q907" s="9" t="b">
        <v>0</v>
      </c>
      <c r="R907" s="9" t="b">
        <v>0</v>
      </c>
      <c r="S907" s="9" t="b">
        <v>0</v>
      </c>
      <c r="T907" s="9">
        <v>0.67</v>
      </c>
      <c r="U907" s="9">
        <v>1</v>
      </c>
      <c r="V907" s="9" t="b">
        <v>1</v>
      </c>
      <c r="W907" s="9" t="s">
        <v>2904</v>
      </c>
    </row>
    <row r="908" spans="1:23" ht="29" customHeight="1" x14ac:dyDescent="0.2">
      <c r="A908" s="9" t="s">
        <v>2905</v>
      </c>
      <c r="B908" s="10" t="s">
        <v>2906</v>
      </c>
      <c r="C908" s="9" t="s">
        <v>25</v>
      </c>
      <c r="D908" s="9" t="s">
        <v>25</v>
      </c>
      <c r="E908" s="9" t="s">
        <v>26</v>
      </c>
      <c r="F908" s="9" t="s">
        <v>2011</v>
      </c>
      <c r="G908" s="9">
        <v>298</v>
      </c>
      <c r="H908" s="9">
        <v>999</v>
      </c>
      <c r="I908" s="9">
        <v>70</v>
      </c>
      <c r="J908" s="11">
        <v>4.3</v>
      </c>
      <c r="K908" s="9">
        <v>1552</v>
      </c>
      <c r="L908" s="9">
        <v>4.1475282889605447</v>
      </c>
      <c r="M908" s="9" t="s">
        <v>28</v>
      </c>
      <c r="N908" s="9" t="s">
        <v>29</v>
      </c>
      <c r="O908" s="9">
        <v>70.2</v>
      </c>
      <c r="P908" s="9" t="s">
        <v>36</v>
      </c>
      <c r="Q908" s="9" t="b">
        <v>0</v>
      </c>
      <c r="R908" s="9" t="b">
        <v>0</v>
      </c>
      <c r="S908" s="9" t="b">
        <v>0</v>
      </c>
      <c r="U908" s="9">
        <v>1</v>
      </c>
      <c r="V908" s="9" t="b">
        <v>1</v>
      </c>
      <c r="W908" s="9" t="s">
        <v>2907</v>
      </c>
    </row>
    <row r="909" spans="1:23" ht="29" customHeight="1" x14ac:dyDescent="0.2">
      <c r="A909" s="9" t="s">
        <v>2908</v>
      </c>
      <c r="B909" s="10" t="s">
        <v>2909</v>
      </c>
      <c r="C909" s="9" t="s">
        <v>44</v>
      </c>
      <c r="D909" s="9" t="s">
        <v>44</v>
      </c>
      <c r="E909" s="9" t="s">
        <v>359</v>
      </c>
      <c r="F909" s="9" t="s">
        <v>2132</v>
      </c>
      <c r="G909" s="9">
        <v>1499</v>
      </c>
      <c r="H909" s="9">
        <v>2999</v>
      </c>
      <c r="I909" s="9">
        <v>50</v>
      </c>
      <c r="J909" s="11">
        <v>4.0999999999999996</v>
      </c>
      <c r="K909" s="9">
        <v>25262</v>
      </c>
      <c r="L909" s="9">
        <v>4.0980082031277298</v>
      </c>
      <c r="M909" s="9" t="s">
        <v>28</v>
      </c>
      <c r="N909" s="9" t="s">
        <v>179</v>
      </c>
      <c r="O909" s="9">
        <v>49.7</v>
      </c>
      <c r="P909" s="9" t="s">
        <v>30</v>
      </c>
      <c r="Q909" s="9" t="b">
        <v>0</v>
      </c>
      <c r="R909" s="9" t="b">
        <v>0</v>
      </c>
      <c r="S909" s="9" t="b">
        <v>0</v>
      </c>
      <c r="U909" s="9">
        <v>1</v>
      </c>
      <c r="V909" s="9" t="b">
        <v>1</v>
      </c>
      <c r="W909" s="9" t="s">
        <v>2910</v>
      </c>
    </row>
    <row r="910" spans="1:23" ht="29" customHeight="1" x14ac:dyDescent="0.2">
      <c r="A910" s="9" t="s">
        <v>2911</v>
      </c>
      <c r="B910" s="10" t="s">
        <v>2912</v>
      </c>
      <c r="C910" s="9" t="s">
        <v>1741</v>
      </c>
      <c r="D910" s="9" t="s">
        <v>1741</v>
      </c>
      <c r="E910" s="9" t="s">
        <v>2913</v>
      </c>
      <c r="F910" s="9" t="s">
        <v>2914</v>
      </c>
      <c r="G910" s="9">
        <v>649</v>
      </c>
      <c r="H910" s="9">
        <v>1245</v>
      </c>
      <c r="I910" s="9">
        <v>48</v>
      </c>
      <c r="J910" s="11">
        <v>3.9</v>
      </c>
      <c r="K910" s="9">
        <v>123365</v>
      </c>
      <c r="L910" s="9">
        <v>3.9054645068272462</v>
      </c>
      <c r="M910" s="9" t="s">
        <v>28</v>
      </c>
      <c r="N910" s="9" t="s">
        <v>93</v>
      </c>
      <c r="O910" s="9">
        <v>32.299999999999997</v>
      </c>
      <c r="P910" s="9" t="s">
        <v>40</v>
      </c>
      <c r="Q910" s="9" t="b">
        <v>0</v>
      </c>
      <c r="R910" s="9" t="b">
        <v>0</v>
      </c>
      <c r="S910" s="9" t="b">
        <v>0</v>
      </c>
      <c r="T910" s="9">
        <v>0.65</v>
      </c>
      <c r="U910" s="9">
        <v>1</v>
      </c>
      <c r="V910" s="9" t="b">
        <v>1</v>
      </c>
      <c r="W910" s="9" t="s">
        <v>2915</v>
      </c>
    </row>
    <row r="911" spans="1:23" ht="29" customHeight="1" x14ac:dyDescent="0.2">
      <c r="A911" s="9" t="s">
        <v>2916</v>
      </c>
      <c r="B911" s="10" t="s">
        <v>2917</v>
      </c>
      <c r="C911" s="9" t="s">
        <v>1741</v>
      </c>
      <c r="D911" s="9" t="s">
        <v>1741</v>
      </c>
      <c r="E911" s="9" t="s">
        <v>2918</v>
      </c>
      <c r="F911" s="9" t="s">
        <v>2919</v>
      </c>
      <c r="G911" s="9">
        <v>1199</v>
      </c>
      <c r="H911" s="9">
        <v>1695</v>
      </c>
      <c r="I911" s="9">
        <v>29</v>
      </c>
      <c r="J911" s="11">
        <v>3.6</v>
      </c>
      <c r="K911" s="9">
        <v>13300</v>
      </c>
      <c r="L911" s="9">
        <v>3.7068682251534542</v>
      </c>
      <c r="M911" s="9" t="s">
        <v>28</v>
      </c>
      <c r="N911" s="9" t="s">
        <v>179</v>
      </c>
      <c r="O911" s="9">
        <v>21.7</v>
      </c>
      <c r="P911" s="9" t="s">
        <v>40</v>
      </c>
      <c r="Q911" s="9" t="b">
        <v>0</v>
      </c>
      <c r="R911" s="9" t="b">
        <v>0</v>
      </c>
      <c r="S911" s="9" t="b">
        <v>1</v>
      </c>
      <c r="T911" s="9">
        <v>0.91</v>
      </c>
      <c r="U911" s="9">
        <v>1</v>
      </c>
      <c r="V911" s="9" t="b">
        <v>1</v>
      </c>
      <c r="W911" s="9" t="s">
        <v>2920</v>
      </c>
    </row>
    <row r="912" spans="1:23" ht="29" customHeight="1" x14ac:dyDescent="0.2">
      <c r="A912" s="9" t="s">
        <v>2921</v>
      </c>
      <c r="B912" s="10" t="s">
        <v>2922</v>
      </c>
      <c r="C912" s="9" t="s">
        <v>1741</v>
      </c>
      <c r="D912" s="9" t="s">
        <v>1741</v>
      </c>
      <c r="E912" s="9" t="s">
        <v>2918</v>
      </c>
      <c r="F912" s="9" t="s">
        <v>2923</v>
      </c>
      <c r="G912" s="9">
        <v>1199</v>
      </c>
      <c r="H912" s="9">
        <v>2000</v>
      </c>
      <c r="I912" s="9">
        <v>40</v>
      </c>
      <c r="J912" s="11">
        <v>4</v>
      </c>
      <c r="K912" s="9">
        <v>18543</v>
      </c>
      <c r="L912" s="9">
        <v>4.0142762588456131</v>
      </c>
      <c r="M912" s="9" t="s">
        <v>28</v>
      </c>
      <c r="N912" s="9" t="s">
        <v>179</v>
      </c>
      <c r="O912" s="9">
        <v>32.799999999999997</v>
      </c>
      <c r="P912" s="9" t="s">
        <v>40</v>
      </c>
      <c r="Q912" s="9" t="b">
        <v>0</v>
      </c>
      <c r="R912" s="9" t="b">
        <v>0</v>
      </c>
      <c r="S912" s="9" t="b">
        <v>0</v>
      </c>
      <c r="T912" s="9">
        <v>1.1100000000000001</v>
      </c>
      <c r="U912" s="9">
        <v>1</v>
      </c>
      <c r="V912" s="9" t="b">
        <v>1</v>
      </c>
      <c r="W912" s="9" t="s">
        <v>2924</v>
      </c>
    </row>
    <row r="913" spans="1:23" ht="29" customHeight="1" x14ac:dyDescent="0.2">
      <c r="A913" s="9" t="s">
        <v>2925</v>
      </c>
      <c r="B913" s="10" t="s">
        <v>2926</v>
      </c>
      <c r="C913" s="9" t="s">
        <v>1741</v>
      </c>
      <c r="D913" s="9" t="s">
        <v>1741</v>
      </c>
      <c r="E913" s="9" t="s">
        <v>2913</v>
      </c>
      <c r="F913" s="9" t="s">
        <v>2927</v>
      </c>
      <c r="G913" s="9">
        <v>455</v>
      </c>
      <c r="H913" s="9">
        <v>999</v>
      </c>
      <c r="I913" s="9">
        <v>54</v>
      </c>
      <c r="J913" s="11">
        <v>4.0999999999999996</v>
      </c>
      <c r="K913" s="9">
        <v>3578</v>
      </c>
      <c r="L913" s="9">
        <v>4.0921243909380571</v>
      </c>
      <c r="M913" s="9" t="s">
        <v>28</v>
      </c>
      <c r="N913" s="9" t="s">
        <v>29</v>
      </c>
      <c r="O913" s="9">
        <v>57.7</v>
      </c>
      <c r="P913" s="9" t="s">
        <v>53</v>
      </c>
      <c r="Q913" s="9" t="b">
        <v>0</v>
      </c>
      <c r="R913" s="9" t="b">
        <v>0</v>
      </c>
      <c r="S913" s="9" t="b">
        <v>0</v>
      </c>
      <c r="T913" s="9">
        <v>1.01</v>
      </c>
      <c r="U913" s="9">
        <v>1</v>
      </c>
      <c r="V913" s="9" t="b">
        <v>1</v>
      </c>
      <c r="W913" s="9" t="s">
        <v>2928</v>
      </c>
    </row>
    <row r="914" spans="1:23" ht="29" customHeight="1" x14ac:dyDescent="0.2">
      <c r="A914" s="9" t="s">
        <v>2929</v>
      </c>
      <c r="B914" s="10" t="s">
        <v>2930</v>
      </c>
      <c r="C914" s="9" t="s">
        <v>1741</v>
      </c>
      <c r="D914" s="9" t="s">
        <v>1741</v>
      </c>
      <c r="E914" s="9" t="s">
        <v>2913</v>
      </c>
      <c r="F914" s="9" t="s">
        <v>2931</v>
      </c>
      <c r="G914" s="9">
        <v>199</v>
      </c>
      <c r="H914" s="9">
        <v>1999</v>
      </c>
      <c r="I914" s="9">
        <v>90</v>
      </c>
      <c r="J914" s="11">
        <v>3.7</v>
      </c>
      <c r="K914" s="9">
        <v>2031</v>
      </c>
      <c r="L914" s="9">
        <v>3.9497953036473321</v>
      </c>
      <c r="M914" s="9" t="s">
        <v>28</v>
      </c>
      <c r="N914" s="9" t="s">
        <v>29</v>
      </c>
      <c r="O914" s="9">
        <v>53.6</v>
      </c>
      <c r="P914" s="9" t="s">
        <v>53</v>
      </c>
      <c r="Q914" s="9" t="b">
        <v>0</v>
      </c>
      <c r="R914" s="9" t="b">
        <v>0</v>
      </c>
      <c r="S914" s="9" t="b">
        <v>1</v>
      </c>
      <c r="T914" s="9">
        <v>0.41</v>
      </c>
      <c r="U914" s="9">
        <v>1</v>
      </c>
      <c r="V914" s="9" t="b">
        <v>1</v>
      </c>
      <c r="W914" s="9" t="s">
        <v>2932</v>
      </c>
    </row>
    <row r="915" spans="1:23" ht="29" customHeight="1" x14ac:dyDescent="0.2">
      <c r="A915" s="9" t="s">
        <v>2933</v>
      </c>
      <c r="B915" s="10" t="s">
        <v>2934</v>
      </c>
      <c r="C915" s="9" t="s">
        <v>1741</v>
      </c>
      <c r="D915" s="9" t="s">
        <v>1741</v>
      </c>
      <c r="E915" s="9" t="s">
        <v>2913</v>
      </c>
      <c r="F915" s="9" t="s">
        <v>2931</v>
      </c>
      <c r="G915" s="9">
        <v>293</v>
      </c>
      <c r="H915" s="9">
        <v>499</v>
      </c>
      <c r="I915" s="9">
        <v>41</v>
      </c>
      <c r="J915" s="11">
        <v>3.9</v>
      </c>
      <c r="K915" s="9">
        <v>44994</v>
      </c>
      <c r="L915" s="9">
        <v>3.9142481328988099</v>
      </c>
      <c r="M915" s="9" t="s">
        <v>28</v>
      </c>
      <c r="N915" s="9" t="s">
        <v>29</v>
      </c>
      <c r="O915" s="9">
        <v>32.700000000000003</v>
      </c>
      <c r="P915" s="9" t="s">
        <v>40</v>
      </c>
      <c r="Q915" s="9" t="b">
        <v>0</v>
      </c>
      <c r="R915" s="9" t="b">
        <v>0</v>
      </c>
      <c r="S915" s="9" t="b">
        <v>0</v>
      </c>
      <c r="T915" s="9">
        <v>0.6</v>
      </c>
      <c r="U915" s="9">
        <v>1</v>
      </c>
      <c r="V915" s="9" t="b">
        <v>1</v>
      </c>
      <c r="W915" s="9" t="s">
        <v>2935</v>
      </c>
    </row>
    <row r="916" spans="1:23" ht="29" customHeight="1" x14ac:dyDescent="0.2">
      <c r="A916" s="9" t="s">
        <v>2936</v>
      </c>
      <c r="B916" s="10" t="s">
        <v>2937</v>
      </c>
      <c r="C916" s="9" t="s">
        <v>1741</v>
      </c>
      <c r="D916" s="9" t="s">
        <v>1741</v>
      </c>
      <c r="E916" s="9" t="s">
        <v>2938</v>
      </c>
      <c r="F916" s="9" t="s">
        <v>2939</v>
      </c>
      <c r="G916" s="9">
        <v>199</v>
      </c>
      <c r="H916" s="9">
        <v>495</v>
      </c>
      <c r="I916" s="9">
        <v>60</v>
      </c>
      <c r="J916" s="11">
        <v>4.0999999999999996</v>
      </c>
      <c r="K916" s="9">
        <v>270563</v>
      </c>
      <c r="L916" s="9">
        <v>4.0997892616314591</v>
      </c>
      <c r="M916" s="9" t="s">
        <v>28</v>
      </c>
      <c r="N916" s="9" t="s">
        <v>29</v>
      </c>
      <c r="O916" s="9">
        <v>59.5</v>
      </c>
      <c r="P916" s="9" t="s">
        <v>53</v>
      </c>
      <c r="Q916" s="9" t="b">
        <v>0</v>
      </c>
      <c r="R916" s="9" t="b">
        <v>0</v>
      </c>
      <c r="S916" s="9" t="b">
        <v>0</v>
      </c>
      <c r="U916" s="9">
        <v>1</v>
      </c>
      <c r="V916" s="9" t="b">
        <v>1</v>
      </c>
      <c r="W916" s="9" t="s">
        <v>2940</v>
      </c>
    </row>
    <row r="917" spans="1:23" ht="29" customHeight="1" x14ac:dyDescent="0.2">
      <c r="A917" s="9" t="s">
        <v>2941</v>
      </c>
      <c r="B917" s="10" t="s">
        <v>2942</v>
      </c>
      <c r="C917" s="9" t="s">
        <v>1741</v>
      </c>
      <c r="D917" s="9" t="s">
        <v>1741</v>
      </c>
      <c r="E917" s="9" t="s">
        <v>2913</v>
      </c>
      <c r="F917" s="9" t="s">
        <v>2914</v>
      </c>
      <c r="G917" s="9">
        <v>749</v>
      </c>
      <c r="H917" s="9">
        <v>1245</v>
      </c>
      <c r="I917" s="9">
        <v>40</v>
      </c>
      <c r="J917" s="11">
        <v>3.9</v>
      </c>
      <c r="K917" s="9">
        <v>31783</v>
      </c>
      <c r="L917" s="9">
        <v>3.9195436578942711</v>
      </c>
      <c r="M917" s="9" t="s">
        <v>28</v>
      </c>
      <c r="N917" s="9" t="s">
        <v>93</v>
      </c>
      <c r="O917" s="9">
        <v>28.1</v>
      </c>
      <c r="P917" s="9" t="s">
        <v>40</v>
      </c>
      <c r="Q917" s="9" t="b">
        <v>0</v>
      </c>
      <c r="R917" s="9" t="b">
        <v>0</v>
      </c>
      <c r="S917" s="9" t="b">
        <v>0</v>
      </c>
      <c r="T917" s="9">
        <v>0.75</v>
      </c>
      <c r="U917" s="9">
        <v>1</v>
      </c>
      <c r="V917" s="9" t="b">
        <v>1</v>
      </c>
      <c r="W917" s="9" t="s">
        <v>2943</v>
      </c>
    </row>
    <row r="918" spans="1:23" ht="29" customHeight="1" x14ac:dyDescent="0.2">
      <c r="A918" s="9" t="s">
        <v>2944</v>
      </c>
      <c r="B918" s="10" t="s">
        <v>2945</v>
      </c>
      <c r="C918" s="9" t="s">
        <v>1741</v>
      </c>
      <c r="D918" s="9" t="s">
        <v>1741</v>
      </c>
      <c r="E918" s="9" t="s">
        <v>2918</v>
      </c>
      <c r="F918" s="9" t="s">
        <v>2919</v>
      </c>
      <c r="G918" s="9">
        <v>1399</v>
      </c>
      <c r="H918" s="9">
        <v>1549</v>
      </c>
      <c r="I918" s="9">
        <v>10</v>
      </c>
      <c r="J918" s="11">
        <v>3.9</v>
      </c>
      <c r="K918" s="9">
        <v>2602</v>
      </c>
      <c r="L918" s="9">
        <v>4.0091506153948959</v>
      </c>
      <c r="M918" s="9" t="s">
        <v>28</v>
      </c>
      <c r="N918" s="9" t="s">
        <v>179</v>
      </c>
      <c r="O918" s="9">
        <v>22.1</v>
      </c>
      <c r="P918" s="9" t="s">
        <v>40</v>
      </c>
      <c r="Q918" s="9" t="b">
        <v>0</v>
      </c>
      <c r="R918" s="9" t="b">
        <v>0</v>
      </c>
      <c r="S918" s="9" t="b">
        <v>0</v>
      </c>
      <c r="T918" s="9">
        <v>1.06</v>
      </c>
      <c r="U918" s="9">
        <v>1</v>
      </c>
      <c r="V918" s="9" t="b">
        <v>1</v>
      </c>
      <c r="W918" s="9" t="s">
        <v>2946</v>
      </c>
    </row>
    <row r="919" spans="1:23" ht="29" customHeight="1" x14ac:dyDescent="0.2">
      <c r="A919" s="9" t="s">
        <v>2947</v>
      </c>
      <c r="B919" s="10" t="s">
        <v>2948</v>
      </c>
      <c r="C919" s="9" t="s">
        <v>1741</v>
      </c>
      <c r="D919" s="9" t="s">
        <v>1741</v>
      </c>
      <c r="E919" s="9" t="s">
        <v>2913</v>
      </c>
      <c r="F919" s="9" t="s">
        <v>2914</v>
      </c>
      <c r="G919" s="9">
        <v>749</v>
      </c>
      <c r="H919" s="9">
        <v>1445</v>
      </c>
      <c r="I919" s="9">
        <v>48</v>
      </c>
      <c r="J919" s="11">
        <v>3.9</v>
      </c>
      <c r="K919" s="9">
        <v>63350</v>
      </c>
      <c r="L919" s="9">
        <v>3.9103511133049862</v>
      </c>
      <c r="M919" s="9" t="s">
        <v>28</v>
      </c>
      <c r="N919" s="9" t="s">
        <v>93</v>
      </c>
      <c r="O919" s="9">
        <v>31.5</v>
      </c>
      <c r="P919" s="9" t="s">
        <v>40</v>
      </c>
      <c r="Q919" s="9" t="b">
        <v>0</v>
      </c>
      <c r="R919" s="9" t="b">
        <v>0</v>
      </c>
      <c r="S919" s="9" t="b">
        <v>0</v>
      </c>
      <c r="T919" s="9">
        <v>0.75</v>
      </c>
      <c r="U919" s="9">
        <v>1</v>
      </c>
      <c r="V919" s="9" t="b">
        <v>1</v>
      </c>
      <c r="W919" s="9" t="s">
        <v>2949</v>
      </c>
    </row>
    <row r="920" spans="1:23" ht="29" customHeight="1" x14ac:dyDescent="0.2">
      <c r="A920" s="9" t="s">
        <v>2950</v>
      </c>
      <c r="B920" s="10" t="s">
        <v>2951</v>
      </c>
      <c r="C920" s="9" t="s">
        <v>1741</v>
      </c>
      <c r="D920" s="9" t="s">
        <v>1741</v>
      </c>
      <c r="E920" s="9" t="s">
        <v>2913</v>
      </c>
      <c r="F920" s="9" t="s">
        <v>2952</v>
      </c>
      <c r="G920" s="9">
        <v>1699</v>
      </c>
      <c r="H920" s="9">
        <v>3193</v>
      </c>
      <c r="I920" s="9">
        <v>47</v>
      </c>
      <c r="J920" s="11">
        <v>3.8</v>
      </c>
      <c r="K920" s="9">
        <v>54032</v>
      </c>
      <c r="L920" s="9">
        <v>3.818530121234387</v>
      </c>
      <c r="M920" s="9" t="s">
        <v>28</v>
      </c>
      <c r="N920" s="9" t="s">
        <v>179</v>
      </c>
      <c r="O920" s="9">
        <v>22.9</v>
      </c>
      <c r="P920" s="9" t="s">
        <v>40</v>
      </c>
      <c r="Q920" s="9" t="b">
        <v>0</v>
      </c>
      <c r="R920" s="9" t="b">
        <v>0</v>
      </c>
      <c r="S920" s="9" t="b">
        <v>1</v>
      </c>
      <c r="T920" s="9">
        <v>0.83</v>
      </c>
      <c r="U920" s="9">
        <v>1</v>
      </c>
      <c r="V920" s="9" t="b">
        <v>1</v>
      </c>
      <c r="W920" s="9" t="s">
        <v>2953</v>
      </c>
    </row>
    <row r="921" spans="1:23" ht="29" customHeight="1" x14ac:dyDescent="0.2">
      <c r="A921" s="9" t="s">
        <v>2954</v>
      </c>
      <c r="B921" s="10" t="s">
        <v>2955</v>
      </c>
      <c r="C921" s="9" t="s">
        <v>1741</v>
      </c>
      <c r="D921" s="9" t="s">
        <v>1741</v>
      </c>
      <c r="E921" s="9" t="s">
        <v>2913</v>
      </c>
      <c r="F921" s="9" t="s">
        <v>2914</v>
      </c>
      <c r="G921" s="9">
        <v>1043</v>
      </c>
      <c r="H921" s="9">
        <v>1345</v>
      </c>
      <c r="I921" s="9">
        <v>22</v>
      </c>
      <c r="J921" s="11">
        <v>3.8</v>
      </c>
      <c r="K921" s="9">
        <v>15592</v>
      </c>
      <c r="L921" s="9">
        <v>3.855332821394549</v>
      </c>
      <c r="M921" s="9" t="s">
        <v>28</v>
      </c>
      <c r="N921" s="9" t="s">
        <v>179</v>
      </c>
      <c r="O921" s="9">
        <v>17.7</v>
      </c>
      <c r="P921" s="9" t="s">
        <v>40</v>
      </c>
      <c r="Q921" s="9" t="b">
        <v>0</v>
      </c>
      <c r="R921" s="9" t="b">
        <v>0</v>
      </c>
      <c r="S921" s="9" t="b">
        <v>1</v>
      </c>
      <c r="T921" s="9">
        <v>1.04</v>
      </c>
      <c r="U921" s="9">
        <v>1</v>
      </c>
      <c r="V921" s="9" t="b">
        <v>1</v>
      </c>
      <c r="W921" s="9" t="s">
        <v>2956</v>
      </c>
    </row>
    <row r="922" spans="1:23" ht="29" customHeight="1" x14ac:dyDescent="0.2">
      <c r="A922" s="9" t="s">
        <v>2957</v>
      </c>
      <c r="B922" s="10" t="s">
        <v>2958</v>
      </c>
      <c r="C922" s="9" t="s">
        <v>1741</v>
      </c>
      <c r="D922" s="9" t="s">
        <v>1741</v>
      </c>
      <c r="E922" s="9" t="s">
        <v>2913</v>
      </c>
      <c r="F922" s="9" t="s">
        <v>2927</v>
      </c>
      <c r="G922" s="9">
        <v>499</v>
      </c>
      <c r="H922" s="9">
        <v>999</v>
      </c>
      <c r="I922" s="9">
        <v>50</v>
      </c>
      <c r="J922" s="11">
        <v>4.0999999999999996</v>
      </c>
      <c r="K922" s="9">
        <v>4859</v>
      </c>
      <c r="L922" s="9">
        <v>4.0932945649458699</v>
      </c>
      <c r="M922" s="9" t="s">
        <v>28</v>
      </c>
      <c r="N922" s="9" t="s">
        <v>29</v>
      </c>
      <c r="O922" s="9">
        <v>55.9</v>
      </c>
      <c r="P922" s="9" t="s">
        <v>53</v>
      </c>
      <c r="Q922" s="9" t="b">
        <v>0</v>
      </c>
      <c r="R922" s="9" t="b">
        <v>0</v>
      </c>
      <c r="S922" s="9" t="b">
        <v>0</v>
      </c>
      <c r="T922" s="9">
        <v>1.1100000000000001</v>
      </c>
      <c r="U922" s="9">
        <v>1</v>
      </c>
      <c r="V922" s="9" t="b">
        <v>1</v>
      </c>
      <c r="W922" s="9" t="s">
        <v>2959</v>
      </c>
    </row>
    <row r="923" spans="1:23" ht="29" customHeight="1" x14ac:dyDescent="0.2">
      <c r="A923" s="9" t="s">
        <v>2960</v>
      </c>
      <c r="B923" s="10" t="s">
        <v>2961</v>
      </c>
      <c r="C923" s="9" t="s">
        <v>1741</v>
      </c>
      <c r="D923" s="9" t="s">
        <v>1741</v>
      </c>
      <c r="E923" s="9" t="s">
        <v>2918</v>
      </c>
      <c r="F923" s="9" t="s">
        <v>2923</v>
      </c>
      <c r="G923" s="9">
        <v>1464</v>
      </c>
      <c r="H923" s="9">
        <v>1650</v>
      </c>
      <c r="I923" s="9">
        <v>11</v>
      </c>
      <c r="J923" s="11">
        <v>4.0999999999999996</v>
      </c>
      <c r="K923" s="9">
        <v>14120</v>
      </c>
      <c r="L923" s="9">
        <v>4.0967671797388956</v>
      </c>
      <c r="M923" s="9" t="s">
        <v>28</v>
      </c>
      <c r="N923" s="9" t="s">
        <v>179</v>
      </c>
      <c r="O923" s="9">
        <v>40.1</v>
      </c>
      <c r="P923" s="9" t="s">
        <v>30</v>
      </c>
      <c r="Q923" s="9" t="b">
        <v>0</v>
      </c>
      <c r="R923" s="9" t="b">
        <v>0</v>
      </c>
      <c r="S923" s="9" t="b">
        <v>0</v>
      </c>
      <c r="T923" s="9">
        <v>1.36</v>
      </c>
      <c r="U923" s="9">
        <v>1</v>
      </c>
      <c r="V923" s="9" t="b">
        <v>1</v>
      </c>
      <c r="W923" s="9" t="s">
        <v>2962</v>
      </c>
    </row>
    <row r="924" spans="1:23" ht="29" customHeight="1" x14ac:dyDescent="0.2">
      <c r="A924" s="9" t="s">
        <v>2963</v>
      </c>
      <c r="B924" s="10" t="s">
        <v>2964</v>
      </c>
      <c r="C924" s="9" t="s">
        <v>1741</v>
      </c>
      <c r="D924" s="9" t="s">
        <v>1741</v>
      </c>
      <c r="E924" s="9" t="s">
        <v>2913</v>
      </c>
      <c r="F924" s="9" t="s">
        <v>2965</v>
      </c>
      <c r="G924" s="9">
        <v>249</v>
      </c>
      <c r="H924" s="9">
        <v>499</v>
      </c>
      <c r="I924" s="9">
        <v>50</v>
      </c>
      <c r="J924" s="11">
        <v>3.3</v>
      </c>
      <c r="K924" s="9">
        <v>8427</v>
      </c>
      <c r="L924" s="9">
        <v>3.5421911556405772</v>
      </c>
      <c r="M924" s="9" t="s">
        <v>28</v>
      </c>
      <c r="N924" s="9" t="s">
        <v>29</v>
      </c>
      <c r="O924" s="9">
        <v>34.5</v>
      </c>
      <c r="P924" s="9" t="s">
        <v>40</v>
      </c>
      <c r="Q924" s="9" t="b">
        <v>0</v>
      </c>
      <c r="R924" s="9" t="b">
        <v>0</v>
      </c>
      <c r="S924" s="9" t="b">
        <v>1</v>
      </c>
      <c r="T924" s="9">
        <v>0.36</v>
      </c>
      <c r="U924" s="9">
        <v>1</v>
      </c>
      <c r="V924" s="9" t="b">
        <v>1</v>
      </c>
      <c r="W924" s="9" t="s">
        <v>2966</v>
      </c>
    </row>
    <row r="925" spans="1:23" ht="29" customHeight="1" x14ac:dyDescent="0.2">
      <c r="A925" s="9" t="s">
        <v>2967</v>
      </c>
      <c r="B925" s="10" t="s">
        <v>2968</v>
      </c>
      <c r="C925" s="9" t="s">
        <v>1741</v>
      </c>
      <c r="D925" s="9" t="s">
        <v>1741</v>
      </c>
      <c r="E925" s="9" t="s">
        <v>2913</v>
      </c>
      <c r="F925" s="9" t="s">
        <v>2969</v>
      </c>
      <c r="G925" s="9">
        <v>625</v>
      </c>
      <c r="H925" s="9">
        <v>1400</v>
      </c>
      <c r="I925" s="9">
        <v>55</v>
      </c>
      <c r="J925" s="11">
        <v>4.2</v>
      </c>
      <c r="K925" s="9">
        <v>23316</v>
      </c>
      <c r="L925" s="9">
        <v>4.1839702750034462</v>
      </c>
      <c r="M925" s="9" t="s">
        <v>28</v>
      </c>
      <c r="N925" s="9" t="s">
        <v>93</v>
      </c>
      <c r="O925" s="9">
        <v>70.400000000000006</v>
      </c>
      <c r="P925" s="9" t="s">
        <v>36</v>
      </c>
      <c r="Q925" s="9" t="b">
        <v>0</v>
      </c>
      <c r="R925" s="9" t="b">
        <v>0</v>
      </c>
      <c r="S925" s="9" t="b">
        <v>0</v>
      </c>
      <c r="T925" s="9">
        <v>0.92</v>
      </c>
      <c r="U925" s="9">
        <v>1</v>
      </c>
      <c r="V925" s="9" t="b">
        <v>1</v>
      </c>
      <c r="W925" s="9" t="s">
        <v>2970</v>
      </c>
    </row>
    <row r="926" spans="1:23" ht="29" customHeight="1" x14ac:dyDescent="0.2">
      <c r="A926" s="9" t="s">
        <v>2971</v>
      </c>
      <c r="B926" s="10" t="s">
        <v>2972</v>
      </c>
      <c r="C926" s="9" t="s">
        <v>1741</v>
      </c>
      <c r="D926" s="9" t="s">
        <v>1741</v>
      </c>
      <c r="E926" s="9" t="s">
        <v>2913</v>
      </c>
      <c r="F926" s="9" t="s">
        <v>2973</v>
      </c>
      <c r="G926" s="9">
        <v>1290</v>
      </c>
      <c r="H926" s="9">
        <v>2500</v>
      </c>
      <c r="I926" s="9">
        <v>48</v>
      </c>
      <c r="J926" s="11">
        <v>4</v>
      </c>
      <c r="K926" s="9">
        <v>6530</v>
      </c>
      <c r="L926" s="9">
        <v>4.0309389450260689</v>
      </c>
      <c r="M926" s="9" t="s">
        <v>28</v>
      </c>
      <c r="N926" s="9" t="s">
        <v>179</v>
      </c>
      <c r="O926" s="9">
        <v>34.5</v>
      </c>
      <c r="P926" s="9" t="s">
        <v>40</v>
      </c>
      <c r="Q926" s="9" t="b">
        <v>0</v>
      </c>
      <c r="R926" s="9" t="b">
        <v>0</v>
      </c>
      <c r="S926" s="9" t="b">
        <v>0</v>
      </c>
      <c r="T926" s="9">
        <v>0.44</v>
      </c>
      <c r="U926" s="9">
        <v>1</v>
      </c>
      <c r="V926" s="9" t="b">
        <v>1</v>
      </c>
      <c r="W926" s="9" t="s">
        <v>2974</v>
      </c>
    </row>
    <row r="927" spans="1:23" ht="29" customHeight="1" x14ac:dyDescent="0.2">
      <c r="A927" s="9" t="s">
        <v>2975</v>
      </c>
      <c r="B927" s="10" t="s">
        <v>2976</v>
      </c>
      <c r="C927" s="9" t="s">
        <v>1741</v>
      </c>
      <c r="D927" s="9" t="s">
        <v>1741</v>
      </c>
      <c r="E927" s="9" t="s">
        <v>2918</v>
      </c>
      <c r="F927" s="9" t="s">
        <v>2977</v>
      </c>
      <c r="G927" s="9">
        <v>3600</v>
      </c>
      <c r="H927" s="9">
        <v>6190</v>
      </c>
      <c r="I927" s="9">
        <v>42</v>
      </c>
      <c r="J927" s="11">
        <v>4.3</v>
      </c>
      <c r="K927" s="9">
        <v>11924</v>
      </c>
      <c r="L927" s="9">
        <v>4.2483434221579586</v>
      </c>
      <c r="M927" s="9" t="s">
        <v>28</v>
      </c>
      <c r="N927" s="9" t="s">
        <v>144</v>
      </c>
      <c r="O927" s="9">
        <v>59.9</v>
      </c>
      <c r="P927" s="9" t="s">
        <v>53</v>
      </c>
      <c r="Q927" s="9" t="b">
        <v>0</v>
      </c>
      <c r="R927" s="9" t="b">
        <v>0</v>
      </c>
      <c r="S927" s="9" t="b">
        <v>0</v>
      </c>
      <c r="T927" s="9">
        <v>1.39</v>
      </c>
      <c r="U927" s="9">
        <v>1</v>
      </c>
      <c r="V927" s="9" t="b">
        <v>1</v>
      </c>
      <c r="W927" s="9" t="s">
        <v>2978</v>
      </c>
    </row>
    <row r="928" spans="1:23" ht="29" customHeight="1" x14ac:dyDescent="0.2">
      <c r="A928" s="9" t="s">
        <v>2979</v>
      </c>
      <c r="B928" s="10" t="s">
        <v>2980</v>
      </c>
      <c r="C928" s="9" t="s">
        <v>1741</v>
      </c>
      <c r="D928" s="9" t="s">
        <v>1741</v>
      </c>
      <c r="E928" s="9" t="s">
        <v>2918</v>
      </c>
      <c r="F928" s="9" t="s">
        <v>2981</v>
      </c>
      <c r="G928" s="9">
        <v>6549</v>
      </c>
      <c r="H928" s="9">
        <v>13999</v>
      </c>
      <c r="I928" s="9">
        <v>53</v>
      </c>
      <c r="J928" s="11">
        <v>4</v>
      </c>
      <c r="K928" s="9">
        <v>2961</v>
      </c>
      <c r="L928" s="9">
        <v>4.047362101833988</v>
      </c>
      <c r="M928" s="9" t="s">
        <v>28</v>
      </c>
      <c r="N928" s="9" t="s">
        <v>144</v>
      </c>
      <c r="O928" s="9">
        <v>33.9</v>
      </c>
      <c r="P928" s="9" t="s">
        <v>40</v>
      </c>
      <c r="Q928" s="9" t="b">
        <v>0</v>
      </c>
      <c r="R928" s="9" t="b">
        <v>0</v>
      </c>
      <c r="S928" s="9" t="b">
        <v>0</v>
      </c>
      <c r="U928" s="9">
        <v>1</v>
      </c>
      <c r="V928" s="9" t="b">
        <v>1</v>
      </c>
      <c r="W928" s="9" t="s">
        <v>2982</v>
      </c>
    </row>
    <row r="929" spans="1:23" ht="29" customHeight="1" x14ac:dyDescent="0.2">
      <c r="A929" s="9" t="s">
        <v>2983</v>
      </c>
      <c r="B929" s="10" t="s">
        <v>2984</v>
      </c>
      <c r="C929" s="9" t="s">
        <v>1741</v>
      </c>
      <c r="D929" s="9" t="s">
        <v>1741</v>
      </c>
      <c r="E929" s="9" t="s">
        <v>2913</v>
      </c>
      <c r="F929" s="9" t="s">
        <v>2914</v>
      </c>
      <c r="G929" s="9">
        <v>1625</v>
      </c>
      <c r="H929" s="9">
        <v>2995</v>
      </c>
      <c r="I929" s="9">
        <v>46</v>
      </c>
      <c r="J929" s="11">
        <v>4.5</v>
      </c>
      <c r="K929" s="9">
        <v>23484</v>
      </c>
      <c r="L929" s="9">
        <v>4.442641773867499</v>
      </c>
      <c r="M929" s="9" t="s">
        <v>28</v>
      </c>
      <c r="N929" s="9" t="s">
        <v>179</v>
      </c>
      <c r="O929" s="9">
        <v>70.3</v>
      </c>
      <c r="P929" s="9" t="s">
        <v>36</v>
      </c>
      <c r="Q929" s="9" t="b">
        <v>0</v>
      </c>
      <c r="R929" s="9" t="b">
        <v>0</v>
      </c>
      <c r="S929" s="9" t="b">
        <v>0</v>
      </c>
      <c r="T929" s="9">
        <v>1.63</v>
      </c>
      <c r="U929" s="9">
        <v>1</v>
      </c>
      <c r="V929" s="9" t="b">
        <v>1</v>
      </c>
      <c r="W929" s="9" t="s">
        <v>2985</v>
      </c>
    </row>
    <row r="930" spans="1:23" ht="29" customHeight="1" x14ac:dyDescent="0.2">
      <c r="A930" s="9" t="s">
        <v>2986</v>
      </c>
      <c r="B930" s="10" t="s">
        <v>2987</v>
      </c>
      <c r="C930" s="9" t="s">
        <v>1741</v>
      </c>
      <c r="D930" s="9" t="s">
        <v>1741</v>
      </c>
      <c r="E930" s="9" t="s">
        <v>2918</v>
      </c>
      <c r="F930" s="9" t="s">
        <v>2977</v>
      </c>
      <c r="G930" s="9">
        <v>2599</v>
      </c>
      <c r="H930" s="9">
        <v>5890</v>
      </c>
      <c r="I930" s="9">
        <v>56</v>
      </c>
      <c r="J930" s="11">
        <v>4.0999999999999996</v>
      </c>
      <c r="K930" s="9">
        <v>21783</v>
      </c>
      <c r="L930" s="9">
        <v>4.0977369435587798</v>
      </c>
      <c r="M930" s="9" t="s">
        <v>28</v>
      </c>
      <c r="N930" s="9" t="s">
        <v>144</v>
      </c>
      <c r="O930" s="9">
        <v>53.2</v>
      </c>
      <c r="P930" s="9" t="s">
        <v>53</v>
      </c>
      <c r="Q930" s="9" t="b">
        <v>0</v>
      </c>
      <c r="R930" s="9" t="b">
        <v>0</v>
      </c>
      <c r="S930" s="9" t="b">
        <v>0</v>
      </c>
      <c r="T930" s="9">
        <v>1</v>
      </c>
      <c r="U930" s="9">
        <v>1</v>
      </c>
      <c r="V930" s="9" t="b">
        <v>1</v>
      </c>
      <c r="W930" s="9" t="s">
        <v>2988</v>
      </c>
    </row>
    <row r="931" spans="1:23" ht="29" customHeight="1" x14ac:dyDescent="0.2">
      <c r="A931" s="9" t="s">
        <v>2989</v>
      </c>
      <c r="B931" s="10" t="s">
        <v>2990</v>
      </c>
      <c r="C931" s="9" t="s">
        <v>1741</v>
      </c>
      <c r="D931" s="9" t="s">
        <v>1741</v>
      </c>
      <c r="E931" s="9" t="s">
        <v>2913</v>
      </c>
      <c r="F931" s="9" t="s">
        <v>2991</v>
      </c>
      <c r="G931" s="9">
        <v>1199</v>
      </c>
      <c r="H931" s="9">
        <v>2000</v>
      </c>
      <c r="I931" s="9">
        <v>40</v>
      </c>
      <c r="J931" s="11">
        <v>4</v>
      </c>
      <c r="K931" s="9">
        <v>14030</v>
      </c>
      <c r="L931" s="9">
        <v>4.0178973776411864</v>
      </c>
      <c r="M931" s="9" t="s">
        <v>28</v>
      </c>
      <c r="N931" s="9" t="s">
        <v>179</v>
      </c>
      <c r="O931" s="9">
        <v>29.6</v>
      </c>
      <c r="P931" s="9" t="s">
        <v>40</v>
      </c>
      <c r="Q931" s="9" t="b">
        <v>0</v>
      </c>
      <c r="R931" s="9" t="b">
        <v>0</v>
      </c>
      <c r="S931" s="9" t="b">
        <v>0</v>
      </c>
      <c r="T931" s="9">
        <v>1.01</v>
      </c>
      <c r="U931" s="9">
        <v>1</v>
      </c>
      <c r="V931" s="9" t="b">
        <v>1</v>
      </c>
      <c r="W931" s="9" t="s">
        <v>2992</v>
      </c>
    </row>
    <row r="932" spans="1:23" ht="29" customHeight="1" x14ac:dyDescent="0.2">
      <c r="A932" s="9" t="s">
        <v>2993</v>
      </c>
      <c r="B932" s="10" t="s">
        <v>2994</v>
      </c>
      <c r="C932" s="9" t="s">
        <v>1741</v>
      </c>
      <c r="D932" s="9" t="s">
        <v>1741</v>
      </c>
      <c r="E932" s="9" t="s">
        <v>2918</v>
      </c>
      <c r="F932" s="9" t="s">
        <v>2995</v>
      </c>
      <c r="G932" s="9">
        <v>5499</v>
      </c>
      <c r="H932" s="9">
        <v>13150</v>
      </c>
      <c r="I932" s="9">
        <v>58</v>
      </c>
      <c r="J932" s="11">
        <v>4.2</v>
      </c>
      <c r="K932" s="9">
        <v>6398</v>
      </c>
      <c r="L932" s="9">
        <v>4.1572795720368898</v>
      </c>
      <c r="M932" s="9" t="s">
        <v>28</v>
      </c>
      <c r="N932" s="9" t="s">
        <v>144</v>
      </c>
      <c r="O932" s="9">
        <v>57.9</v>
      </c>
      <c r="P932" s="9" t="s">
        <v>53</v>
      </c>
      <c r="Q932" s="9" t="b">
        <v>0</v>
      </c>
      <c r="R932" s="9" t="b">
        <v>0</v>
      </c>
      <c r="S932" s="9" t="b">
        <v>0</v>
      </c>
      <c r="T932" s="9">
        <v>0.86</v>
      </c>
      <c r="U932" s="9">
        <v>1</v>
      </c>
      <c r="V932" s="9" t="b">
        <v>1</v>
      </c>
      <c r="W932" s="9" t="s">
        <v>2996</v>
      </c>
    </row>
    <row r="933" spans="1:23" ht="29" customHeight="1" x14ac:dyDescent="0.2">
      <c r="A933" s="9" t="s">
        <v>2997</v>
      </c>
      <c r="B933" s="10" t="s">
        <v>2998</v>
      </c>
      <c r="C933" s="9" t="s">
        <v>1741</v>
      </c>
      <c r="D933" s="9" t="s">
        <v>1741</v>
      </c>
      <c r="E933" s="9" t="s">
        <v>2913</v>
      </c>
      <c r="F933" s="9" t="s">
        <v>2973</v>
      </c>
      <c r="G933" s="9">
        <v>1299</v>
      </c>
      <c r="H933" s="9">
        <v>3500</v>
      </c>
      <c r="I933" s="9">
        <v>63</v>
      </c>
      <c r="J933" s="11">
        <v>3.8</v>
      </c>
      <c r="K933" s="9">
        <v>44050</v>
      </c>
      <c r="L933" s="9">
        <v>3.8223987261005141</v>
      </c>
      <c r="M933" s="9" t="s">
        <v>28</v>
      </c>
      <c r="N933" s="9" t="s">
        <v>179</v>
      </c>
      <c r="O933" s="9">
        <v>33.5</v>
      </c>
      <c r="P933" s="9" t="s">
        <v>40</v>
      </c>
      <c r="Q933" s="9" t="b">
        <v>0</v>
      </c>
      <c r="R933" s="9" t="b">
        <v>0</v>
      </c>
      <c r="S933" s="9" t="b">
        <v>1</v>
      </c>
      <c r="T933" s="9">
        <v>0.45</v>
      </c>
      <c r="U933" s="9">
        <v>1</v>
      </c>
      <c r="V933" s="9" t="b">
        <v>1</v>
      </c>
      <c r="W933" s="9" t="s">
        <v>2999</v>
      </c>
    </row>
    <row r="934" spans="1:23" ht="29" customHeight="1" x14ac:dyDescent="0.2">
      <c r="A934" s="9" t="s">
        <v>3000</v>
      </c>
      <c r="B934" s="10" t="s">
        <v>3001</v>
      </c>
      <c r="C934" s="9" t="s">
        <v>1741</v>
      </c>
      <c r="D934" s="9" t="s">
        <v>1741</v>
      </c>
      <c r="E934" s="9" t="s">
        <v>2913</v>
      </c>
      <c r="F934" s="9" t="s">
        <v>2969</v>
      </c>
      <c r="G934" s="9">
        <v>599</v>
      </c>
      <c r="H934" s="9">
        <v>785</v>
      </c>
      <c r="I934" s="9">
        <v>24</v>
      </c>
      <c r="J934" s="11">
        <v>4.2</v>
      </c>
      <c r="K934" s="9">
        <v>24247</v>
      </c>
      <c r="L934" s="9">
        <v>4.1845030825855796</v>
      </c>
      <c r="M934" s="9" t="s">
        <v>28</v>
      </c>
      <c r="N934" s="9" t="s">
        <v>93</v>
      </c>
      <c r="O934" s="9">
        <v>57.3</v>
      </c>
      <c r="P934" s="9" t="s">
        <v>53</v>
      </c>
      <c r="Q934" s="9" t="b">
        <v>0</v>
      </c>
      <c r="R934" s="9" t="b">
        <v>0</v>
      </c>
      <c r="S934" s="9" t="b">
        <v>0</v>
      </c>
      <c r="T934" s="9">
        <v>0.88</v>
      </c>
      <c r="U934" s="9">
        <v>1</v>
      </c>
      <c r="V934" s="9" t="b">
        <v>1</v>
      </c>
      <c r="W934" s="9" t="s">
        <v>3002</v>
      </c>
    </row>
    <row r="935" spans="1:23" ht="29" customHeight="1" x14ac:dyDescent="0.2">
      <c r="A935" s="9" t="s">
        <v>3003</v>
      </c>
      <c r="B935" s="10" t="s">
        <v>3004</v>
      </c>
      <c r="C935" s="9" t="s">
        <v>1741</v>
      </c>
      <c r="D935" s="9" t="s">
        <v>1741</v>
      </c>
      <c r="E935" s="9" t="s">
        <v>2913</v>
      </c>
      <c r="F935" s="9" t="s">
        <v>2973</v>
      </c>
      <c r="G935" s="9">
        <v>1999</v>
      </c>
      <c r="H935" s="9">
        <v>3210</v>
      </c>
      <c r="I935" s="9">
        <v>38</v>
      </c>
      <c r="J935" s="11">
        <v>4.2</v>
      </c>
      <c r="K935" s="9">
        <v>41349</v>
      </c>
      <c r="L935" s="9">
        <v>4.190378043108316</v>
      </c>
      <c r="M935" s="9" t="s">
        <v>28</v>
      </c>
      <c r="N935" s="9" t="s">
        <v>179</v>
      </c>
      <c r="O935" s="9">
        <v>54.8</v>
      </c>
      <c r="P935" s="9" t="s">
        <v>53</v>
      </c>
      <c r="Q935" s="9" t="b">
        <v>0</v>
      </c>
      <c r="R935" s="9" t="b">
        <v>0</v>
      </c>
      <c r="S935" s="9" t="b">
        <v>0</v>
      </c>
      <c r="T935" s="9">
        <v>0.69</v>
      </c>
      <c r="U935" s="9">
        <v>1</v>
      </c>
      <c r="V935" s="9" t="b">
        <v>1</v>
      </c>
      <c r="W935" s="9" t="s">
        <v>3005</v>
      </c>
    </row>
    <row r="936" spans="1:23" ht="29" customHeight="1" x14ac:dyDescent="0.2">
      <c r="A936" s="9" t="s">
        <v>3006</v>
      </c>
      <c r="B936" s="10" t="s">
        <v>3007</v>
      </c>
      <c r="C936" s="9" t="s">
        <v>1741</v>
      </c>
      <c r="D936" s="9" t="s">
        <v>1741</v>
      </c>
      <c r="E936" s="9" t="s">
        <v>2913</v>
      </c>
      <c r="F936" s="9" t="s">
        <v>2991</v>
      </c>
      <c r="G936" s="9">
        <v>549</v>
      </c>
      <c r="H936" s="9">
        <v>1000</v>
      </c>
      <c r="I936" s="9">
        <v>45</v>
      </c>
      <c r="J936" s="11">
        <v>3.6</v>
      </c>
      <c r="K936" s="9">
        <v>1074</v>
      </c>
      <c r="L936" s="9">
        <v>3.977016249701399</v>
      </c>
      <c r="M936" s="9" t="s">
        <v>28</v>
      </c>
      <c r="N936" s="9" t="s">
        <v>93</v>
      </c>
      <c r="O936" s="9">
        <v>35.200000000000003</v>
      </c>
      <c r="P936" s="9" t="s">
        <v>40</v>
      </c>
      <c r="Q936" s="9" t="b">
        <v>0</v>
      </c>
      <c r="R936" s="9" t="b">
        <v>0</v>
      </c>
      <c r="S936" s="9" t="b">
        <v>1</v>
      </c>
      <c r="T936" s="9">
        <v>0.46</v>
      </c>
      <c r="U936" s="9">
        <v>1</v>
      </c>
      <c r="V936" s="9" t="b">
        <v>1</v>
      </c>
      <c r="W936" s="9" t="s">
        <v>3008</v>
      </c>
    </row>
    <row r="937" spans="1:23" ht="29" customHeight="1" x14ac:dyDescent="0.2">
      <c r="A937" s="9" t="s">
        <v>3009</v>
      </c>
      <c r="B937" s="10" t="s">
        <v>3010</v>
      </c>
      <c r="C937" s="9" t="s">
        <v>1741</v>
      </c>
      <c r="D937" s="9" t="s">
        <v>1741</v>
      </c>
      <c r="E937" s="9" t="s">
        <v>2918</v>
      </c>
      <c r="F937" s="9" t="s">
        <v>2919</v>
      </c>
      <c r="G937" s="9">
        <v>999</v>
      </c>
      <c r="H937" s="9">
        <v>2000</v>
      </c>
      <c r="I937" s="9">
        <v>50</v>
      </c>
      <c r="J937" s="11">
        <v>3.8</v>
      </c>
      <c r="K937" s="9">
        <v>1163</v>
      </c>
      <c r="L937" s="9">
        <v>4.0174274879059624</v>
      </c>
      <c r="M937" s="9" t="s">
        <v>28</v>
      </c>
      <c r="N937" s="9" t="s">
        <v>93</v>
      </c>
      <c r="O937" s="9">
        <v>39.6</v>
      </c>
      <c r="P937" s="9" t="s">
        <v>30</v>
      </c>
      <c r="Q937" s="9" t="b">
        <v>0</v>
      </c>
      <c r="R937" s="9" t="b">
        <v>0</v>
      </c>
      <c r="S937" s="9" t="b">
        <v>1</v>
      </c>
      <c r="T937" s="9">
        <v>0.76</v>
      </c>
      <c r="U937" s="9">
        <v>1</v>
      </c>
      <c r="V937" s="9" t="b">
        <v>1</v>
      </c>
      <c r="W937" s="9" t="s">
        <v>3011</v>
      </c>
    </row>
    <row r="938" spans="1:23" ht="29" customHeight="1" x14ac:dyDescent="0.2">
      <c r="A938" s="9" t="s">
        <v>3012</v>
      </c>
      <c r="B938" s="10" t="s">
        <v>3013</v>
      </c>
      <c r="C938" s="9" t="s">
        <v>1741</v>
      </c>
      <c r="D938" s="9" t="s">
        <v>1741</v>
      </c>
      <c r="E938" s="9" t="s">
        <v>2913</v>
      </c>
      <c r="F938" s="9" t="s">
        <v>2927</v>
      </c>
      <c r="G938" s="9">
        <v>398</v>
      </c>
      <c r="H938" s="9">
        <v>1999</v>
      </c>
      <c r="I938" s="9">
        <v>80</v>
      </c>
      <c r="J938" s="11">
        <v>4.0999999999999996</v>
      </c>
      <c r="K938" s="9">
        <v>257</v>
      </c>
      <c r="L938" s="9">
        <v>4.0856173881529578</v>
      </c>
      <c r="M938" s="9" t="s">
        <v>89</v>
      </c>
      <c r="N938" s="9" t="s">
        <v>29</v>
      </c>
      <c r="O938" s="9">
        <v>64.8</v>
      </c>
      <c r="P938" s="9" t="s">
        <v>36</v>
      </c>
      <c r="Q938" s="9" t="b">
        <v>0</v>
      </c>
      <c r="R938" s="9" t="b">
        <v>0</v>
      </c>
      <c r="S938" s="9" t="b">
        <v>0</v>
      </c>
      <c r="T938" s="9">
        <v>0.89</v>
      </c>
      <c r="U938" s="9">
        <v>1</v>
      </c>
      <c r="V938" s="9" t="b">
        <v>1</v>
      </c>
      <c r="W938" s="9" t="s">
        <v>3014</v>
      </c>
    </row>
    <row r="939" spans="1:23" ht="29" customHeight="1" x14ac:dyDescent="0.2">
      <c r="A939" s="9" t="s">
        <v>3015</v>
      </c>
      <c r="B939" s="10" t="s">
        <v>3016</v>
      </c>
      <c r="C939" s="9" t="s">
        <v>1741</v>
      </c>
      <c r="D939" s="9" t="s">
        <v>1741</v>
      </c>
      <c r="E939" s="9" t="s">
        <v>2918</v>
      </c>
      <c r="F939" s="9" t="s">
        <v>3017</v>
      </c>
      <c r="G939" s="9">
        <v>539</v>
      </c>
      <c r="H939" s="9">
        <v>720</v>
      </c>
      <c r="I939" s="9">
        <v>25</v>
      </c>
      <c r="J939" s="11">
        <v>4.0999999999999996</v>
      </c>
      <c r="K939" s="9">
        <v>36017</v>
      </c>
      <c r="L939" s="9">
        <v>4.098546716064325</v>
      </c>
      <c r="M939" s="9" t="s">
        <v>28</v>
      </c>
      <c r="N939" s="9" t="s">
        <v>93</v>
      </c>
      <c r="O939" s="9">
        <v>50.5</v>
      </c>
      <c r="P939" s="9" t="s">
        <v>30</v>
      </c>
      <c r="Q939" s="9" t="b">
        <v>0</v>
      </c>
      <c r="R939" s="9" t="b">
        <v>0</v>
      </c>
      <c r="S939" s="9" t="b">
        <v>0</v>
      </c>
      <c r="U939" s="9">
        <v>1</v>
      </c>
      <c r="V939" s="9" t="b">
        <v>1</v>
      </c>
      <c r="W939" s="9" t="s">
        <v>3018</v>
      </c>
    </row>
    <row r="940" spans="1:23" ht="29" customHeight="1" x14ac:dyDescent="0.2">
      <c r="A940" s="9" t="s">
        <v>3019</v>
      </c>
      <c r="B940" s="10" t="s">
        <v>3020</v>
      </c>
      <c r="C940" s="9" t="s">
        <v>1741</v>
      </c>
      <c r="D940" s="9" t="s">
        <v>1741</v>
      </c>
      <c r="E940" s="9" t="s">
        <v>2913</v>
      </c>
      <c r="F940" s="9" t="s">
        <v>2914</v>
      </c>
      <c r="G940" s="9">
        <v>699</v>
      </c>
      <c r="H940" s="9">
        <v>1595</v>
      </c>
      <c r="I940" s="9">
        <v>56</v>
      </c>
      <c r="J940" s="11">
        <v>4.0999999999999996</v>
      </c>
      <c r="K940" s="9">
        <v>8090</v>
      </c>
      <c r="L940" s="9">
        <v>4.0951224713504164</v>
      </c>
      <c r="M940" s="9" t="s">
        <v>28</v>
      </c>
      <c r="N940" s="9" t="s">
        <v>93</v>
      </c>
      <c r="O940" s="9">
        <v>57.7</v>
      </c>
      <c r="P940" s="9" t="s">
        <v>53</v>
      </c>
      <c r="Q940" s="9" t="b">
        <v>0</v>
      </c>
      <c r="R940" s="9" t="b">
        <v>0</v>
      </c>
      <c r="S940" s="9" t="b">
        <v>0</v>
      </c>
      <c r="T940" s="9">
        <v>0.7</v>
      </c>
      <c r="U940" s="9">
        <v>1</v>
      </c>
      <c r="V940" s="9" t="b">
        <v>1</v>
      </c>
      <c r="W940" s="9" t="s">
        <v>3021</v>
      </c>
    </row>
    <row r="941" spans="1:23" ht="29" customHeight="1" x14ac:dyDescent="0.2">
      <c r="A941" s="9" t="s">
        <v>3022</v>
      </c>
      <c r="B941" s="10" t="s">
        <v>3023</v>
      </c>
      <c r="C941" s="9" t="s">
        <v>1741</v>
      </c>
      <c r="D941" s="9" t="s">
        <v>1741</v>
      </c>
      <c r="E941" s="9" t="s">
        <v>2913</v>
      </c>
      <c r="F941" s="9" t="s">
        <v>2952</v>
      </c>
      <c r="G941" s="9">
        <v>2148</v>
      </c>
      <c r="H941" s="9">
        <v>3645</v>
      </c>
      <c r="I941" s="9">
        <v>41</v>
      </c>
      <c r="J941" s="11">
        <v>4.0999999999999996</v>
      </c>
      <c r="K941" s="9">
        <v>31388</v>
      </c>
      <c r="L941" s="9">
        <v>4.0983553318354167</v>
      </c>
      <c r="M941" s="9" t="s">
        <v>28</v>
      </c>
      <c r="N941" s="9" t="s">
        <v>179</v>
      </c>
      <c r="O941" s="9">
        <v>44.4</v>
      </c>
      <c r="P941" s="9" t="s">
        <v>30</v>
      </c>
      <c r="Q941" s="9" t="b">
        <v>0</v>
      </c>
      <c r="R941" s="9" t="b">
        <v>0</v>
      </c>
      <c r="S941" s="9" t="b">
        <v>0</v>
      </c>
      <c r="T941" s="9">
        <v>1.05</v>
      </c>
      <c r="U941" s="9">
        <v>1</v>
      </c>
      <c r="V941" s="9" t="b">
        <v>1</v>
      </c>
      <c r="W941" s="9" t="s">
        <v>3024</v>
      </c>
    </row>
    <row r="942" spans="1:23" ht="29" customHeight="1" x14ac:dyDescent="0.2">
      <c r="A942" s="9" t="s">
        <v>3025</v>
      </c>
      <c r="B942" s="10" t="s">
        <v>3026</v>
      </c>
      <c r="C942" s="9" t="s">
        <v>1741</v>
      </c>
      <c r="D942" s="9" t="s">
        <v>1741</v>
      </c>
      <c r="E942" s="9" t="s">
        <v>2913</v>
      </c>
      <c r="F942" s="9" t="s">
        <v>3027</v>
      </c>
      <c r="G942" s="9">
        <v>3599</v>
      </c>
      <c r="H942" s="9">
        <v>7950</v>
      </c>
      <c r="I942" s="9">
        <v>55</v>
      </c>
      <c r="J942" s="11">
        <v>4.2</v>
      </c>
      <c r="K942" s="9">
        <v>136</v>
      </c>
      <c r="L942" s="9">
        <v>4.0886595079340298</v>
      </c>
      <c r="M942" s="9" t="s">
        <v>89</v>
      </c>
      <c r="N942" s="9" t="s">
        <v>144</v>
      </c>
      <c r="O942" s="9">
        <v>43.4</v>
      </c>
      <c r="P942" s="9" t="s">
        <v>30</v>
      </c>
      <c r="Q942" s="9" t="b">
        <v>0</v>
      </c>
      <c r="R942" s="9" t="b">
        <v>0</v>
      </c>
      <c r="S942" s="9" t="b">
        <v>0</v>
      </c>
      <c r="U942" s="9">
        <v>1</v>
      </c>
      <c r="V942" s="9" t="b">
        <v>1</v>
      </c>
      <c r="W942" s="9" t="s">
        <v>3028</v>
      </c>
    </row>
    <row r="943" spans="1:23" ht="29" customHeight="1" x14ac:dyDescent="0.2">
      <c r="A943" s="9" t="s">
        <v>3029</v>
      </c>
      <c r="B943" s="10" t="s">
        <v>3030</v>
      </c>
      <c r="C943" s="9" t="s">
        <v>1741</v>
      </c>
      <c r="D943" s="9" t="s">
        <v>1741</v>
      </c>
      <c r="E943" s="9" t="s">
        <v>3031</v>
      </c>
      <c r="F943" s="9" t="s">
        <v>3032</v>
      </c>
      <c r="G943" s="9">
        <v>351</v>
      </c>
      <c r="H943" s="9">
        <v>999</v>
      </c>
      <c r="I943" s="9">
        <v>65</v>
      </c>
      <c r="J943" s="11">
        <v>4</v>
      </c>
      <c r="K943" s="9">
        <v>5380</v>
      </c>
      <c r="L943" s="9">
        <v>4.0348306362243171</v>
      </c>
      <c r="M943" s="9" t="s">
        <v>28</v>
      </c>
      <c r="N943" s="9" t="s">
        <v>29</v>
      </c>
      <c r="O943" s="9">
        <v>44.1</v>
      </c>
      <c r="P943" s="9" t="s">
        <v>30</v>
      </c>
      <c r="Q943" s="9" t="b">
        <v>0</v>
      </c>
      <c r="R943" s="9" t="b">
        <v>0</v>
      </c>
      <c r="S943" s="9" t="b">
        <v>0</v>
      </c>
      <c r="T943" s="9">
        <v>1</v>
      </c>
      <c r="U943" s="9">
        <v>1</v>
      </c>
      <c r="V943" s="9" t="b">
        <v>1</v>
      </c>
      <c r="W943" s="9" t="s">
        <v>3033</v>
      </c>
    </row>
    <row r="944" spans="1:23" ht="29" customHeight="1" x14ac:dyDescent="0.2">
      <c r="A944" s="9" t="s">
        <v>3034</v>
      </c>
      <c r="B944" s="10" t="s">
        <v>3035</v>
      </c>
      <c r="C944" s="9" t="s">
        <v>1741</v>
      </c>
      <c r="D944" s="9" t="s">
        <v>1741</v>
      </c>
      <c r="E944" s="9" t="s">
        <v>2913</v>
      </c>
      <c r="F944" s="9" t="s">
        <v>3036</v>
      </c>
      <c r="G944" s="9">
        <v>1614</v>
      </c>
      <c r="H944" s="9">
        <v>1745</v>
      </c>
      <c r="I944" s="9">
        <v>8</v>
      </c>
      <c r="J944" s="11">
        <v>4.3</v>
      </c>
      <c r="K944" s="9">
        <v>37974</v>
      </c>
      <c r="L944" s="9">
        <v>4.2805850776102652</v>
      </c>
      <c r="M944" s="9" t="s">
        <v>28</v>
      </c>
      <c r="N944" s="9" t="s">
        <v>179</v>
      </c>
      <c r="O944" s="9">
        <v>53.5</v>
      </c>
      <c r="P944" s="9" t="s">
        <v>53</v>
      </c>
      <c r="Q944" s="9" t="b">
        <v>0</v>
      </c>
      <c r="R944" s="9" t="b">
        <v>0</v>
      </c>
      <c r="S944" s="9" t="b">
        <v>0</v>
      </c>
      <c r="T944" s="9">
        <v>0.53</v>
      </c>
      <c r="U944" s="9">
        <v>1</v>
      </c>
      <c r="V944" s="9" t="b">
        <v>1</v>
      </c>
      <c r="W944" s="9" t="s">
        <v>3037</v>
      </c>
    </row>
    <row r="945" spans="1:23" ht="29" customHeight="1" x14ac:dyDescent="0.2">
      <c r="A945" s="9" t="s">
        <v>3038</v>
      </c>
      <c r="B945" s="10" t="s">
        <v>3039</v>
      </c>
      <c r="C945" s="9" t="s">
        <v>1741</v>
      </c>
      <c r="D945" s="9" t="s">
        <v>1741</v>
      </c>
      <c r="E945" s="9" t="s">
        <v>2918</v>
      </c>
      <c r="F945" s="9" t="s">
        <v>3017</v>
      </c>
      <c r="G945" s="9">
        <v>719</v>
      </c>
      <c r="H945" s="9">
        <v>1295</v>
      </c>
      <c r="I945" s="9">
        <v>44</v>
      </c>
      <c r="J945" s="11">
        <v>4.2</v>
      </c>
      <c r="K945" s="9">
        <v>17218</v>
      </c>
      <c r="L945" s="9">
        <v>4.1793112219289732</v>
      </c>
      <c r="M945" s="9" t="s">
        <v>28</v>
      </c>
      <c r="N945" s="9" t="s">
        <v>93</v>
      </c>
      <c r="O945" s="9">
        <v>66.2</v>
      </c>
      <c r="P945" s="9" t="s">
        <v>36</v>
      </c>
      <c r="Q945" s="9" t="b">
        <v>0</v>
      </c>
      <c r="R945" s="9" t="b">
        <v>0</v>
      </c>
      <c r="S945" s="9" t="b">
        <v>0</v>
      </c>
      <c r="U945" s="9">
        <v>1</v>
      </c>
      <c r="V945" s="9" t="b">
        <v>1</v>
      </c>
      <c r="W945" s="9" t="s">
        <v>3040</v>
      </c>
    </row>
    <row r="946" spans="1:23" ht="29" customHeight="1" x14ac:dyDescent="0.2">
      <c r="A946" s="9" t="s">
        <v>3041</v>
      </c>
      <c r="B946" s="10" t="s">
        <v>3042</v>
      </c>
      <c r="C946" s="9" t="s">
        <v>1741</v>
      </c>
      <c r="D946" s="9" t="s">
        <v>1741</v>
      </c>
      <c r="E946" s="9" t="s">
        <v>2913</v>
      </c>
      <c r="F946" s="9" t="s">
        <v>2927</v>
      </c>
      <c r="G946" s="9">
        <v>678</v>
      </c>
      <c r="H946" s="9">
        <v>1499</v>
      </c>
      <c r="I946" s="9">
        <v>55</v>
      </c>
      <c r="J946" s="11">
        <v>4.2</v>
      </c>
      <c r="K946" s="9">
        <v>900</v>
      </c>
      <c r="L946" s="9">
        <v>4.106903826633955</v>
      </c>
      <c r="M946" s="9" t="s">
        <v>89</v>
      </c>
      <c r="N946" s="9" t="s">
        <v>93</v>
      </c>
      <c r="O946" s="9">
        <v>62.2</v>
      </c>
      <c r="P946" s="9" t="s">
        <v>36</v>
      </c>
      <c r="Q946" s="9" t="b">
        <v>0</v>
      </c>
      <c r="R946" s="9" t="b">
        <v>0</v>
      </c>
      <c r="S946" s="9" t="b">
        <v>0</v>
      </c>
      <c r="T946" s="9">
        <v>1.51</v>
      </c>
      <c r="U946" s="9">
        <v>1</v>
      </c>
      <c r="V946" s="9" t="b">
        <v>1</v>
      </c>
      <c r="W946" s="9" t="s">
        <v>3043</v>
      </c>
    </row>
    <row r="947" spans="1:23" ht="29" customHeight="1" x14ac:dyDescent="0.2">
      <c r="A947" s="9" t="s">
        <v>3044</v>
      </c>
      <c r="B947" s="10" t="s">
        <v>3045</v>
      </c>
      <c r="C947" s="9" t="s">
        <v>1741</v>
      </c>
      <c r="D947" s="9" t="s">
        <v>1741</v>
      </c>
      <c r="E947" s="9" t="s">
        <v>2913</v>
      </c>
      <c r="F947" s="9" t="s">
        <v>2991</v>
      </c>
      <c r="G947" s="9">
        <v>809</v>
      </c>
      <c r="H947" s="9">
        <v>1545</v>
      </c>
      <c r="I947" s="9">
        <v>48</v>
      </c>
      <c r="J947" s="11">
        <v>3.7</v>
      </c>
      <c r="K947" s="9">
        <v>976</v>
      </c>
      <c r="L947" s="9">
        <v>4.0054108033514444</v>
      </c>
      <c r="M947" s="9" t="s">
        <v>89</v>
      </c>
      <c r="N947" s="9" t="s">
        <v>93</v>
      </c>
      <c r="O947" s="9">
        <v>35.1</v>
      </c>
      <c r="P947" s="9" t="s">
        <v>40</v>
      </c>
      <c r="Q947" s="9" t="b">
        <v>0</v>
      </c>
      <c r="R947" s="9" t="b">
        <v>0</v>
      </c>
      <c r="S947" s="9" t="b">
        <v>1</v>
      </c>
      <c r="T947" s="9">
        <v>0.68</v>
      </c>
      <c r="U947" s="9">
        <v>1</v>
      </c>
      <c r="V947" s="9" t="b">
        <v>1</v>
      </c>
      <c r="W947" s="9" t="s">
        <v>3046</v>
      </c>
    </row>
    <row r="948" spans="1:23" ht="29" customHeight="1" x14ac:dyDescent="0.2">
      <c r="A948" s="9" t="s">
        <v>3047</v>
      </c>
      <c r="B948" s="10" t="s">
        <v>3048</v>
      </c>
      <c r="C948" s="9" t="s">
        <v>1741</v>
      </c>
      <c r="D948" s="9" t="s">
        <v>1741</v>
      </c>
      <c r="E948" s="9" t="s">
        <v>2913</v>
      </c>
      <c r="F948" s="9" t="s">
        <v>3049</v>
      </c>
      <c r="G948" s="9">
        <v>1969</v>
      </c>
      <c r="H948" s="9">
        <v>5000</v>
      </c>
      <c r="I948" s="9">
        <v>61</v>
      </c>
      <c r="J948" s="11">
        <v>4.0999999999999996</v>
      </c>
      <c r="K948" s="9">
        <v>4927</v>
      </c>
      <c r="L948" s="9">
        <v>4.0933470385730839</v>
      </c>
      <c r="M948" s="9" t="s">
        <v>28</v>
      </c>
      <c r="N948" s="9" t="s">
        <v>179</v>
      </c>
      <c r="O948" s="9">
        <v>51.9</v>
      </c>
      <c r="P948" s="9" t="s">
        <v>53</v>
      </c>
      <c r="Q948" s="9" t="b">
        <v>0</v>
      </c>
      <c r="R948" s="9" t="b">
        <v>0</v>
      </c>
      <c r="S948" s="9" t="b">
        <v>0</v>
      </c>
      <c r="T948" s="9">
        <v>0.84</v>
      </c>
      <c r="U948" s="9">
        <v>1</v>
      </c>
      <c r="V948" s="9" t="b">
        <v>1</v>
      </c>
      <c r="W948" s="9" t="s">
        <v>3050</v>
      </c>
    </row>
    <row r="949" spans="1:23" ht="29" customHeight="1" x14ac:dyDescent="0.2">
      <c r="A949" s="9" t="s">
        <v>3051</v>
      </c>
      <c r="B949" s="10" t="s">
        <v>3052</v>
      </c>
      <c r="C949" s="9" t="s">
        <v>1741</v>
      </c>
      <c r="D949" s="9" t="s">
        <v>1741</v>
      </c>
      <c r="E949" s="9" t="s">
        <v>2913</v>
      </c>
      <c r="F949" s="9" t="s">
        <v>2927</v>
      </c>
      <c r="G949" s="9">
        <v>1490</v>
      </c>
      <c r="H949" s="9">
        <v>1695</v>
      </c>
      <c r="I949" s="9">
        <v>12</v>
      </c>
      <c r="J949" s="11">
        <v>4.4000000000000004</v>
      </c>
      <c r="K949" s="9">
        <v>3543</v>
      </c>
      <c r="L949" s="9">
        <v>4.2375797812170024</v>
      </c>
      <c r="M949" s="9" t="s">
        <v>28</v>
      </c>
      <c r="N949" s="9" t="s">
        <v>179</v>
      </c>
      <c r="O949" s="9">
        <v>51.9</v>
      </c>
      <c r="P949" s="9" t="s">
        <v>53</v>
      </c>
      <c r="Q949" s="9" t="b">
        <v>0</v>
      </c>
      <c r="R949" s="9" t="b">
        <v>0</v>
      </c>
      <c r="S949" s="9" t="b">
        <v>0</v>
      </c>
      <c r="T949" s="9">
        <v>3.32</v>
      </c>
      <c r="U949" s="9">
        <v>1</v>
      </c>
      <c r="V949" s="9" t="b">
        <v>1</v>
      </c>
      <c r="W949" s="9" t="s">
        <v>3053</v>
      </c>
    </row>
    <row r="950" spans="1:23" ht="29" customHeight="1" x14ac:dyDescent="0.2">
      <c r="A950" s="9" t="s">
        <v>3054</v>
      </c>
      <c r="B950" s="10" t="s">
        <v>3055</v>
      </c>
      <c r="C950" s="9" t="s">
        <v>1741</v>
      </c>
      <c r="D950" s="9" t="s">
        <v>1741</v>
      </c>
      <c r="E950" s="9" t="s">
        <v>2918</v>
      </c>
      <c r="F950" s="9" t="s">
        <v>2919</v>
      </c>
      <c r="G950" s="9">
        <v>2499</v>
      </c>
      <c r="H950" s="9">
        <v>3945</v>
      </c>
      <c r="I950" s="9">
        <v>37</v>
      </c>
      <c r="J950" s="11">
        <v>3.8</v>
      </c>
      <c r="K950" s="9">
        <v>2732</v>
      </c>
      <c r="L950" s="9">
        <v>3.9648993905120982</v>
      </c>
      <c r="M950" s="9" t="s">
        <v>28</v>
      </c>
      <c r="N950" s="9" t="s">
        <v>179</v>
      </c>
      <c r="O950" s="9">
        <v>22.9</v>
      </c>
      <c r="P950" s="9" t="s">
        <v>40</v>
      </c>
      <c r="Q950" s="9" t="b">
        <v>0</v>
      </c>
      <c r="R950" s="9" t="b">
        <v>0</v>
      </c>
      <c r="S950" s="9" t="b">
        <v>1</v>
      </c>
      <c r="T950" s="9">
        <v>1.9</v>
      </c>
      <c r="U950" s="9">
        <v>1</v>
      </c>
      <c r="V950" s="9" t="b">
        <v>1</v>
      </c>
      <c r="W950" s="9" t="s">
        <v>3056</v>
      </c>
    </row>
    <row r="951" spans="1:23" ht="29" customHeight="1" x14ac:dyDescent="0.2">
      <c r="A951" s="9" t="s">
        <v>3057</v>
      </c>
      <c r="B951" s="10" t="s">
        <v>3058</v>
      </c>
      <c r="C951" s="9" t="s">
        <v>1741</v>
      </c>
      <c r="D951" s="9" t="s">
        <v>1741</v>
      </c>
      <c r="E951" s="9" t="s">
        <v>2913</v>
      </c>
      <c r="F951" s="9" t="s">
        <v>3059</v>
      </c>
      <c r="G951" s="9">
        <v>1665</v>
      </c>
      <c r="H951" s="9">
        <v>2099</v>
      </c>
      <c r="I951" s="9">
        <v>21</v>
      </c>
      <c r="J951" s="11">
        <v>4</v>
      </c>
      <c r="K951" s="9">
        <v>14368</v>
      </c>
      <c r="L951" s="9">
        <v>4.0175637236524544</v>
      </c>
      <c r="M951" s="9" t="s">
        <v>28</v>
      </c>
      <c r="N951" s="9" t="s">
        <v>179</v>
      </c>
      <c r="O951" s="9">
        <v>20.100000000000001</v>
      </c>
      <c r="P951" s="9" t="s">
        <v>40</v>
      </c>
      <c r="Q951" s="9" t="b">
        <v>0</v>
      </c>
      <c r="R951" s="9" t="b">
        <v>0</v>
      </c>
      <c r="S951" s="9" t="b">
        <v>0</v>
      </c>
      <c r="U951" s="9">
        <v>1</v>
      </c>
      <c r="V951" s="9" t="b">
        <v>1</v>
      </c>
      <c r="W951" s="9" t="s">
        <v>3060</v>
      </c>
    </row>
    <row r="952" spans="1:23" ht="29" customHeight="1" x14ac:dyDescent="0.2">
      <c r="A952" s="9" t="s">
        <v>3061</v>
      </c>
      <c r="B952" s="10" t="s">
        <v>3062</v>
      </c>
      <c r="C952" s="9" t="s">
        <v>1741</v>
      </c>
      <c r="D952" s="9" t="s">
        <v>1741</v>
      </c>
      <c r="E952" s="9" t="s">
        <v>2913</v>
      </c>
      <c r="F952" s="9" t="s">
        <v>2952</v>
      </c>
      <c r="G952" s="9">
        <v>3229</v>
      </c>
      <c r="H952" s="9">
        <v>5295</v>
      </c>
      <c r="I952" s="9">
        <v>39</v>
      </c>
      <c r="J952" s="11">
        <v>4.2</v>
      </c>
      <c r="K952" s="9">
        <v>39724</v>
      </c>
      <c r="L952" s="9">
        <v>4.1900184906046896</v>
      </c>
      <c r="M952" s="9" t="s">
        <v>28</v>
      </c>
      <c r="N952" s="9" t="s">
        <v>144</v>
      </c>
      <c r="O952" s="9">
        <v>53.3</v>
      </c>
      <c r="P952" s="9" t="s">
        <v>53</v>
      </c>
      <c r="Q952" s="9" t="b">
        <v>0</v>
      </c>
      <c r="R952" s="9" t="b">
        <v>0</v>
      </c>
      <c r="S952" s="9" t="b">
        <v>0</v>
      </c>
      <c r="T952" s="9">
        <v>1.58</v>
      </c>
      <c r="U952" s="9">
        <v>1</v>
      </c>
      <c r="V952" s="9" t="b">
        <v>1</v>
      </c>
      <c r="W952" s="9" t="s">
        <v>3063</v>
      </c>
    </row>
    <row r="953" spans="1:23" ht="29" customHeight="1" x14ac:dyDescent="0.2">
      <c r="A953" s="9" t="s">
        <v>3064</v>
      </c>
      <c r="B953" s="10" t="s">
        <v>3065</v>
      </c>
      <c r="C953" s="9" t="s">
        <v>1741</v>
      </c>
      <c r="D953" s="9" t="s">
        <v>1741</v>
      </c>
      <c r="E953" s="9" t="s">
        <v>2913</v>
      </c>
      <c r="F953" s="9" t="s">
        <v>2952</v>
      </c>
      <c r="G953" s="9">
        <v>1799</v>
      </c>
      <c r="H953" s="9">
        <v>3595</v>
      </c>
      <c r="I953" s="9">
        <v>50</v>
      </c>
      <c r="J953" s="11">
        <v>3.8</v>
      </c>
      <c r="K953" s="9">
        <v>9791</v>
      </c>
      <c r="L953" s="9">
        <v>3.8790156853713662</v>
      </c>
      <c r="M953" s="9" t="s">
        <v>28</v>
      </c>
      <c r="N953" s="9" t="s">
        <v>179</v>
      </c>
      <c r="O953" s="9">
        <v>25</v>
      </c>
      <c r="P953" s="9" t="s">
        <v>40</v>
      </c>
      <c r="Q953" s="9" t="b">
        <v>0</v>
      </c>
      <c r="R953" s="9" t="b">
        <v>0</v>
      </c>
      <c r="S953" s="9" t="b">
        <v>1</v>
      </c>
      <c r="T953" s="9">
        <v>0.88</v>
      </c>
      <c r="U953" s="9">
        <v>1</v>
      </c>
      <c r="V953" s="9" t="b">
        <v>1</v>
      </c>
      <c r="W953" s="9" t="s">
        <v>3066</v>
      </c>
    </row>
    <row r="954" spans="1:23" ht="29" customHeight="1" x14ac:dyDescent="0.2">
      <c r="A954" s="9" t="s">
        <v>3067</v>
      </c>
      <c r="B954" s="10" t="s">
        <v>3068</v>
      </c>
      <c r="C954" s="9" t="s">
        <v>1741</v>
      </c>
      <c r="D954" s="9" t="s">
        <v>1741</v>
      </c>
      <c r="E954" s="9" t="s">
        <v>2913</v>
      </c>
      <c r="F954" s="9" t="s">
        <v>2914</v>
      </c>
      <c r="G954" s="9">
        <v>1260</v>
      </c>
      <c r="H954" s="9">
        <v>1699</v>
      </c>
      <c r="I954" s="9">
        <v>26</v>
      </c>
      <c r="J954" s="11">
        <v>4.2</v>
      </c>
      <c r="K954" s="9">
        <v>2891</v>
      </c>
      <c r="L954" s="9">
        <v>4.1347620187391314</v>
      </c>
      <c r="M954" s="9" t="s">
        <v>28</v>
      </c>
      <c r="N954" s="9" t="s">
        <v>179</v>
      </c>
      <c r="O954" s="9">
        <v>46.8</v>
      </c>
      <c r="P954" s="9" t="s">
        <v>30</v>
      </c>
      <c r="Q954" s="9" t="b">
        <v>0</v>
      </c>
      <c r="R954" s="9" t="b">
        <v>0</v>
      </c>
      <c r="S954" s="9" t="b">
        <v>0</v>
      </c>
      <c r="T954" s="9">
        <v>1.26</v>
      </c>
      <c r="U954" s="9">
        <v>1</v>
      </c>
      <c r="V954" s="9" t="b">
        <v>1</v>
      </c>
      <c r="W954" s="9" t="s">
        <v>3069</v>
      </c>
    </row>
    <row r="955" spans="1:23" ht="29" customHeight="1" x14ac:dyDescent="0.2">
      <c r="A955" s="9" t="s">
        <v>3070</v>
      </c>
      <c r="B955" s="10" t="s">
        <v>3071</v>
      </c>
      <c r="C955" s="9" t="s">
        <v>1741</v>
      </c>
      <c r="D955" s="9" t="s">
        <v>1741</v>
      </c>
      <c r="E955" s="9" t="s">
        <v>2918</v>
      </c>
      <c r="F955" s="9" t="s">
        <v>2919</v>
      </c>
      <c r="G955" s="9">
        <v>749</v>
      </c>
      <c r="H955" s="9">
        <v>1129</v>
      </c>
      <c r="I955" s="9">
        <v>34</v>
      </c>
      <c r="J955" s="11">
        <v>4</v>
      </c>
      <c r="K955" s="9">
        <v>2446</v>
      </c>
      <c r="L955" s="9">
        <v>4.0512908257519236</v>
      </c>
      <c r="M955" s="9" t="s">
        <v>28</v>
      </c>
      <c r="N955" s="9" t="s">
        <v>93</v>
      </c>
      <c r="O955" s="9">
        <v>38.700000000000003</v>
      </c>
      <c r="P955" s="9" t="s">
        <v>30</v>
      </c>
      <c r="Q955" s="9" t="b">
        <v>0</v>
      </c>
      <c r="R955" s="9" t="b">
        <v>0</v>
      </c>
      <c r="S955" s="9" t="b">
        <v>0</v>
      </c>
      <c r="T955" s="9">
        <v>0.56999999999999995</v>
      </c>
      <c r="U955" s="9">
        <v>1</v>
      </c>
      <c r="V955" s="9" t="b">
        <v>1</v>
      </c>
      <c r="W955" s="9" t="s">
        <v>3072</v>
      </c>
    </row>
    <row r="956" spans="1:23" ht="29" customHeight="1" x14ac:dyDescent="0.2">
      <c r="A956" s="9" t="s">
        <v>3073</v>
      </c>
      <c r="B956" s="10" t="s">
        <v>3074</v>
      </c>
      <c r="C956" s="9" t="s">
        <v>1741</v>
      </c>
      <c r="D956" s="9" t="s">
        <v>1741</v>
      </c>
      <c r="E956" s="9" t="s">
        <v>2913</v>
      </c>
      <c r="F956" s="9" t="s">
        <v>2973</v>
      </c>
      <c r="G956" s="9">
        <v>3499</v>
      </c>
      <c r="H956" s="9">
        <v>5795</v>
      </c>
      <c r="I956" s="9">
        <v>40</v>
      </c>
      <c r="J956" s="11">
        <v>3.9</v>
      </c>
      <c r="K956" s="9">
        <v>25340</v>
      </c>
      <c r="L956" s="9">
        <v>3.923870426653409</v>
      </c>
      <c r="M956" s="9" t="s">
        <v>28</v>
      </c>
      <c r="N956" s="9" t="s">
        <v>144</v>
      </c>
      <c r="O956" s="9">
        <v>18.399999999999999</v>
      </c>
      <c r="P956" s="9" t="s">
        <v>40</v>
      </c>
      <c r="Q956" s="9" t="b">
        <v>0</v>
      </c>
      <c r="R956" s="9" t="b">
        <v>0</v>
      </c>
      <c r="S956" s="9" t="b">
        <v>0</v>
      </c>
      <c r="T956" s="9">
        <v>1.21</v>
      </c>
      <c r="U956" s="9">
        <v>1</v>
      </c>
      <c r="V956" s="9" t="b">
        <v>1</v>
      </c>
      <c r="W956" s="9" t="s">
        <v>3075</v>
      </c>
    </row>
    <row r="957" spans="1:23" ht="29" customHeight="1" x14ac:dyDescent="0.2">
      <c r="A957" s="9" t="s">
        <v>3076</v>
      </c>
      <c r="B957" s="10" t="s">
        <v>3077</v>
      </c>
      <c r="C957" s="9" t="s">
        <v>1741</v>
      </c>
      <c r="D957" s="9" t="s">
        <v>1741</v>
      </c>
      <c r="E957" s="9" t="s">
        <v>2913</v>
      </c>
      <c r="F957" s="9" t="s">
        <v>3078</v>
      </c>
      <c r="G957" s="9">
        <v>379</v>
      </c>
      <c r="H957" s="9">
        <v>999</v>
      </c>
      <c r="I957" s="9">
        <v>62</v>
      </c>
      <c r="J957" s="11">
        <v>4.3</v>
      </c>
      <c r="K957" s="9">
        <v>3096</v>
      </c>
      <c r="L957" s="9">
        <v>4.1818530424554661</v>
      </c>
      <c r="M957" s="9" t="s">
        <v>28</v>
      </c>
      <c r="N957" s="9" t="s">
        <v>29</v>
      </c>
      <c r="O957" s="9">
        <v>76.099999999999994</v>
      </c>
      <c r="P957" s="9" t="s">
        <v>36</v>
      </c>
      <c r="Q957" s="9" t="b">
        <v>0</v>
      </c>
      <c r="R957" s="9" t="b">
        <v>0</v>
      </c>
      <c r="S957" s="9" t="b">
        <v>0</v>
      </c>
      <c r="T957" s="9">
        <v>0.54</v>
      </c>
      <c r="U957" s="9">
        <v>1</v>
      </c>
      <c r="V957" s="9" t="b">
        <v>1</v>
      </c>
      <c r="W957" s="9" t="s">
        <v>3079</v>
      </c>
    </row>
    <row r="958" spans="1:23" ht="29" customHeight="1" x14ac:dyDescent="0.2">
      <c r="A958" s="9" t="s">
        <v>3080</v>
      </c>
      <c r="B958" s="10" t="s">
        <v>3081</v>
      </c>
      <c r="C958" s="9" t="s">
        <v>1741</v>
      </c>
      <c r="D958" s="9" t="s">
        <v>1741</v>
      </c>
      <c r="E958" s="9" t="s">
        <v>2918</v>
      </c>
      <c r="F958" s="9" t="s">
        <v>2919</v>
      </c>
      <c r="G958" s="9">
        <v>1099</v>
      </c>
      <c r="H958" s="9">
        <v>2400</v>
      </c>
      <c r="I958" s="9">
        <v>54</v>
      </c>
      <c r="J958" s="11">
        <v>3.8</v>
      </c>
      <c r="K958" s="9">
        <v>4</v>
      </c>
      <c r="L958" s="9">
        <v>4.0843326939282667</v>
      </c>
      <c r="M958" s="9" t="s">
        <v>204</v>
      </c>
      <c r="N958" s="9" t="s">
        <v>179</v>
      </c>
      <c r="O958" s="9">
        <v>50.9</v>
      </c>
      <c r="P958" s="9" t="s">
        <v>53</v>
      </c>
      <c r="Q958" s="9" t="b">
        <v>0</v>
      </c>
      <c r="R958" s="9" t="b">
        <v>0</v>
      </c>
      <c r="S958" s="9" t="b">
        <v>1</v>
      </c>
      <c r="T958" s="9">
        <v>0.83</v>
      </c>
      <c r="U958" s="9">
        <v>1</v>
      </c>
      <c r="V958" s="9" t="b">
        <v>1</v>
      </c>
      <c r="W958" s="9" t="s">
        <v>3082</v>
      </c>
    </row>
    <row r="959" spans="1:23" ht="29" customHeight="1" x14ac:dyDescent="0.2">
      <c r="A959" s="9" t="s">
        <v>3083</v>
      </c>
      <c r="B959" s="10" t="s">
        <v>3084</v>
      </c>
      <c r="C959" s="9" t="s">
        <v>1741</v>
      </c>
      <c r="D959" s="9" t="s">
        <v>1741</v>
      </c>
      <c r="E959" s="9" t="s">
        <v>2913</v>
      </c>
      <c r="F959" s="9" t="s">
        <v>2991</v>
      </c>
      <c r="G959" s="9">
        <v>749</v>
      </c>
      <c r="H959" s="9">
        <v>1299</v>
      </c>
      <c r="I959" s="9">
        <v>42</v>
      </c>
      <c r="J959" s="11">
        <v>4</v>
      </c>
      <c r="K959" s="9">
        <v>119</v>
      </c>
      <c r="L959" s="9">
        <v>4.0820402142678907</v>
      </c>
      <c r="M959" s="9" t="s">
        <v>89</v>
      </c>
      <c r="N959" s="9" t="s">
        <v>93</v>
      </c>
      <c r="O959" s="9">
        <v>43.5</v>
      </c>
      <c r="P959" s="9" t="s">
        <v>30</v>
      </c>
      <c r="Q959" s="9" t="b">
        <v>0</v>
      </c>
      <c r="R959" s="9" t="b">
        <v>0</v>
      </c>
      <c r="S959" s="9" t="b">
        <v>0</v>
      </c>
      <c r="T959" s="9">
        <v>0.63</v>
      </c>
      <c r="U959" s="9">
        <v>1</v>
      </c>
      <c r="V959" s="9" t="b">
        <v>1</v>
      </c>
      <c r="W959" s="9" t="s">
        <v>3085</v>
      </c>
    </row>
    <row r="960" spans="1:23" ht="29" customHeight="1" x14ac:dyDescent="0.2">
      <c r="A960" s="9" t="s">
        <v>3086</v>
      </c>
      <c r="B960" s="10" t="s">
        <v>3087</v>
      </c>
      <c r="C960" s="9" t="s">
        <v>1741</v>
      </c>
      <c r="D960" s="9" t="s">
        <v>1741</v>
      </c>
      <c r="E960" s="9" t="s">
        <v>2913</v>
      </c>
      <c r="F960" s="9" t="s">
        <v>3088</v>
      </c>
      <c r="G960" s="9">
        <v>1299</v>
      </c>
      <c r="H960" s="9">
        <v>1299</v>
      </c>
      <c r="I960" s="9">
        <v>0</v>
      </c>
      <c r="J960" s="11">
        <v>4.2</v>
      </c>
      <c r="K960" s="9">
        <v>40106</v>
      </c>
      <c r="L960" s="9">
        <v>4.1901054080189839</v>
      </c>
      <c r="M960" s="9" t="s">
        <v>28</v>
      </c>
      <c r="N960" s="9" t="s">
        <v>179</v>
      </c>
      <c r="O960" s="9">
        <v>48.1</v>
      </c>
      <c r="P960" s="9" t="s">
        <v>30</v>
      </c>
      <c r="Q960" s="9" t="b">
        <v>0</v>
      </c>
      <c r="R960" s="9" t="b">
        <v>0</v>
      </c>
      <c r="S960" s="9" t="b">
        <v>0</v>
      </c>
      <c r="T960" s="9">
        <v>0.88</v>
      </c>
      <c r="U960" s="9">
        <v>1</v>
      </c>
      <c r="V960" s="9" t="b">
        <v>1</v>
      </c>
      <c r="W960" s="9" t="s">
        <v>3089</v>
      </c>
    </row>
    <row r="961" spans="1:23" ht="29" customHeight="1" x14ac:dyDescent="0.2">
      <c r="A961" s="9" t="s">
        <v>3090</v>
      </c>
      <c r="B961" s="10" t="s">
        <v>3091</v>
      </c>
      <c r="C961" s="9" t="s">
        <v>1741</v>
      </c>
      <c r="D961" s="9" t="s">
        <v>1741</v>
      </c>
      <c r="E961" s="9" t="s">
        <v>2913</v>
      </c>
      <c r="F961" s="9" t="s">
        <v>2969</v>
      </c>
      <c r="G961" s="9">
        <v>549</v>
      </c>
      <c r="H961" s="9">
        <v>1090</v>
      </c>
      <c r="I961" s="9">
        <v>50</v>
      </c>
      <c r="J961" s="11">
        <v>4.2</v>
      </c>
      <c r="K961" s="9">
        <v>13029</v>
      </c>
      <c r="L961" s="9">
        <v>4.1741499622833462</v>
      </c>
      <c r="M961" s="9" t="s">
        <v>28</v>
      </c>
      <c r="N961" s="9" t="s">
        <v>93</v>
      </c>
      <c r="O961" s="9">
        <v>67.2</v>
      </c>
      <c r="P961" s="9" t="s">
        <v>36</v>
      </c>
      <c r="Q961" s="9" t="b">
        <v>0</v>
      </c>
      <c r="R961" s="9" t="b">
        <v>0</v>
      </c>
      <c r="S961" s="9" t="b">
        <v>0</v>
      </c>
      <c r="T961" s="9">
        <v>0.81</v>
      </c>
      <c r="U961" s="9">
        <v>1</v>
      </c>
      <c r="V961" s="9" t="b">
        <v>1</v>
      </c>
      <c r="W961" s="9" t="s">
        <v>3092</v>
      </c>
    </row>
    <row r="962" spans="1:23" ht="29" customHeight="1" x14ac:dyDescent="0.2">
      <c r="A962" s="9" t="s">
        <v>3093</v>
      </c>
      <c r="B962" s="10" t="s">
        <v>3094</v>
      </c>
      <c r="C962" s="9" t="s">
        <v>1741</v>
      </c>
      <c r="D962" s="9" t="s">
        <v>1741</v>
      </c>
      <c r="E962" s="9" t="s">
        <v>2918</v>
      </c>
      <c r="F962" s="9" t="s">
        <v>2923</v>
      </c>
      <c r="G962" s="9">
        <v>899</v>
      </c>
      <c r="H962" s="9">
        <v>2000</v>
      </c>
      <c r="I962" s="9">
        <v>55</v>
      </c>
      <c r="J962" s="11">
        <v>3.6</v>
      </c>
      <c r="K962" s="9">
        <v>291</v>
      </c>
      <c r="L962" s="9">
        <v>4.0498431211744954</v>
      </c>
      <c r="M962" s="9" t="s">
        <v>89</v>
      </c>
      <c r="N962" s="9" t="s">
        <v>93</v>
      </c>
      <c r="O962" s="9">
        <v>47.5</v>
      </c>
      <c r="P962" s="9" t="s">
        <v>30</v>
      </c>
      <c r="Q962" s="9" t="b">
        <v>0</v>
      </c>
      <c r="R962" s="9" t="b">
        <v>0</v>
      </c>
      <c r="S962" s="9" t="b">
        <v>1</v>
      </c>
      <c r="T962" s="9">
        <v>0.83</v>
      </c>
      <c r="U962" s="9">
        <v>1</v>
      </c>
      <c r="V962" s="9" t="b">
        <v>1</v>
      </c>
      <c r="W962" s="9" t="s">
        <v>3095</v>
      </c>
    </row>
    <row r="963" spans="1:23" ht="29" customHeight="1" x14ac:dyDescent="0.2">
      <c r="A963" s="9" t="s">
        <v>3096</v>
      </c>
      <c r="B963" s="10" t="s">
        <v>3097</v>
      </c>
      <c r="C963" s="9" t="s">
        <v>1741</v>
      </c>
      <c r="D963" s="9" t="s">
        <v>1741</v>
      </c>
      <c r="E963" s="9" t="s">
        <v>2913</v>
      </c>
      <c r="F963" s="9" t="s">
        <v>2969</v>
      </c>
      <c r="G963" s="9">
        <v>1321</v>
      </c>
      <c r="H963" s="9">
        <v>1545</v>
      </c>
      <c r="I963" s="9">
        <v>14</v>
      </c>
      <c r="J963" s="11">
        <v>4.3</v>
      </c>
      <c r="K963" s="9">
        <v>15453</v>
      </c>
      <c r="L963" s="9">
        <v>4.2578303500653547</v>
      </c>
      <c r="M963" s="9" t="s">
        <v>28</v>
      </c>
      <c r="N963" s="9" t="s">
        <v>179</v>
      </c>
      <c r="O963" s="9">
        <v>54.2</v>
      </c>
      <c r="P963" s="9" t="s">
        <v>53</v>
      </c>
      <c r="Q963" s="9" t="b">
        <v>0</v>
      </c>
      <c r="R963" s="9" t="b">
        <v>0</v>
      </c>
      <c r="S963" s="9" t="b">
        <v>0</v>
      </c>
      <c r="T963" s="9">
        <v>1.94</v>
      </c>
      <c r="U963" s="9">
        <v>1</v>
      </c>
      <c r="V963" s="9" t="b">
        <v>1</v>
      </c>
      <c r="W963" s="9" t="s">
        <v>3098</v>
      </c>
    </row>
    <row r="964" spans="1:23" ht="29" customHeight="1" x14ac:dyDescent="0.2">
      <c r="A964" s="9" t="s">
        <v>3099</v>
      </c>
      <c r="B964" s="10" t="s">
        <v>3100</v>
      </c>
      <c r="C964" s="9" t="s">
        <v>1741</v>
      </c>
      <c r="D964" s="9" t="s">
        <v>1741</v>
      </c>
      <c r="E964" s="9" t="s">
        <v>2913</v>
      </c>
      <c r="F964" s="9" t="s">
        <v>2927</v>
      </c>
      <c r="G964" s="9">
        <v>1099</v>
      </c>
      <c r="H964" s="9">
        <v>1999</v>
      </c>
      <c r="I964" s="9">
        <v>45</v>
      </c>
      <c r="J964" s="11">
        <v>4</v>
      </c>
      <c r="K964" s="9">
        <v>604</v>
      </c>
      <c r="L964" s="9">
        <v>4.0729277663301993</v>
      </c>
      <c r="M964" s="9" t="s">
        <v>89</v>
      </c>
      <c r="N964" s="9" t="s">
        <v>179</v>
      </c>
      <c r="O964" s="9">
        <v>40.299999999999997</v>
      </c>
      <c r="P964" s="9" t="s">
        <v>30</v>
      </c>
      <c r="Q964" s="9" t="b">
        <v>0</v>
      </c>
      <c r="R964" s="9" t="b">
        <v>1</v>
      </c>
      <c r="S964" s="9" t="b">
        <v>0</v>
      </c>
      <c r="T964" s="9">
        <v>2.4500000000000002</v>
      </c>
      <c r="U964" s="9">
        <v>1</v>
      </c>
      <c r="V964" s="9" t="b">
        <v>1</v>
      </c>
      <c r="W964" s="9" t="s">
        <v>3101</v>
      </c>
    </row>
    <row r="965" spans="1:23" ht="29" customHeight="1" x14ac:dyDescent="0.2">
      <c r="A965" s="9" t="s">
        <v>3102</v>
      </c>
      <c r="B965" s="10" t="s">
        <v>3103</v>
      </c>
      <c r="C965" s="9" t="s">
        <v>1741</v>
      </c>
      <c r="D965" s="9" t="s">
        <v>1741</v>
      </c>
      <c r="E965" s="9" t="s">
        <v>2913</v>
      </c>
      <c r="F965" s="9" t="s">
        <v>2969</v>
      </c>
      <c r="G965" s="9">
        <v>775</v>
      </c>
      <c r="H965" s="9">
        <v>875</v>
      </c>
      <c r="I965" s="9">
        <v>11</v>
      </c>
      <c r="J965" s="11">
        <v>4.2</v>
      </c>
      <c r="K965" s="9">
        <v>46647</v>
      </c>
      <c r="L965" s="9">
        <v>4.1913893034384557</v>
      </c>
      <c r="M965" s="9" t="s">
        <v>28</v>
      </c>
      <c r="N965" s="9" t="s">
        <v>93</v>
      </c>
      <c r="O965" s="9">
        <v>54.2</v>
      </c>
      <c r="P965" s="9" t="s">
        <v>53</v>
      </c>
      <c r="Q965" s="9" t="b">
        <v>0</v>
      </c>
      <c r="R965" s="9" t="b">
        <v>0</v>
      </c>
      <c r="S965" s="9" t="b">
        <v>0</v>
      </c>
      <c r="T965" s="9">
        <v>1.1399999999999999</v>
      </c>
      <c r="U965" s="9">
        <v>1</v>
      </c>
      <c r="V965" s="9" t="b">
        <v>1</v>
      </c>
      <c r="W965" s="9" t="s">
        <v>3104</v>
      </c>
    </row>
    <row r="966" spans="1:23" ht="29" customHeight="1" x14ac:dyDescent="0.2">
      <c r="A966" s="9" t="s">
        <v>3105</v>
      </c>
      <c r="B966" s="10" t="s">
        <v>3106</v>
      </c>
      <c r="C966" s="9" t="s">
        <v>1741</v>
      </c>
      <c r="D966" s="9" t="s">
        <v>1741</v>
      </c>
      <c r="E966" s="9" t="s">
        <v>2918</v>
      </c>
      <c r="F966" s="9" t="s">
        <v>2995</v>
      </c>
      <c r="G966" s="9">
        <v>6299</v>
      </c>
      <c r="H966" s="9">
        <v>15270</v>
      </c>
      <c r="I966" s="9">
        <v>59</v>
      </c>
      <c r="J966" s="11">
        <v>4.0999999999999996</v>
      </c>
      <c r="K966" s="9">
        <v>3233</v>
      </c>
      <c r="L966" s="9">
        <v>4.0917359862312654</v>
      </c>
      <c r="M966" s="9" t="s">
        <v>28</v>
      </c>
      <c r="N966" s="9" t="s">
        <v>144</v>
      </c>
      <c r="O966" s="9">
        <v>47</v>
      </c>
      <c r="P966" s="9" t="s">
        <v>30</v>
      </c>
      <c r="Q966" s="9" t="b">
        <v>0</v>
      </c>
      <c r="R966" s="9" t="b">
        <v>0</v>
      </c>
      <c r="S966" s="9" t="b">
        <v>0</v>
      </c>
      <c r="T966" s="9">
        <v>0.98</v>
      </c>
      <c r="U966" s="9">
        <v>1</v>
      </c>
      <c r="V966" s="9" t="b">
        <v>1</v>
      </c>
      <c r="W966" s="9" t="s">
        <v>3107</v>
      </c>
    </row>
    <row r="967" spans="1:23" ht="29" customHeight="1" x14ac:dyDescent="0.2">
      <c r="A967" s="9" t="s">
        <v>3108</v>
      </c>
      <c r="B967" s="10" t="s">
        <v>3109</v>
      </c>
      <c r="C967" s="9" t="s">
        <v>1741</v>
      </c>
      <c r="D967" s="9" t="s">
        <v>1741</v>
      </c>
      <c r="E967" s="9" t="s">
        <v>2913</v>
      </c>
      <c r="F967" s="9" t="s">
        <v>3036</v>
      </c>
      <c r="G967" s="9">
        <v>3190</v>
      </c>
      <c r="H967" s="9">
        <v>4195</v>
      </c>
      <c r="I967" s="9">
        <v>24</v>
      </c>
      <c r="J967" s="11">
        <v>4</v>
      </c>
      <c r="K967" s="9">
        <v>1282</v>
      </c>
      <c r="L967" s="9">
        <v>4.0631259969631914</v>
      </c>
      <c r="M967" s="9" t="s">
        <v>28</v>
      </c>
      <c r="N967" s="9" t="s">
        <v>144</v>
      </c>
      <c r="O967" s="9">
        <v>24</v>
      </c>
      <c r="P967" s="9" t="s">
        <v>40</v>
      </c>
      <c r="Q967" s="9" t="b">
        <v>0</v>
      </c>
      <c r="R967" s="9" t="b">
        <v>0</v>
      </c>
      <c r="S967" s="9" t="b">
        <v>0</v>
      </c>
      <c r="T967" s="9">
        <v>1.05</v>
      </c>
      <c r="U967" s="9">
        <v>1</v>
      </c>
      <c r="V967" s="9" t="b">
        <v>1</v>
      </c>
      <c r="W967" s="9" t="s">
        <v>3110</v>
      </c>
    </row>
    <row r="968" spans="1:23" ht="29" customHeight="1" x14ac:dyDescent="0.2">
      <c r="A968" s="9" t="s">
        <v>3111</v>
      </c>
      <c r="B968" s="10" t="s">
        <v>3112</v>
      </c>
      <c r="C968" s="9" t="s">
        <v>1741</v>
      </c>
      <c r="D968" s="9" t="s">
        <v>1741</v>
      </c>
      <c r="E968" s="9" t="s">
        <v>2918</v>
      </c>
      <c r="F968" s="9" t="s">
        <v>2919</v>
      </c>
      <c r="G968" s="9">
        <v>799</v>
      </c>
      <c r="H968" s="9">
        <v>1989</v>
      </c>
      <c r="I968" s="9">
        <v>60</v>
      </c>
      <c r="J968" s="11">
        <v>4.3</v>
      </c>
      <c r="K968" s="9">
        <v>70</v>
      </c>
      <c r="L968" s="9">
        <v>4.088568582304192</v>
      </c>
      <c r="M968" s="9" t="s">
        <v>204</v>
      </c>
      <c r="N968" s="9" t="s">
        <v>93</v>
      </c>
      <c r="O968" s="9">
        <v>58.6</v>
      </c>
      <c r="P968" s="9" t="s">
        <v>53</v>
      </c>
      <c r="Q968" s="9" t="b">
        <v>0</v>
      </c>
      <c r="R968" s="9" t="b">
        <v>0</v>
      </c>
      <c r="S968" s="9" t="b">
        <v>0</v>
      </c>
      <c r="T968" s="9">
        <v>0.61</v>
      </c>
      <c r="U968" s="9">
        <v>1</v>
      </c>
      <c r="V968" s="9" t="b">
        <v>1</v>
      </c>
      <c r="W968" s="9" t="s">
        <v>3113</v>
      </c>
    </row>
    <row r="969" spans="1:23" ht="29" customHeight="1" x14ac:dyDescent="0.2">
      <c r="A969" s="9" t="s">
        <v>3114</v>
      </c>
      <c r="B969" s="10" t="s">
        <v>3115</v>
      </c>
      <c r="C969" s="9" t="s">
        <v>1741</v>
      </c>
      <c r="D969" s="9" t="s">
        <v>1741</v>
      </c>
      <c r="E969" s="9" t="s">
        <v>2913</v>
      </c>
      <c r="F969" s="9" t="s">
        <v>3049</v>
      </c>
      <c r="G969" s="9">
        <v>2699</v>
      </c>
      <c r="H969" s="9">
        <v>5000</v>
      </c>
      <c r="I969" s="9">
        <v>46</v>
      </c>
      <c r="J969" s="11">
        <v>4</v>
      </c>
      <c r="K969" s="9">
        <v>26164</v>
      </c>
      <c r="L969" s="9">
        <v>4.0106407061193527</v>
      </c>
      <c r="M969" s="9" t="s">
        <v>28</v>
      </c>
      <c r="N969" s="9" t="s">
        <v>144</v>
      </c>
      <c r="O969" s="9">
        <v>26.4</v>
      </c>
      <c r="P969" s="9" t="s">
        <v>40</v>
      </c>
      <c r="Q969" s="9" t="b">
        <v>0</v>
      </c>
      <c r="R969" s="9" t="b">
        <v>0</v>
      </c>
      <c r="S969" s="9" t="b">
        <v>0</v>
      </c>
      <c r="T969" s="9">
        <v>1.1599999999999999</v>
      </c>
      <c r="U969" s="9">
        <v>1</v>
      </c>
      <c r="V969" s="9" t="b">
        <v>1</v>
      </c>
      <c r="W969" s="9" t="s">
        <v>3116</v>
      </c>
    </row>
    <row r="970" spans="1:23" ht="29" customHeight="1" x14ac:dyDescent="0.2">
      <c r="A970" s="9" t="s">
        <v>3117</v>
      </c>
      <c r="B970" s="10" t="s">
        <v>3118</v>
      </c>
      <c r="C970" s="9" t="s">
        <v>1741</v>
      </c>
      <c r="D970" s="9" t="s">
        <v>1741</v>
      </c>
      <c r="E970" s="9" t="s">
        <v>2913</v>
      </c>
      <c r="F970" s="9" t="s">
        <v>2969</v>
      </c>
      <c r="G970" s="9">
        <v>599</v>
      </c>
      <c r="H970" s="9">
        <v>990</v>
      </c>
      <c r="I970" s="9">
        <v>39</v>
      </c>
      <c r="J970" s="11">
        <v>3.9</v>
      </c>
      <c r="K970" s="9">
        <v>16166</v>
      </c>
      <c r="L970" s="9">
        <v>3.9348590757799542</v>
      </c>
      <c r="M970" s="9" t="s">
        <v>28</v>
      </c>
      <c r="N970" s="9" t="s">
        <v>93</v>
      </c>
      <c r="O970" s="9">
        <v>30</v>
      </c>
      <c r="P970" s="9" t="s">
        <v>40</v>
      </c>
      <c r="Q970" s="9" t="b">
        <v>0</v>
      </c>
      <c r="R970" s="9" t="b">
        <v>0</v>
      </c>
      <c r="S970" s="9" t="b">
        <v>0</v>
      </c>
      <c r="T970" s="9">
        <v>0.88</v>
      </c>
      <c r="U970" s="9">
        <v>1</v>
      </c>
      <c r="V970" s="9" t="b">
        <v>1</v>
      </c>
      <c r="W970" s="9" t="s">
        <v>3119</v>
      </c>
    </row>
    <row r="971" spans="1:23" ht="29" customHeight="1" x14ac:dyDescent="0.2">
      <c r="A971" s="9" t="s">
        <v>3120</v>
      </c>
      <c r="B971" s="10" t="s">
        <v>3121</v>
      </c>
      <c r="C971" s="9" t="s">
        <v>1741</v>
      </c>
      <c r="D971" s="9" t="s">
        <v>1741</v>
      </c>
      <c r="E971" s="9" t="s">
        <v>2913</v>
      </c>
      <c r="F971" s="9" t="s">
        <v>2991</v>
      </c>
      <c r="G971" s="9">
        <v>749</v>
      </c>
      <c r="H971" s="9">
        <v>1111</v>
      </c>
      <c r="I971" s="9">
        <v>33</v>
      </c>
      <c r="J971" s="11">
        <v>4.2</v>
      </c>
      <c r="K971" s="9">
        <v>35693</v>
      </c>
      <c r="L971" s="9">
        <v>4.1889987224006999</v>
      </c>
      <c r="M971" s="9" t="s">
        <v>28</v>
      </c>
      <c r="N971" s="9" t="s">
        <v>93</v>
      </c>
      <c r="O971" s="9">
        <v>60.4</v>
      </c>
      <c r="P971" s="9" t="s">
        <v>53</v>
      </c>
      <c r="Q971" s="9" t="b">
        <v>0</v>
      </c>
      <c r="R971" s="9" t="b">
        <v>0</v>
      </c>
      <c r="S971" s="9" t="b">
        <v>0</v>
      </c>
      <c r="T971" s="9">
        <v>0.63</v>
      </c>
      <c r="U971" s="9">
        <v>1</v>
      </c>
      <c r="V971" s="9" t="b">
        <v>1</v>
      </c>
      <c r="W971" s="9" t="s">
        <v>3122</v>
      </c>
    </row>
    <row r="972" spans="1:23" ht="29" customHeight="1" x14ac:dyDescent="0.2">
      <c r="A972" s="9" t="s">
        <v>3123</v>
      </c>
      <c r="B972" s="10" t="s">
        <v>3124</v>
      </c>
      <c r="C972" s="9" t="s">
        <v>1741</v>
      </c>
      <c r="D972" s="9" t="s">
        <v>1741</v>
      </c>
      <c r="E972" s="9" t="s">
        <v>2918</v>
      </c>
      <c r="F972" s="9" t="s">
        <v>2995</v>
      </c>
      <c r="G972" s="9">
        <v>6199</v>
      </c>
      <c r="H972" s="9">
        <v>10400</v>
      </c>
      <c r="I972" s="9">
        <v>40</v>
      </c>
      <c r="J972" s="11">
        <v>4.0999999999999996</v>
      </c>
      <c r="K972" s="9">
        <v>14391</v>
      </c>
      <c r="L972" s="9">
        <v>4.0968154400903849</v>
      </c>
      <c r="M972" s="9" t="s">
        <v>28</v>
      </c>
      <c r="N972" s="9" t="s">
        <v>144</v>
      </c>
      <c r="O972" s="9">
        <v>40.4</v>
      </c>
      <c r="P972" s="9" t="s">
        <v>30</v>
      </c>
      <c r="Q972" s="9" t="b">
        <v>0</v>
      </c>
      <c r="R972" s="9" t="b">
        <v>0</v>
      </c>
      <c r="S972" s="9" t="b">
        <v>0</v>
      </c>
      <c r="T972" s="9">
        <v>0.97</v>
      </c>
      <c r="U972" s="9">
        <v>1</v>
      </c>
      <c r="V972" s="9" t="b">
        <v>1</v>
      </c>
      <c r="W972" s="9" t="s">
        <v>3125</v>
      </c>
    </row>
    <row r="973" spans="1:23" ht="29" customHeight="1" x14ac:dyDescent="0.2">
      <c r="A973" s="9" t="s">
        <v>3126</v>
      </c>
      <c r="B973" s="10" t="s">
        <v>3127</v>
      </c>
      <c r="C973" s="9" t="s">
        <v>1741</v>
      </c>
      <c r="D973" s="9" t="s">
        <v>1741</v>
      </c>
      <c r="E973" s="9" t="s">
        <v>2913</v>
      </c>
      <c r="F973" s="9" t="s">
        <v>3128</v>
      </c>
      <c r="G973" s="9">
        <v>1819</v>
      </c>
      <c r="H973" s="9">
        <v>2490</v>
      </c>
      <c r="I973" s="9">
        <v>27</v>
      </c>
      <c r="J973" s="11">
        <v>4.4000000000000004</v>
      </c>
      <c r="K973" s="9">
        <v>7946</v>
      </c>
      <c r="L973" s="9">
        <v>4.2986581621626012</v>
      </c>
      <c r="M973" s="9" t="s">
        <v>28</v>
      </c>
      <c r="N973" s="9" t="s">
        <v>179</v>
      </c>
      <c r="O973" s="9">
        <v>58.3</v>
      </c>
      <c r="P973" s="9" t="s">
        <v>53</v>
      </c>
      <c r="Q973" s="9" t="b">
        <v>0</v>
      </c>
      <c r="R973" s="9" t="b">
        <v>0</v>
      </c>
      <c r="S973" s="9" t="b">
        <v>0</v>
      </c>
      <c r="U973" s="9">
        <v>1</v>
      </c>
      <c r="V973" s="9" t="b">
        <v>1</v>
      </c>
      <c r="W973" s="9" t="s">
        <v>3129</v>
      </c>
    </row>
    <row r="974" spans="1:23" ht="29" customHeight="1" x14ac:dyDescent="0.2">
      <c r="A974" s="9" t="s">
        <v>3130</v>
      </c>
      <c r="B974" s="10" t="s">
        <v>3131</v>
      </c>
      <c r="C974" s="9" t="s">
        <v>1741</v>
      </c>
      <c r="D974" s="9" t="s">
        <v>1741</v>
      </c>
      <c r="E974" s="9" t="s">
        <v>2913</v>
      </c>
      <c r="F974" s="9" t="s">
        <v>2991</v>
      </c>
      <c r="G974" s="9">
        <v>1199</v>
      </c>
      <c r="H974" s="9">
        <v>1900</v>
      </c>
      <c r="I974" s="9">
        <v>37</v>
      </c>
      <c r="J974" s="11">
        <v>4</v>
      </c>
      <c r="K974" s="9">
        <v>1765</v>
      </c>
      <c r="L974" s="9">
        <v>4.0576099668350638</v>
      </c>
      <c r="M974" s="9" t="s">
        <v>28</v>
      </c>
      <c r="N974" s="9" t="s">
        <v>179</v>
      </c>
      <c r="O974" s="9">
        <v>33.200000000000003</v>
      </c>
      <c r="P974" s="9" t="s">
        <v>40</v>
      </c>
      <c r="Q974" s="9" t="b">
        <v>0</v>
      </c>
      <c r="R974" s="9" t="b">
        <v>0</v>
      </c>
      <c r="S974" s="9" t="b">
        <v>0</v>
      </c>
      <c r="T974" s="9">
        <v>1.01</v>
      </c>
      <c r="U974" s="9">
        <v>1</v>
      </c>
      <c r="V974" s="9" t="b">
        <v>1</v>
      </c>
      <c r="W974" s="9" t="s">
        <v>3132</v>
      </c>
    </row>
    <row r="975" spans="1:23" ht="29" customHeight="1" x14ac:dyDescent="0.2">
      <c r="A975" s="9" t="s">
        <v>3133</v>
      </c>
      <c r="B975" s="10" t="s">
        <v>3134</v>
      </c>
      <c r="C975" s="9" t="s">
        <v>1741</v>
      </c>
      <c r="D975" s="9" t="s">
        <v>1741</v>
      </c>
      <c r="E975" s="9" t="s">
        <v>2913</v>
      </c>
      <c r="F975" s="9" t="s">
        <v>2973</v>
      </c>
      <c r="G975" s="9">
        <v>3249</v>
      </c>
      <c r="H975" s="9">
        <v>6295</v>
      </c>
      <c r="I975" s="9">
        <v>48</v>
      </c>
      <c r="J975" s="11">
        <v>3.8</v>
      </c>
      <c r="K975" s="9">
        <v>14062</v>
      </c>
      <c r="L975" s="9">
        <v>3.8600824197975152</v>
      </c>
      <c r="M975" s="9" t="s">
        <v>28</v>
      </c>
      <c r="N975" s="9" t="s">
        <v>144</v>
      </c>
      <c r="O975" s="9">
        <v>21.2</v>
      </c>
      <c r="P975" s="9" t="s">
        <v>40</v>
      </c>
      <c r="Q975" s="9" t="b">
        <v>0</v>
      </c>
      <c r="R975" s="9" t="b">
        <v>0</v>
      </c>
      <c r="S975" s="9" t="b">
        <v>1</v>
      </c>
      <c r="T975" s="9">
        <v>1.1200000000000001</v>
      </c>
      <c r="U975" s="9">
        <v>1</v>
      </c>
      <c r="V975" s="9" t="b">
        <v>1</v>
      </c>
      <c r="W975" s="9" t="s">
        <v>3135</v>
      </c>
    </row>
    <row r="976" spans="1:23" ht="29" customHeight="1" x14ac:dyDescent="0.2">
      <c r="A976" s="9" t="s">
        <v>3136</v>
      </c>
      <c r="B976" s="10" t="s">
        <v>3137</v>
      </c>
      <c r="C976" s="9" t="s">
        <v>1741</v>
      </c>
      <c r="D976" s="9" t="s">
        <v>1741</v>
      </c>
      <c r="E976" s="9" t="s">
        <v>2913</v>
      </c>
      <c r="F976" s="9" t="s">
        <v>3078</v>
      </c>
      <c r="G976" s="9">
        <v>349</v>
      </c>
      <c r="H976" s="9">
        <v>999</v>
      </c>
      <c r="I976" s="9">
        <v>65</v>
      </c>
      <c r="J976" s="11">
        <v>4</v>
      </c>
      <c r="K976" s="9">
        <v>15646</v>
      </c>
      <c r="L976" s="9">
        <v>4.016407197448582</v>
      </c>
      <c r="M976" s="9" t="s">
        <v>28</v>
      </c>
      <c r="N976" s="9" t="s">
        <v>29</v>
      </c>
      <c r="O976" s="9">
        <v>49.6</v>
      </c>
      <c r="P976" s="9" t="s">
        <v>30</v>
      </c>
      <c r="Q976" s="9" t="b">
        <v>0</v>
      </c>
      <c r="R976" s="9" t="b">
        <v>0</v>
      </c>
      <c r="S976" s="9" t="b">
        <v>0</v>
      </c>
      <c r="T976" s="9">
        <v>0.5</v>
      </c>
      <c r="U976" s="9">
        <v>1</v>
      </c>
      <c r="V976" s="9" t="b">
        <v>1</v>
      </c>
      <c r="W976" s="9" t="s">
        <v>3138</v>
      </c>
    </row>
    <row r="977" spans="1:23" ht="29" customHeight="1" x14ac:dyDescent="0.2">
      <c r="A977" s="9" t="s">
        <v>3139</v>
      </c>
      <c r="B977" s="10" t="s">
        <v>3140</v>
      </c>
      <c r="C977" s="9" t="s">
        <v>1741</v>
      </c>
      <c r="D977" s="9" t="s">
        <v>1741</v>
      </c>
      <c r="E977" s="9" t="s">
        <v>2918</v>
      </c>
      <c r="F977" s="9" t="s">
        <v>2923</v>
      </c>
      <c r="G977" s="9">
        <v>1049</v>
      </c>
      <c r="H977" s="9">
        <v>1699</v>
      </c>
      <c r="I977" s="9">
        <v>38</v>
      </c>
      <c r="J977" s="11">
        <v>3.1</v>
      </c>
      <c r="K977" s="9">
        <v>111</v>
      </c>
      <c r="L977" s="9">
        <v>4.0564190245723033</v>
      </c>
      <c r="M977" s="9" t="s">
        <v>89</v>
      </c>
      <c r="N977" s="9" t="s">
        <v>179</v>
      </c>
      <c r="O977" s="9">
        <v>38.6</v>
      </c>
      <c r="P977" s="9" t="s">
        <v>40</v>
      </c>
      <c r="Q977" s="9" t="b">
        <v>0</v>
      </c>
      <c r="R977" s="9" t="b">
        <v>0</v>
      </c>
      <c r="S977" s="9" t="b">
        <v>1</v>
      </c>
      <c r="T977" s="9">
        <v>0.97</v>
      </c>
      <c r="U977" s="9">
        <v>1</v>
      </c>
      <c r="V977" s="9" t="b">
        <v>1</v>
      </c>
      <c r="W977" s="9" t="s">
        <v>3141</v>
      </c>
    </row>
    <row r="978" spans="1:23" ht="29" customHeight="1" x14ac:dyDescent="0.2">
      <c r="A978" s="9" t="s">
        <v>3142</v>
      </c>
      <c r="B978" s="10" t="s">
        <v>3143</v>
      </c>
      <c r="C978" s="9" t="s">
        <v>1741</v>
      </c>
      <c r="D978" s="9" t="s">
        <v>1741</v>
      </c>
      <c r="E978" s="9" t="s">
        <v>2913</v>
      </c>
      <c r="F978" s="9" t="s">
        <v>3144</v>
      </c>
      <c r="G978" s="9">
        <v>799</v>
      </c>
      <c r="H978" s="9">
        <v>1500</v>
      </c>
      <c r="I978" s="9">
        <v>47</v>
      </c>
      <c r="J978" s="11">
        <v>4.3</v>
      </c>
      <c r="K978" s="9">
        <v>9695</v>
      </c>
      <c r="L978" s="9">
        <v>4.2397874116054846</v>
      </c>
      <c r="M978" s="9" t="s">
        <v>28</v>
      </c>
      <c r="N978" s="9" t="s">
        <v>93</v>
      </c>
      <c r="O978" s="9">
        <v>69.400000000000006</v>
      </c>
      <c r="P978" s="9" t="s">
        <v>36</v>
      </c>
      <c r="Q978" s="9" t="b">
        <v>0</v>
      </c>
      <c r="R978" s="9" t="b">
        <v>0</v>
      </c>
      <c r="S978" s="9" t="b">
        <v>0</v>
      </c>
      <c r="U978" s="9">
        <v>1</v>
      </c>
      <c r="V978" s="9" t="b">
        <v>1</v>
      </c>
      <c r="W978" s="9" t="s">
        <v>3145</v>
      </c>
    </row>
    <row r="979" spans="1:23" ht="29" customHeight="1" x14ac:dyDescent="0.2">
      <c r="A979" s="9" t="s">
        <v>3146</v>
      </c>
      <c r="B979" s="10" t="s">
        <v>3147</v>
      </c>
      <c r="C979" s="9" t="s">
        <v>1741</v>
      </c>
      <c r="D979" s="9" t="s">
        <v>1741</v>
      </c>
      <c r="E979" s="9" t="s">
        <v>2918</v>
      </c>
      <c r="F979" s="9" t="s">
        <v>2995</v>
      </c>
      <c r="G979" s="9">
        <v>4999</v>
      </c>
      <c r="H979" s="9">
        <v>9650</v>
      </c>
      <c r="I979" s="9">
        <v>48</v>
      </c>
      <c r="J979" s="11">
        <v>4.2</v>
      </c>
      <c r="K979" s="9">
        <v>1772</v>
      </c>
      <c r="L979" s="9">
        <v>4.1215717936002916</v>
      </c>
      <c r="M979" s="9" t="s">
        <v>28</v>
      </c>
      <c r="N979" s="9" t="s">
        <v>144</v>
      </c>
      <c r="O979" s="9">
        <v>49.9</v>
      </c>
      <c r="P979" s="9" t="s">
        <v>30</v>
      </c>
      <c r="Q979" s="9" t="b">
        <v>0</v>
      </c>
      <c r="R979" s="9" t="b">
        <v>0</v>
      </c>
      <c r="S979" s="9" t="b">
        <v>0</v>
      </c>
      <c r="T979" s="9">
        <v>0.78</v>
      </c>
      <c r="U979" s="9">
        <v>1</v>
      </c>
      <c r="V979" s="9" t="b">
        <v>1</v>
      </c>
      <c r="W979" s="9" t="s">
        <v>3148</v>
      </c>
    </row>
    <row r="980" spans="1:23" ht="29" customHeight="1" x14ac:dyDescent="0.2">
      <c r="A980" s="9" t="s">
        <v>3149</v>
      </c>
      <c r="B980" s="10" t="s">
        <v>3150</v>
      </c>
      <c r="C980" s="9" t="s">
        <v>1741</v>
      </c>
      <c r="D980" s="9" t="s">
        <v>1741</v>
      </c>
      <c r="E980" s="9" t="s">
        <v>2913</v>
      </c>
      <c r="F980" s="9" t="s">
        <v>2973</v>
      </c>
      <c r="G980" s="9">
        <v>6999</v>
      </c>
      <c r="H980" s="9">
        <v>10590</v>
      </c>
      <c r="I980" s="9">
        <v>34</v>
      </c>
      <c r="J980" s="11">
        <v>4.4000000000000004</v>
      </c>
      <c r="K980" s="9">
        <v>11499</v>
      </c>
      <c r="L980" s="9">
        <v>4.3222513574472243</v>
      </c>
      <c r="M980" s="9" t="s">
        <v>28</v>
      </c>
      <c r="N980" s="9" t="s">
        <v>144</v>
      </c>
      <c r="O980" s="9">
        <v>57.3</v>
      </c>
      <c r="P980" s="9" t="s">
        <v>53</v>
      </c>
      <c r="Q980" s="9" t="b">
        <v>0</v>
      </c>
      <c r="R980" s="9" t="b">
        <v>0</v>
      </c>
      <c r="S980" s="9" t="b">
        <v>0</v>
      </c>
      <c r="T980" s="9">
        <v>2.41</v>
      </c>
      <c r="U980" s="9">
        <v>1</v>
      </c>
      <c r="V980" s="9" t="b">
        <v>1</v>
      </c>
      <c r="W980" s="9" t="s">
        <v>3151</v>
      </c>
    </row>
    <row r="981" spans="1:23" ht="29" customHeight="1" x14ac:dyDescent="0.2">
      <c r="A981" s="9" t="s">
        <v>3152</v>
      </c>
      <c r="B981" s="10" t="s">
        <v>3153</v>
      </c>
      <c r="C981" s="9" t="s">
        <v>1741</v>
      </c>
      <c r="D981" s="9" t="s">
        <v>1741</v>
      </c>
      <c r="E981" s="9" t="s">
        <v>2913</v>
      </c>
      <c r="F981" s="9" t="s">
        <v>2931</v>
      </c>
      <c r="G981" s="9">
        <v>799</v>
      </c>
      <c r="H981" s="9">
        <v>1999</v>
      </c>
      <c r="I981" s="9">
        <v>60</v>
      </c>
      <c r="J981" s="11">
        <v>4.0999999999999996</v>
      </c>
      <c r="K981" s="9">
        <v>2162</v>
      </c>
      <c r="L981" s="9">
        <v>4.0902420612171184</v>
      </c>
      <c r="M981" s="9" t="s">
        <v>28</v>
      </c>
      <c r="N981" s="9" t="s">
        <v>93</v>
      </c>
      <c r="O981" s="9">
        <v>56.5</v>
      </c>
      <c r="P981" s="9" t="s">
        <v>53</v>
      </c>
      <c r="Q981" s="9" t="b">
        <v>0</v>
      </c>
      <c r="R981" s="9" t="b">
        <v>0</v>
      </c>
      <c r="S981" s="9" t="b">
        <v>0</v>
      </c>
      <c r="T981" s="9">
        <v>1.63</v>
      </c>
      <c r="U981" s="9">
        <v>1</v>
      </c>
      <c r="V981" s="9" t="b">
        <v>1</v>
      </c>
      <c r="W981" s="9" t="s">
        <v>3154</v>
      </c>
    </row>
    <row r="982" spans="1:23" ht="29" customHeight="1" x14ac:dyDescent="0.2">
      <c r="A982" s="9" t="s">
        <v>3155</v>
      </c>
      <c r="B982" s="10" t="s">
        <v>3156</v>
      </c>
      <c r="C982" s="9" t="s">
        <v>1741</v>
      </c>
      <c r="D982" s="9" t="s">
        <v>1741</v>
      </c>
      <c r="E982" s="9" t="s">
        <v>2913</v>
      </c>
      <c r="F982" s="9" t="s">
        <v>3157</v>
      </c>
      <c r="G982" s="9">
        <v>89</v>
      </c>
      <c r="H982" s="9">
        <v>89</v>
      </c>
      <c r="I982" s="9">
        <v>0</v>
      </c>
      <c r="J982" s="11">
        <v>4.2</v>
      </c>
      <c r="K982" s="9">
        <v>19621</v>
      </c>
      <c r="L982" s="9">
        <v>4.1814372994496463</v>
      </c>
      <c r="M982" s="9" t="s">
        <v>28</v>
      </c>
      <c r="N982" s="9" t="s">
        <v>29</v>
      </c>
      <c r="O982" s="9">
        <v>56.8</v>
      </c>
      <c r="P982" s="9" t="s">
        <v>53</v>
      </c>
      <c r="Q982" s="9" t="b">
        <v>0</v>
      </c>
      <c r="R982" s="9" t="b">
        <v>0</v>
      </c>
      <c r="S982" s="9" t="b">
        <v>0</v>
      </c>
      <c r="U982" s="9">
        <v>1</v>
      </c>
      <c r="V982" s="9" t="b">
        <v>1</v>
      </c>
      <c r="W982" s="9" t="s">
        <v>3158</v>
      </c>
    </row>
    <row r="983" spans="1:23" ht="29" customHeight="1" x14ac:dyDescent="0.2">
      <c r="A983" s="9" t="s">
        <v>3159</v>
      </c>
      <c r="B983" s="10" t="s">
        <v>3160</v>
      </c>
      <c r="C983" s="9" t="s">
        <v>1741</v>
      </c>
      <c r="D983" s="9" t="s">
        <v>1741</v>
      </c>
      <c r="E983" s="9" t="s">
        <v>2918</v>
      </c>
      <c r="F983" s="9" t="s">
        <v>3161</v>
      </c>
      <c r="G983" s="9">
        <v>1400</v>
      </c>
      <c r="H983" s="9">
        <v>2485</v>
      </c>
      <c r="I983" s="9">
        <v>44</v>
      </c>
      <c r="J983" s="11">
        <v>4.0999999999999996</v>
      </c>
      <c r="K983" s="9">
        <v>19998</v>
      </c>
      <c r="L983" s="9">
        <v>4.0975669321639199</v>
      </c>
      <c r="M983" s="9" t="s">
        <v>28</v>
      </c>
      <c r="N983" s="9" t="s">
        <v>179</v>
      </c>
      <c r="O983" s="9">
        <v>52.5</v>
      </c>
      <c r="P983" s="9" t="s">
        <v>53</v>
      </c>
      <c r="Q983" s="9" t="b">
        <v>0</v>
      </c>
      <c r="R983" s="9" t="b">
        <v>0</v>
      </c>
      <c r="S983" s="9" t="b">
        <v>0</v>
      </c>
      <c r="T983" s="9">
        <v>0.7</v>
      </c>
      <c r="U983" s="9">
        <v>1</v>
      </c>
      <c r="V983" s="9" t="b">
        <v>1</v>
      </c>
      <c r="W983" s="9" t="s">
        <v>3162</v>
      </c>
    </row>
    <row r="984" spans="1:23" ht="29" customHeight="1" x14ac:dyDescent="0.2">
      <c r="A984" s="9" t="s">
        <v>3163</v>
      </c>
      <c r="B984" s="10" t="s">
        <v>3164</v>
      </c>
      <c r="C984" s="9" t="s">
        <v>1741</v>
      </c>
      <c r="D984" s="9" t="s">
        <v>1741</v>
      </c>
      <c r="E984" s="9" t="s">
        <v>3031</v>
      </c>
      <c r="F984" s="9" t="s">
        <v>3032</v>
      </c>
      <c r="G984" s="9">
        <v>355</v>
      </c>
      <c r="H984" s="9">
        <v>899</v>
      </c>
      <c r="I984" s="9">
        <v>61</v>
      </c>
      <c r="J984" s="11">
        <v>4.0999999999999996</v>
      </c>
      <c r="K984" s="9">
        <v>1051</v>
      </c>
      <c r="L984" s="9">
        <v>4.0879898393436829</v>
      </c>
      <c r="M984" s="9" t="s">
        <v>28</v>
      </c>
      <c r="N984" s="9" t="s">
        <v>29</v>
      </c>
      <c r="O984" s="9">
        <v>51.7</v>
      </c>
      <c r="P984" s="9" t="s">
        <v>53</v>
      </c>
      <c r="Q984" s="9" t="b">
        <v>0</v>
      </c>
      <c r="R984" s="9" t="b">
        <v>0</v>
      </c>
      <c r="S984" s="9" t="b">
        <v>0</v>
      </c>
      <c r="T984" s="9">
        <v>1.01</v>
      </c>
      <c r="U984" s="9">
        <v>1</v>
      </c>
      <c r="V984" s="9" t="b">
        <v>1</v>
      </c>
      <c r="W984" s="9" t="s">
        <v>3165</v>
      </c>
    </row>
    <row r="985" spans="1:23" ht="29" customHeight="1" x14ac:dyDescent="0.2">
      <c r="A985" s="9" t="s">
        <v>3166</v>
      </c>
      <c r="B985" s="10" t="s">
        <v>3167</v>
      </c>
      <c r="C985" s="9" t="s">
        <v>1741</v>
      </c>
      <c r="D985" s="9" t="s">
        <v>1741</v>
      </c>
      <c r="E985" s="9" t="s">
        <v>2918</v>
      </c>
      <c r="F985" s="9" t="s">
        <v>2919</v>
      </c>
      <c r="G985" s="9">
        <v>2169</v>
      </c>
      <c r="H985" s="9">
        <v>3279</v>
      </c>
      <c r="I985" s="9">
        <v>34</v>
      </c>
      <c r="J985" s="11">
        <v>4.0999999999999996</v>
      </c>
      <c r="K985" s="9">
        <v>1716</v>
      </c>
      <c r="L985" s="9">
        <v>4.0894476757654132</v>
      </c>
      <c r="M985" s="9" t="s">
        <v>28</v>
      </c>
      <c r="N985" s="9" t="s">
        <v>179</v>
      </c>
      <c r="O985" s="9">
        <v>39.1</v>
      </c>
      <c r="P985" s="9" t="s">
        <v>30</v>
      </c>
      <c r="Q985" s="9" t="b">
        <v>0</v>
      </c>
      <c r="R985" s="9" t="b">
        <v>0</v>
      </c>
      <c r="S985" s="9" t="b">
        <v>0</v>
      </c>
      <c r="T985" s="9">
        <v>1.65</v>
      </c>
      <c r="U985" s="9">
        <v>1</v>
      </c>
      <c r="V985" s="9" t="b">
        <v>1</v>
      </c>
      <c r="W985" s="9" t="s">
        <v>3168</v>
      </c>
    </row>
    <row r="986" spans="1:23" ht="29" customHeight="1" x14ac:dyDescent="0.2">
      <c r="A986" s="9" t="s">
        <v>3169</v>
      </c>
      <c r="B986" s="10" t="s">
        <v>3170</v>
      </c>
      <c r="C986" s="9" t="s">
        <v>1741</v>
      </c>
      <c r="D986" s="9" t="s">
        <v>1741</v>
      </c>
      <c r="E986" s="9" t="s">
        <v>2913</v>
      </c>
      <c r="F986" s="9" t="s">
        <v>3171</v>
      </c>
      <c r="G986" s="9">
        <v>2799</v>
      </c>
      <c r="H986" s="9">
        <v>3799</v>
      </c>
      <c r="I986" s="9">
        <v>26</v>
      </c>
      <c r="J986" s="11">
        <v>3.9</v>
      </c>
      <c r="K986" s="9">
        <v>32931</v>
      </c>
      <c r="L986" s="9">
        <v>3.9189322112003708</v>
      </c>
      <c r="M986" s="9" t="s">
        <v>28</v>
      </c>
      <c r="N986" s="9" t="s">
        <v>144</v>
      </c>
      <c r="O986" s="9">
        <v>13.8</v>
      </c>
      <c r="P986" s="9" t="s">
        <v>40</v>
      </c>
      <c r="Q986" s="9" t="b">
        <v>0</v>
      </c>
      <c r="R986" s="9" t="b">
        <v>0</v>
      </c>
      <c r="S986" s="9" t="b">
        <v>0</v>
      </c>
      <c r="U986" s="9">
        <v>1</v>
      </c>
      <c r="V986" s="9" t="b">
        <v>1</v>
      </c>
      <c r="W986" s="9" t="s">
        <v>3172</v>
      </c>
    </row>
    <row r="987" spans="1:23" ht="29" customHeight="1" x14ac:dyDescent="0.2">
      <c r="A987" s="9" t="s">
        <v>3173</v>
      </c>
      <c r="B987" s="10" t="s">
        <v>3174</v>
      </c>
      <c r="C987" s="9" t="s">
        <v>1741</v>
      </c>
      <c r="D987" s="9" t="s">
        <v>1741</v>
      </c>
      <c r="E987" s="9" t="s">
        <v>2913</v>
      </c>
      <c r="F987" s="9" t="s">
        <v>2914</v>
      </c>
      <c r="G987" s="9">
        <v>899</v>
      </c>
      <c r="H987" s="9">
        <v>1249</v>
      </c>
      <c r="I987" s="9">
        <v>28</v>
      </c>
      <c r="J987" s="11">
        <v>3.9</v>
      </c>
      <c r="K987" s="9">
        <v>17424</v>
      </c>
      <c r="L987" s="9">
        <v>3.932789233317481</v>
      </c>
      <c r="M987" s="9" t="s">
        <v>28</v>
      </c>
      <c r="N987" s="9" t="s">
        <v>93</v>
      </c>
      <c r="O987" s="9">
        <v>23</v>
      </c>
      <c r="P987" s="9" t="s">
        <v>40</v>
      </c>
      <c r="Q987" s="9" t="b">
        <v>0</v>
      </c>
      <c r="R987" s="9" t="b">
        <v>0</v>
      </c>
      <c r="S987" s="9" t="b">
        <v>0</v>
      </c>
      <c r="T987" s="9">
        <v>0.9</v>
      </c>
      <c r="U987" s="9">
        <v>1</v>
      </c>
      <c r="V987" s="9" t="b">
        <v>1</v>
      </c>
      <c r="W987" s="9" t="s">
        <v>3175</v>
      </c>
    </row>
    <row r="988" spans="1:23" ht="29" customHeight="1" x14ac:dyDescent="0.2">
      <c r="A988" s="9" t="s">
        <v>3176</v>
      </c>
      <c r="B988" s="10" t="s">
        <v>3177</v>
      </c>
      <c r="C988" s="9" t="s">
        <v>1741</v>
      </c>
      <c r="D988" s="9" t="s">
        <v>1741</v>
      </c>
      <c r="E988" s="9" t="s">
        <v>2918</v>
      </c>
      <c r="F988" s="9" t="s">
        <v>2981</v>
      </c>
      <c r="G988" s="9">
        <v>2499</v>
      </c>
      <c r="H988" s="9">
        <v>5000</v>
      </c>
      <c r="I988" s="9">
        <v>50</v>
      </c>
      <c r="J988" s="11">
        <v>3.8</v>
      </c>
      <c r="K988" s="9">
        <v>1889</v>
      </c>
      <c r="L988" s="9">
        <v>3.9894964331028602</v>
      </c>
      <c r="M988" s="9" t="s">
        <v>28</v>
      </c>
      <c r="N988" s="9" t="s">
        <v>179</v>
      </c>
      <c r="O988" s="9">
        <v>30</v>
      </c>
      <c r="P988" s="9" t="s">
        <v>40</v>
      </c>
      <c r="Q988" s="9" t="b">
        <v>0</v>
      </c>
      <c r="R988" s="9" t="b">
        <v>0</v>
      </c>
      <c r="S988" s="9" t="b">
        <v>1</v>
      </c>
      <c r="U988" s="9">
        <v>1</v>
      </c>
      <c r="V988" s="9" t="b">
        <v>1</v>
      </c>
      <c r="W988" s="9" t="s">
        <v>3178</v>
      </c>
    </row>
    <row r="989" spans="1:23" ht="29" customHeight="1" x14ac:dyDescent="0.2">
      <c r="A989" s="9" t="s">
        <v>3179</v>
      </c>
      <c r="B989" s="10" t="s">
        <v>3180</v>
      </c>
      <c r="C989" s="9" t="s">
        <v>1741</v>
      </c>
      <c r="D989" s="9" t="s">
        <v>1741</v>
      </c>
      <c r="E989" s="9" t="s">
        <v>2918</v>
      </c>
      <c r="F989" s="9" t="s">
        <v>2977</v>
      </c>
      <c r="G989" s="9">
        <v>3599</v>
      </c>
      <c r="H989" s="9">
        <v>7299</v>
      </c>
      <c r="I989" s="9">
        <v>51</v>
      </c>
      <c r="J989" s="11">
        <v>4</v>
      </c>
      <c r="K989" s="9">
        <v>10324</v>
      </c>
      <c r="L989" s="9">
        <v>4.022605976763626</v>
      </c>
      <c r="M989" s="9" t="s">
        <v>28</v>
      </c>
      <c r="N989" s="9" t="s">
        <v>144</v>
      </c>
      <c r="O989" s="9">
        <v>31.7</v>
      </c>
      <c r="P989" s="9" t="s">
        <v>40</v>
      </c>
      <c r="Q989" s="9" t="b">
        <v>0</v>
      </c>
      <c r="R989" s="9" t="b">
        <v>0</v>
      </c>
      <c r="S989" s="9" t="b">
        <v>0</v>
      </c>
      <c r="T989" s="9">
        <v>1.38</v>
      </c>
      <c r="U989" s="9">
        <v>1</v>
      </c>
      <c r="V989" s="9" t="b">
        <v>1</v>
      </c>
      <c r="W989" s="9" t="s">
        <v>3181</v>
      </c>
    </row>
    <row r="990" spans="1:23" ht="29" customHeight="1" x14ac:dyDescent="0.2">
      <c r="A990" s="9" t="s">
        <v>3182</v>
      </c>
      <c r="B990" s="10" t="s">
        <v>3183</v>
      </c>
      <c r="C990" s="9" t="s">
        <v>1741</v>
      </c>
      <c r="D990" s="9" t="s">
        <v>1741</v>
      </c>
      <c r="E990" s="9" t="s">
        <v>2913</v>
      </c>
      <c r="F990" s="9" t="s">
        <v>2969</v>
      </c>
      <c r="G990" s="9">
        <v>499</v>
      </c>
      <c r="H990" s="9">
        <v>625</v>
      </c>
      <c r="I990" s="9">
        <v>20</v>
      </c>
      <c r="J990" s="11">
        <v>4.2</v>
      </c>
      <c r="K990" s="9">
        <v>5355</v>
      </c>
      <c r="L990" s="9">
        <v>4.1523925518706681</v>
      </c>
      <c r="M990" s="9" t="s">
        <v>28</v>
      </c>
      <c r="N990" s="9" t="s">
        <v>29</v>
      </c>
      <c r="O990" s="9">
        <v>53.6</v>
      </c>
      <c r="P990" s="9" t="s">
        <v>53</v>
      </c>
      <c r="Q990" s="9" t="b">
        <v>0</v>
      </c>
      <c r="R990" s="9" t="b">
        <v>0</v>
      </c>
      <c r="S990" s="9" t="b">
        <v>0</v>
      </c>
      <c r="T990" s="9">
        <v>0.73</v>
      </c>
      <c r="U990" s="9">
        <v>1</v>
      </c>
      <c r="V990" s="9" t="b">
        <v>1</v>
      </c>
      <c r="W990" s="9" t="s">
        <v>3184</v>
      </c>
    </row>
    <row r="991" spans="1:23" ht="29" customHeight="1" x14ac:dyDescent="0.2">
      <c r="A991" s="9" t="s">
        <v>3185</v>
      </c>
      <c r="B991" s="10" t="s">
        <v>3186</v>
      </c>
      <c r="C991" s="9" t="s">
        <v>1741</v>
      </c>
      <c r="D991" s="9" t="s">
        <v>1741</v>
      </c>
      <c r="E991" s="9" t="s">
        <v>2918</v>
      </c>
      <c r="F991" s="9" t="s">
        <v>3017</v>
      </c>
      <c r="G991" s="9">
        <v>653</v>
      </c>
      <c r="H991" s="9">
        <v>1020</v>
      </c>
      <c r="I991" s="9">
        <v>36</v>
      </c>
      <c r="J991" s="11">
        <v>4.0999999999999996</v>
      </c>
      <c r="K991" s="9">
        <v>3366</v>
      </c>
      <c r="L991" s="9">
        <v>4.0918901720811967</v>
      </c>
      <c r="M991" s="9" t="s">
        <v>28</v>
      </c>
      <c r="N991" s="9" t="s">
        <v>93</v>
      </c>
      <c r="O991" s="9">
        <v>49.3</v>
      </c>
      <c r="P991" s="9" t="s">
        <v>30</v>
      </c>
      <c r="Q991" s="9" t="b">
        <v>0</v>
      </c>
      <c r="R991" s="9" t="b">
        <v>0</v>
      </c>
      <c r="S991" s="9" t="b">
        <v>0</v>
      </c>
      <c r="U991" s="9">
        <v>1</v>
      </c>
      <c r="V991" s="9" t="b">
        <v>1</v>
      </c>
      <c r="W991" s="9" t="s">
        <v>3187</v>
      </c>
    </row>
    <row r="992" spans="1:23" ht="29" customHeight="1" x14ac:dyDescent="0.2">
      <c r="A992" s="9" t="s">
        <v>3188</v>
      </c>
      <c r="B992" s="10" t="s">
        <v>3189</v>
      </c>
      <c r="C992" s="9" t="s">
        <v>1741</v>
      </c>
      <c r="D992" s="9" t="s">
        <v>1741</v>
      </c>
      <c r="E992" s="9" t="s">
        <v>2913</v>
      </c>
      <c r="F992" s="9" t="s">
        <v>3190</v>
      </c>
      <c r="G992" s="9">
        <v>4789</v>
      </c>
      <c r="H992" s="9">
        <v>8990</v>
      </c>
      <c r="I992" s="9">
        <v>47</v>
      </c>
      <c r="J992" s="11">
        <v>4.3</v>
      </c>
      <c r="K992" s="9">
        <v>1017</v>
      </c>
      <c r="L992" s="9">
        <v>4.1304611552841974</v>
      </c>
      <c r="M992" s="9" t="s">
        <v>28</v>
      </c>
      <c r="N992" s="9" t="s">
        <v>144</v>
      </c>
      <c r="O992" s="9">
        <v>48.8</v>
      </c>
      <c r="P992" s="9" t="s">
        <v>30</v>
      </c>
      <c r="Q992" s="9" t="b">
        <v>0</v>
      </c>
      <c r="R992" s="9" t="b">
        <v>0</v>
      </c>
      <c r="S992" s="9" t="b">
        <v>0</v>
      </c>
      <c r="U992" s="9">
        <v>1</v>
      </c>
      <c r="V992" s="9" t="b">
        <v>1</v>
      </c>
      <c r="W992" s="9" t="s">
        <v>3191</v>
      </c>
    </row>
    <row r="993" spans="1:23" ht="29" customHeight="1" x14ac:dyDescent="0.2">
      <c r="A993" s="9" t="s">
        <v>3192</v>
      </c>
      <c r="B993" s="10" t="s">
        <v>3193</v>
      </c>
      <c r="C993" s="9" t="s">
        <v>1741</v>
      </c>
      <c r="D993" s="9" t="s">
        <v>1741</v>
      </c>
      <c r="E993" s="9" t="s">
        <v>2918</v>
      </c>
      <c r="F993" s="9" t="s">
        <v>3194</v>
      </c>
      <c r="G993" s="9">
        <v>1409</v>
      </c>
      <c r="H993" s="9">
        <v>1639</v>
      </c>
      <c r="I993" s="9">
        <v>14</v>
      </c>
      <c r="J993" s="11">
        <v>3.7</v>
      </c>
      <c r="K993" s="9">
        <v>787</v>
      </c>
      <c r="L993" s="9">
        <v>4.0180984925114442</v>
      </c>
      <c r="M993" s="9" t="s">
        <v>89</v>
      </c>
      <c r="N993" s="9" t="s">
        <v>179</v>
      </c>
      <c r="O993" s="9">
        <v>24.1</v>
      </c>
      <c r="P993" s="9" t="s">
        <v>40</v>
      </c>
      <c r="Q993" s="9" t="b">
        <v>0</v>
      </c>
      <c r="R993" s="9" t="b">
        <v>0</v>
      </c>
      <c r="S993" s="9" t="b">
        <v>1</v>
      </c>
      <c r="U993" s="9">
        <v>1</v>
      </c>
      <c r="V993" s="9" t="b">
        <v>1</v>
      </c>
      <c r="W993" s="9" t="s">
        <v>3195</v>
      </c>
    </row>
    <row r="994" spans="1:23" ht="29" customHeight="1" x14ac:dyDescent="0.2">
      <c r="A994" s="9" t="s">
        <v>3196</v>
      </c>
      <c r="B994" s="10" t="s">
        <v>3197</v>
      </c>
      <c r="C994" s="9" t="s">
        <v>1741</v>
      </c>
      <c r="D994" s="9" t="s">
        <v>1741</v>
      </c>
      <c r="E994" s="9" t="s">
        <v>2913</v>
      </c>
      <c r="F994" s="9" t="s">
        <v>2965</v>
      </c>
      <c r="G994" s="9">
        <v>753</v>
      </c>
      <c r="H994" s="9">
        <v>899</v>
      </c>
      <c r="I994" s="9">
        <v>16</v>
      </c>
      <c r="J994" s="11">
        <v>4.2</v>
      </c>
      <c r="K994" s="9">
        <v>18462</v>
      </c>
      <c r="L994" s="9">
        <v>4.1804692610263814</v>
      </c>
      <c r="M994" s="9" t="s">
        <v>28</v>
      </c>
      <c r="N994" s="9" t="s">
        <v>93</v>
      </c>
      <c r="O994" s="9">
        <v>52.8</v>
      </c>
      <c r="P994" s="9" t="s">
        <v>53</v>
      </c>
      <c r="Q994" s="9" t="b">
        <v>0</v>
      </c>
      <c r="R994" s="9" t="b">
        <v>0</v>
      </c>
      <c r="S994" s="9" t="b">
        <v>0</v>
      </c>
      <c r="T994" s="9">
        <v>1.08</v>
      </c>
      <c r="U994" s="9">
        <v>1</v>
      </c>
      <c r="V994" s="9" t="b">
        <v>1</v>
      </c>
      <c r="W994" s="9" t="s">
        <v>3198</v>
      </c>
    </row>
    <row r="995" spans="1:23" ht="29" customHeight="1" x14ac:dyDescent="0.2">
      <c r="A995" s="9" t="s">
        <v>3199</v>
      </c>
      <c r="B995" s="10" t="s">
        <v>3200</v>
      </c>
      <c r="C995" s="9" t="s">
        <v>1741</v>
      </c>
      <c r="D995" s="9" t="s">
        <v>1741</v>
      </c>
      <c r="E995" s="9" t="s">
        <v>2913</v>
      </c>
      <c r="F995" s="9" t="s">
        <v>3078</v>
      </c>
      <c r="G995" s="9">
        <v>353</v>
      </c>
      <c r="H995" s="9">
        <v>1199</v>
      </c>
      <c r="I995" s="9">
        <v>71</v>
      </c>
      <c r="J995" s="11">
        <v>4.3</v>
      </c>
      <c r="K995" s="9">
        <v>629</v>
      </c>
      <c r="L995" s="9">
        <v>4.1154819746512157</v>
      </c>
      <c r="M995" s="9" t="s">
        <v>89</v>
      </c>
      <c r="N995" s="9" t="s">
        <v>29</v>
      </c>
      <c r="O995" s="9">
        <v>73.8</v>
      </c>
      <c r="P995" s="9" t="s">
        <v>36</v>
      </c>
      <c r="Q995" s="9" t="b">
        <v>0</v>
      </c>
      <c r="R995" s="9" t="b">
        <v>0</v>
      </c>
      <c r="S995" s="9" t="b">
        <v>0</v>
      </c>
      <c r="T995" s="9">
        <v>0.51</v>
      </c>
      <c r="U995" s="9">
        <v>1</v>
      </c>
      <c r="V995" s="9" t="b">
        <v>1</v>
      </c>
      <c r="W995" s="9" t="s">
        <v>3201</v>
      </c>
    </row>
    <row r="996" spans="1:23" ht="29" customHeight="1" x14ac:dyDescent="0.2">
      <c r="A996" s="9" t="s">
        <v>3202</v>
      </c>
      <c r="B996" s="10" t="s">
        <v>3203</v>
      </c>
      <c r="C996" s="9" t="s">
        <v>1741</v>
      </c>
      <c r="D996" s="9" t="s">
        <v>1741</v>
      </c>
      <c r="E996" s="9" t="s">
        <v>2913</v>
      </c>
      <c r="F996" s="9" t="s">
        <v>2931</v>
      </c>
      <c r="G996" s="9">
        <v>1099</v>
      </c>
      <c r="H996" s="9">
        <v>1899</v>
      </c>
      <c r="I996" s="9">
        <v>42</v>
      </c>
      <c r="J996" s="11">
        <v>4.3</v>
      </c>
      <c r="K996" s="9">
        <v>15276</v>
      </c>
      <c r="L996" s="9">
        <v>4.257438300899798</v>
      </c>
      <c r="M996" s="9" t="s">
        <v>28</v>
      </c>
      <c r="N996" s="9" t="s">
        <v>179</v>
      </c>
      <c r="O996" s="9">
        <v>65.599999999999994</v>
      </c>
      <c r="P996" s="9" t="s">
        <v>36</v>
      </c>
      <c r="Q996" s="9" t="b">
        <v>0</v>
      </c>
      <c r="R996" s="9" t="b">
        <v>0</v>
      </c>
      <c r="S996" s="9" t="b">
        <v>0</v>
      </c>
      <c r="T996" s="9">
        <v>2.25</v>
      </c>
      <c r="U996" s="9">
        <v>1</v>
      </c>
      <c r="V996" s="9" t="b">
        <v>1</v>
      </c>
      <c r="W996" s="9" t="s">
        <v>3204</v>
      </c>
    </row>
    <row r="997" spans="1:23" ht="29" customHeight="1" x14ac:dyDescent="0.2">
      <c r="A997" s="9" t="s">
        <v>3205</v>
      </c>
      <c r="B997" s="10" t="s">
        <v>3206</v>
      </c>
      <c r="C997" s="9" t="s">
        <v>1741</v>
      </c>
      <c r="D997" s="9" t="s">
        <v>1741</v>
      </c>
      <c r="E997" s="9" t="s">
        <v>2913</v>
      </c>
      <c r="F997" s="9" t="s">
        <v>3027</v>
      </c>
      <c r="G997" s="9">
        <v>8799</v>
      </c>
      <c r="H997" s="9">
        <v>11595</v>
      </c>
      <c r="I997" s="9">
        <v>24</v>
      </c>
      <c r="J997" s="11">
        <v>4.4000000000000004</v>
      </c>
      <c r="K997" s="9">
        <v>2981</v>
      </c>
      <c r="L997" s="9">
        <v>4.2240437594247524</v>
      </c>
      <c r="M997" s="9" t="s">
        <v>28</v>
      </c>
      <c r="N997" s="9" t="s">
        <v>144</v>
      </c>
      <c r="O997" s="9">
        <v>47.6</v>
      </c>
      <c r="P997" s="9" t="s">
        <v>30</v>
      </c>
      <c r="Q997" s="9" t="b">
        <v>0</v>
      </c>
      <c r="R997" s="9" t="b">
        <v>0</v>
      </c>
      <c r="S997" s="9" t="b">
        <v>0</v>
      </c>
      <c r="U997" s="9">
        <v>1</v>
      </c>
      <c r="V997" s="9" t="b">
        <v>1</v>
      </c>
      <c r="W997" s="9" t="s">
        <v>3207</v>
      </c>
    </row>
    <row r="998" spans="1:23" ht="29" customHeight="1" x14ac:dyDescent="0.2">
      <c r="A998" s="9" t="s">
        <v>3208</v>
      </c>
      <c r="B998" s="10" t="s">
        <v>3209</v>
      </c>
      <c r="C998" s="9" t="s">
        <v>1741</v>
      </c>
      <c r="D998" s="9" t="s">
        <v>1741</v>
      </c>
      <c r="E998" s="9" t="s">
        <v>2913</v>
      </c>
      <c r="F998" s="9" t="s">
        <v>2914</v>
      </c>
      <c r="G998" s="9">
        <v>1345</v>
      </c>
      <c r="H998" s="9">
        <v>1750</v>
      </c>
      <c r="I998" s="9">
        <v>23</v>
      </c>
      <c r="J998" s="11">
        <v>3.8</v>
      </c>
      <c r="K998" s="9">
        <v>2466</v>
      </c>
      <c r="L998" s="9">
        <v>3.9719417342346972</v>
      </c>
      <c r="M998" s="9" t="s">
        <v>28</v>
      </c>
      <c r="N998" s="9" t="s">
        <v>179</v>
      </c>
      <c r="O998" s="9">
        <v>19.3</v>
      </c>
      <c r="P998" s="9" t="s">
        <v>40</v>
      </c>
      <c r="Q998" s="9" t="b">
        <v>0</v>
      </c>
      <c r="R998" s="9" t="b">
        <v>0</v>
      </c>
      <c r="S998" s="9" t="b">
        <v>1</v>
      </c>
      <c r="T998" s="9">
        <v>1.35</v>
      </c>
      <c r="U998" s="9">
        <v>1</v>
      </c>
      <c r="V998" s="9" t="b">
        <v>1</v>
      </c>
      <c r="W998" s="9" t="s">
        <v>3210</v>
      </c>
    </row>
    <row r="999" spans="1:23" ht="29" customHeight="1" x14ac:dyDescent="0.2">
      <c r="A999" s="9" t="s">
        <v>3211</v>
      </c>
      <c r="B999" s="10" t="s">
        <v>3212</v>
      </c>
      <c r="C999" s="9" t="s">
        <v>1741</v>
      </c>
      <c r="D999" s="9" t="s">
        <v>1741</v>
      </c>
      <c r="E999" s="9" t="s">
        <v>2913</v>
      </c>
      <c r="F999" s="9" t="s">
        <v>3213</v>
      </c>
      <c r="G999" s="9">
        <v>2095</v>
      </c>
      <c r="H999" s="9">
        <v>2095</v>
      </c>
      <c r="I999" s="9">
        <v>0</v>
      </c>
      <c r="J999" s="11">
        <v>4.5</v>
      </c>
      <c r="K999" s="9">
        <v>7949</v>
      </c>
      <c r="L999" s="9">
        <v>4.3665575794459137</v>
      </c>
      <c r="M999" s="9" t="s">
        <v>28</v>
      </c>
      <c r="N999" s="9" t="s">
        <v>179</v>
      </c>
      <c r="O999" s="9">
        <v>54.3</v>
      </c>
      <c r="P999" s="9" t="s">
        <v>53</v>
      </c>
      <c r="Q999" s="9" t="b">
        <v>0</v>
      </c>
      <c r="R999" s="9" t="b">
        <v>0</v>
      </c>
      <c r="S999" s="9" t="b">
        <v>0</v>
      </c>
      <c r="U999" s="9">
        <v>1</v>
      </c>
      <c r="V999" s="9" t="b">
        <v>1</v>
      </c>
      <c r="W999" s="9" t="s">
        <v>3214</v>
      </c>
    </row>
    <row r="1000" spans="1:23" ht="29" customHeight="1" x14ac:dyDescent="0.2">
      <c r="A1000" s="9" t="s">
        <v>3215</v>
      </c>
      <c r="B1000" s="10" t="s">
        <v>3216</v>
      </c>
      <c r="C1000" s="9" t="s">
        <v>1741</v>
      </c>
      <c r="D1000" s="9" t="s">
        <v>1741</v>
      </c>
      <c r="E1000" s="9" t="s">
        <v>2918</v>
      </c>
      <c r="F1000" s="9" t="s">
        <v>2919</v>
      </c>
      <c r="G1000" s="9">
        <v>1498</v>
      </c>
      <c r="H1000" s="9">
        <v>2300</v>
      </c>
      <c r="I1000" s="9">
        <v>35</v>
      </c>
      <c r="J1000" s="11">
        <v>3.8</v>
      </c>
      <c r="K1000" s="9">
        <v>95</v>
      </c>
      <c r="L1000" s="9">
        <v>4.0776251695867307</v>
      </c>
      <c r="M1000" s="9" t="s">
        <v>204</v>
      </c>
      <c r="N1000" s="9" t="s">
        <v>179</v>
      </c>
      <c r="O1000" s="9">
        <v>37.9</v>
      </c>
      <c r="P1000" s="9" t="s">
        <v>40</v>
      </c>
      <c r="Q1000" s="9" t="b">
        <v>0</v>
      </c>
      <c r="R1000" s="9" t="b">
        <v>0</v>
      </c>
      <c r="S1000" s="9" t="b">
        <v>1</v>
      </c>
      <c r="T1000" s="9">
        <v>1.1399999999999999</v>
      </c>
      <c r="U1000" s="9">
        <v>1</v>
      </c>
      <c r="V1000" s="9" t="b">
        <v>1</v>
      </c>
      <c r="W1000" s="9" t="s">
        <v>3217</v>
      </c>
    </row>
    <row r="1001" spans="1:23" ht="29" customHeight="1" x14ac:dyDescent="0.2">
      <c r="A1001" s="9" t="s">
        <v>3218</v>
      </c>
      <c r="B1001" s="10" t="s">
        <v>3219</v>
      </c>
      <c r="C1001" s="9" t="s">
        <v>1741</v>
      </c>
      <c r="D1001" s="9" t="s">
        <v>1741</v>
      </c>
      <c r="E1001" s="9" t="s">
        <v>2918</v>
      </c>
      <c r="F1001" s="9" t="s">
        <v>3220</v>
      </c>
      <c r="G1001" s="9">
        <v>2199</v>
      </c>
      <c r="H1001" s="9">
        <v>2990</v>
      </c>
      <c r="I1001" s="9">
        <v>26</v>
      </c>
      <c r="J1001" s="11">
        <v>3.8</v>
      </c>
      <c r="K1001" s="9">
        <v>1558</v>
      </c>
      <c r="L1001" s="9">
        <v>4.0012854227386176</v>
      </c>
      <c r="M1001" s="9" t="s">
        <v>28</v>
      </c>
      <c r="N1001" s="9" t="s">
        <v>179</v>
      </c>
      <c r="O1001" s="9">
        <v>21.2</v>
      </c>
      <c r="P1001" s="9" t="s">
        <v>40</v>
      </c>
      <c r="Q1001" s="9" t="b">
        <v>0</v>
      </c>
      <c r="R1001" s="9" t="b">
        <v>0</v>
      </c>
      <c r="S1001" s="9" t="b">
        <v>1</v>
      </c>
      <c r="U1001" s="9">
        <v>1</v>
      </c>
      <c r="V1001" s="9" t="b">
        <v>1</v>
      </c>
      <c r="W1001" s="9" t="s">
        <v>3221</v>
      </c>
    </row>
    <row r="1002" spans="1:23" ht="29" customHeight="1" x14ac:dyDescent="0.2">
      <c r="A1002" s="9" t="s">
        <v>3222</v>
      </c>
      <c r="B1002" s="10" t="s">
        <v>3223</v>
      </c>
      <c r="C1002" s="9" t="s">
        <v>1741</v>
      </c>
      <c r="D1002" s="9" t="s">
        <v>1741</v>
      </c>
      <c r="E1002" s="9" t="s">
        <v>2913</v>
      </c>
      <c r="F1002" s="9" t="s">
        <v>2973</v>
      </c>
      <c r="G1002" s="9">
        <v>3699</v>
      </c>
      <c r="H1002" s="9">
        <v>4295</v>
      </c>
      <c r="I1002" s="9">
        <v>14</v>
      </c>
      <c r="J1002" s="11">
        <v>4.0999999999999996</v>
      </c>
      <c r="K1002" s="9">
        <v>26543</v>
      </c>
      <c r="L1002" s="9">
        <v>4.0980923954952342</v>
      </c>
      <c r="M1002" s="9" t="s">
        <v>28</v>
      </c>
      <c r="N1002" s="9" t="s">
        <v>144</v>
      </c>
      <c r="O1002" s="9">
        <v>33.299999999999997</v>
      </c>
      <c r="P1002" s="9" t="s">
        <v>40</v>
      </c>
      <c r="Q1002" s="9" t="b">
        <v>0</v>
      </c>
      <c r="R1002" s="9" t="b">
        <v>0</v>
      </c>
      <c r="S1002" s="9" t="b">
        <v>0</v>
      </c>
      <c r="T1002" s="9">
        <v>1.28</v>
      </c>
      <c r="U1002" s="9">
        <v>1</v>
      </c>
      <c r="V1002" s="9" t="b">
        <v>1</v>
      </c>
      <c r="W1002" s="9" t="s">
        <v>3224</v>
      </c>
    </row>
    <row r="1003" spans="1:23" ht="29" customHeight="1" x14ac:dyDescent="0.2">
      <c r="A1003" s="9" t="s">
        <v>3225</v>
      </c>
      <c r="B1003" s="10" t="s">
        <v>3226</v>
      </c>
      <c r="C1003" s="9" t="s">
        <v>1741</v>
      </c>
      <c r="D1003" s="9" t="s">
        <v>1741</v>
      </c>
      <c r="E1003" s="9" t="s">
        <v>3031</v>
      </c>
      <c r="F1003" s="9" t="s">
        <v>3032</v>
      </c>
      <c r="G1003" s="9">
        <v>177</v>
      </c>
      <c r="H1003" s="9">
        <v>199</v>
      </c>
      <c r="I1003" s="9">
        <v>11</v>
      </c>
      <c r="J1003" s="11">
        <v>4.0999999999999996</v>
      </c>
      <c r="K1003" s="9">
        <v>3688</v>
      </c>
      <c r="L1003" s="9">
        <v>4.0922406672949219</v>
      </c>
      <c r="M1003" s="9" t="s">
        <v>28</v>
      </c>
      <c r="N1003" s="9" t="s">
        <v>29</v>
      </c>
      <c r="O1003" s="9">
        <v>40</v>
      </c>
      <c r="P1003" s="9" t="s">
        <v>30</v>
      </c>
      <c r="Q1003" s="9" t="b">
        <v>0</v>
      </c>
      <c r="R1003" s="9" t="b">
        <v>0</v>
      </c>
      <c r="S1003" s="9" t="b">
        <v>0</v>
      </c>
      <c r="T1003" s="9">
        <v>0.5</v>
      </c>
      <c r="U1003" s="9">
        <v>1</v>
      </c>
      <c r="V1003" s="9" t="b">
        <v>1</v>
      </c>
      <c r="W1003" s="9" t="s">
        <v>3227</v>
      </c>
    </row>
    <row r="1004" spans="1:23" ht="29" customHeight="1" x14ac:dyDescent="0.2">
      <c r="A1004" s="9" t="s">
        <v>3228</v>
      </c>
      <c r="B1004" s="10" t="s">
        <v>3229</v>
      </c>
      <c r="C1004" s="9" t="s">
        <v>1741</v>
      </c>
      <c r="D1004" s="9" t="s">
        <v>1741</v>
      </c>
      <c r="E1004" s="9" t="s">
        <v>2913</v>
      </c>
      <c r="F1004" s="9" t="s">
        <v>2973</v>
      </c>
      <c r="G1004" s="9">
        <v>1149</v>
      </c>
      <c r="H1004" s="9">
        <v>2499</v>
      </c>
      <c r="I1004" s="9">
        <v>54</v>
      </c>
      <c r="J1004" s="11">
        <v>3.8</v>
      </c>
      <c r="K1004" s="9">
        <v>4383</v>
      </c>
      <c r="L1004" s="9">
        <v>3.931476163732222</v>
      </c>
      <c r="M1004" s="9" t="s">
        <v>28</v>
      </c>
      <c r="N1004" s="9" t="s">
        <v>179</v>
      </c>
      <c r="O1004" s="9">
        <v>32.4</v>
      </c>
      <c r="P1004" s="9" t="s">
        <v>40</v>
      </c>
      <c r="Q1004" s="9" t="b">
        <v>0</v>
      </c>
      <c r="R1004" s="9" t="b">
        <v>0</v>
      </c>
      <c r="S1004" s="9" t="b">
        <v>1</v>
      </c>
      <c r="T1004" s="9">
        <v>0.4</v>
      </c>
      <c r="U1004" s="9">
        <v>1</v>
      </c>
      <c r="V1004" s="9" t="b">
        <v>1</v>
      </c>
      <c r="W1004" s="9" t="s">
        <v>3230</v>
      </c>
    </row>
    <row r="1005" spans="1:23" ht="29" customHeight="1" x14ac:dyDescent="0.2">
      <c r="A1005" s="9" t="s">
        <v>3231</v>
      </c>
      <c r="B1005" s="10" t="s">
        <v>3232</v>
      </c>
      <c r="C1005" s="9" t="s">
        <v>1741</v>
      </c>
      <c r="D1005" s="9" t="s">
        <v>1741</v>
      </c>
      <c r="E1005" s="9" t="s">
        <v>2913</v>
      </c>
      <c r="F1005" s="9" t="s">
        <v>3233</v>
      </c>
      <c r="G1005" s="9">
        <v>244</v>
      </c>
      <c r="H1005" s="9">
        <v>499</v>
      </c>
      <c r="I1005" s="9">
        <v>51</v>
      </c>
      <c r="J1005" s="11">
        <v>3.3</v>
      </c>
      <c r="K1005" s="9">
        <v>478</v>
      </c>
      <c r="L1005" s="9">
        <v>3.9961889144395268</v>
      </c>
      <c r="M1005" s="9" t="s">
        <v>89</v>
      </c>
      <c r="N1005" s="9" t="s">
        <v>29</v>
      </c>
      <c r="O1005" s="9">
        <v>41.8</v>
      </c>
      <c r="P1005" s="9" t="s">
        <v>30</v>
      </c>
      <c r="Q1005" s="9" t="b">
        <v>0</v>
      </c>
      <c r="R1005" s="9" t="b">
        <v>0</v>
      </c>
      <c r="S1005" s="9" t="b">
        <v>1</v>
      </c>
      <c r="U1005" s="9">
        <v>1</v>
      </c>
      <c r="V1005" s="9" t="b">
        <v>1</v>
      </c>
      <c r="W1005" s="9" t="s">
        <v>3234</v>
      </c>
    </row>
    <row r="1006" spans="1:23" ht="29" customHeight="1" x14ac:dyDescent="0.2">
      <c r="A1006" s="9" t="s">
        <v>3235</v>
      </c>
      <c r="B1006" s="10" t="s">
        <v>3236</v>
      </c>
      <c r="C1006" s="9" t="s">
        <v>1741</v>
      </c>
      <c r="D1006" s="9" t="s">
        <v>1741</v>
      </c>
      <c r="E1006" s="9" t="s">
        <v>2918</v>
      </c>
      <c r="F1006" s="9" t="s">
        <v>2919</v>
      </c>
      <c r="G1006" s="9">
        <v>1959</v>
      </c>
      <c r="H1006" s="9">
        <v>2400</v>
      </c>
      <c r="I1006" s="9">
        <v>18</v>
      </c>
      <c r="J1006" s="11">
        <v>4</v>
      </c>
      <c r="K1006" s="9">
        <v>237</v>
      </c>
      <c r="L1006" s="9">
        <v>4.0796197253858768</v>
      </c>
      <c r="M1006" s="9" t="s">
        <v>89</v>
      </c>
      <c r="N1006" s="9" t="s">
        <v>179</v>
      </c>
      <c r="O1006" s="9">
        <v>30.8</v>
      </c>
      <c r="P1006" s="9" t="s">
        <v>40</v>
      </c>
      <c r="Q1006" s="9" t="b">
        <v>0</v>
      </c>
      <c r="R1006" s="9" t="b">
        <v>0</v>
      </c>
      <c r="S1006" s="9" t="b">
        <v>0</v>
      </c>
      <c r="T1006" s="9">
        <v>1.49</v>
      </c>
      <c r="U1006" s="9">
        <v>1</v>
      </c>
      <c r="V1006" s="9" t="b">
        <v>1</v>
      </c>
      <c r="W1006" s="9" t="s">
        <v>3237</v>
      </c>
    </row>
    <row r="1007" spans="1:23" ht="29" customHeight="1" x14ac:dyDescent="0.2">
      <c r="A1007" s="9" t="s">
        <v>3238</v>
      </c>
      <c r="B1007" s="10" t="s">
        <v>3239</v>
      </c>
      <c r="C1007" s="9" t="s">
        <v>1741</v>
      </c>
      <c r="D1007" s="9" t="s">
        <v>1741</v>
      </c>
      <c r="E1007" s="9" t="s">
        <v>2913</v>
      </c>
      <c r="F1007" s="9" t="s">
        <v>2927</v>
      </c>
      <c r="G1007" s="9">
        <v>319</v>
      </c>
      <c r="H1007" s="9">
        <v>749</v>
      </c>
      <c r="I1007" s="9">
        <v>57</v>
      </c>
      <c r="J1007" s="11">
        <v>4.5999999999999996</v>
      </c>
      <c r="K1007" s="9">
        <v>124</v>
      </c>
      <c r="L1007" s="9">
        <v>4.1010778571158664</v>
      </c>
      <c r="M1007" s="9" t="s">
        <v>89</v>
      </c>
      <c r="N1007" s="9" t="s">
        <v>29</v>
      </c>
      <c r="O1007" s="9">
        <v>66.099999999999994</v>
      </c>
      <c r="P1007" s="9" t="s">
        <v>36</v>
      </c>
      <c r="Q1007" s="9" t="b">
        <v>0</v>
      </c>
      <c r="R1007" s="9" t="b">
        <v>0</v>
      </c>
      <c r="S1007" s="9" t="b">
        <v>0</v>
      </c>
      <c r="T1007" s="9">
        <v>0.71</v>
      </c>
      <c r="U1007" s="9">
        <v>1</v>
      </c>
      <c r="V1007" s="9" t="b">
        <v>1</v>
      </c>
      <c r="W1007" s="9" t="s">
        <v>3240</v>
      </c>
    </row>
    <row r="1008" spans="1:23" ht="29" customHeight="1" x14ac:dyDescent="0.2">
      <c r="A1008" s="9" t="s">
        <v>3241</v>
      </c>
      <c r="B1008" s="10" t="s">
        <v>3242</v>
      </c>
      <c r="C1008" s="9" t="s">
        <v>1741</v>
      </c>
      <c r="D1008" s="9" t="s">
        <v>1741</v>
      </c>
      <c r="E1008" s="9" t="s">
        <v>2913</v>
      </c>
      <c r="F1008" s="9" t="s">
        <v>2914</v>
      </c>
      <c r="G1008" s="9">
        <v>1499</v>
      </c>
      <c r="H1008" s="9">
        <v>1775</v>
      </c>
      <c r="I1008" s="9">
        <v>16</v>
      </c>
      <c r="J1008" s="11">
        <v>3.9</v>
      </c>
      <c r="K1008" s="9">
        <v>14667</v>
      </c>
      <c r="L1008" s="9">
        <v>3.9376944079698748</v>
      </c>
      <c r="M1008" s="9" t="s">
        <v>28</v>
      </c>
      <c r="N1008" s="9" t="s">
        <v>179</v>
      </c>
      <c r="O1008" s="9">
        <v>15.1</v>
      </c>
      <c r="P1008" s="9" t="s">
        <v>40</v>
      </c>
      <c r="Q1008" s="9" t="b">
        <v>0</v>
      </c>
      <c r="R1008" s="9" t="b">
        <v>0</v>
      </c>
      <c r="S1008" s="9" t="b">
        <v>0</v>
      </c>
      <c r="T1008" s="9">
        <v>1.5</v>
      </c>
      <c r="U1008" s="9">
        <v>1</v>
      </c>
      <c r="V1008" s="9" t="b">
        <v>1</v>
      </c>
      <c r="W1008" s="9" t="s">
        <v>3243</v>
      </c>
    </row>
    <row r="1009" spans="1:23" ht="29" customHeight="1" x14ac:dyDescent="0.2">
      <c r="A1009" s="9" t="s">
        <v>3244</v>
      </c>
      <c r="B1009" s="10" t="s">
        <v>3245</v>
      </c>
      <c r="C1009" s="9" t="s">
        <v>1741</v>
      </c>
      <c r="D1009" s="9" t="s">
        <v>1741</v>
      </c>
      <c r="E1009" s="9" t="s">
        <v>2913</v>
      </c>
      <c r="F1009" s="9" t="s">
        <v>2927</v>
      </c>
      <c r="G1009" s="9">
        <v>469</v>
      </c>
      <c r="H1009" s="9">
        <v>1599</v>
      </c>
      <c r="I1009" s="9">
        <v>71</v>
      </c>
      <c r="J1009" s="11">
        <v>3.7</v>
      </c>
      <c r="K1009" s="9">
        <v>6</v>
      </c>
      <c r="L1009" s="9">
        <v>4.0840225797215908</v>
      </c>
      <c r="M1009" s="9" t="s">
        <v>204</v>
      </c>
      <c r="N1009" s="9" t="s">
        <v>29</v>
      </c>
      <c r="O1009" s="9">
        <v>60.8</v>
      </c>
      <c r="P1009" s="9" t="s">
        <v>36</v>
      </c>
      <c r="Q1009" s="9" t="b">
        <v>0</v>
      </c>
      <c r="R1009" s="9" t="b">
        <v>0</v>
      </c>
      <c r="S1009" s="9" t="b">
        <v>1</v>
      </c>
      <c r="T1009" s="9">
        <v>1.04</v>
      </c>
      <c r="U1009" s="9">
        <v>1</v>
      </c>
      <c r="V1009" s="9" t="b">
        <v>1</v>
      </c>
      <c r="W1009" s="9" t="s">
        <v>3246</v>
      </c>
    </row>
    <row r="1010" spans="1:23" ht="29" customHeight="1" x14ac:dyDescent="0.2">
      <c r="A1010" s="9" t="s">
        <v>3247</v>
      </c>
      <c r="B1010" s="10" t="s">
        <v>3248</v>
      </c>
      <c r="C1010" s="9" t="s">
        <v>1741</v>
      </c>
      <c r="D1010" s="9" t="s">
        <v>1741</v>
      </c>
      <c r="E1010" s="9" t="s">
        <v>2913</v>
      </c>
      <c r="F1010" s="9" t="s">
        <v>3213</v>
      </c>
      <c r="G1010" s="9">
        <v>1099</v>
      </c>
      <c r="H1010" s="9">
        <v>1795</v>
      </c>
      <c r="I1010" s="9">
        <v>39</v>
      </c>
      <c r="J1010" s="11">
        <v>4.2</v>
      </c>
      <c r="K1010" s="9">
        <v>4244</v>
      </c>
      <c r="L1010" s="9">
        <v>4.1457864349816793</v>
      </c>
      <c r="M1010" s="9" t="s">
        <v>28</v>
      </c>
      <c r="N1010" s="9" t="s">
        <v>179</v>
      </c>
      <c r="O1010" s="9">
        <v>54.3</v>
      </c>
      <c r="P1010" s="9" t="s">
        <v>53</v>
      </c>
      <c r="Q1010" s="9" t="b">
        <v>0</v>
      </c>
      <c r="R1010" s="9" t="b">
        <v>0</v>
      </c>
      <c r="S1010" s="9" t="b">
        <v>0</v>
      </c>
      <c r="U1010" s="9">
        <v>1</v>
      </c>
      <c r="V1010" s="9" t="b">
        <v>1</v>
      </c>
      <c r="W1010" s="9" t="s">
        <v>3249</v>
      </c>
    </row>
    <row r="1011" spans="1:23" ht="29" customHeight="1" x14ac:dyDescent="0.2">
      <c r="A1011" s="9" t="s">
        <v>3250</v>
      </c>
      <c r="B1011" s="10" t="s">
        <v>3251</v>
      </c>
      <c r="C1011" s="9" t="s">
        <v>1741</v>
      </c>
      <c r="D1011" s="9" t="s">
        <v>1741</v>
      </c>
      <c r="E1011" s="9" t="s">
        <v>2918</v>
      </c>
      <c r="F1011" s="9" t="s">
        <v>2923</v>
      </c>
      <c r="G1011" s="9">
        <v>9590</v>
      </c>
      <c r="H1011" s="9">
        <v>15999</v>
      </c>
      <c r="I1011" s="9">
        <v>40</v>
      </c>
      <c r="J1011" s="11">
        <v>4.0999999999999996</v>
      </c>
      <c r="K1011" s="9">
        <v>1017</v>
      </c>
      <c r="L1011" s="9">
        <v>4.087904402485786</v>
      </c>
      <c r="M1011" s="9" t="s">
        <v>28</v>
      </c>
      <c r="N1011" s="9" t="s">
        <v>144</v>
      </c>
      <c r="O1011" s="9">
        <v>34.1</v>
      </c>
      <c r="P1011" s="9" t="s">
        <v>40</v>
      </c>
      <c r="Q1011" s="9" t="b">
        <v>0</v>
      </c>
      <c r="R1011" s="9" t="b">
        <v>0</v>
      </c>
      <c r="S1011" s="9" t="b">
        <v>0</v>
      </c>
      <c r="T1011" s="9">
        <v>8.8800000000000008</v>
      </c>
      <c r="U1011" s="9">
        <v>1</v>
      </c>
      <c r="V1011" s="9" t="b">
        <v>1</v>
      </c>
      <c r="W1011" s="9" t="s">
        <v>3252</v>
      </c>
    </row>
    <row r="1012" spans="1:23" ht="29" customHeight="1" x14ac:dyDescent="0.2">
      <c r="A1012" s="9" t="s">
        <v>3253</v>
      </c>
      <c r="B1012" s="10" t="s">
        <v>3254</v>
      </c>
      <c r="C1012" s="9" t="s">
        <v>1741</v>
      </c>
      <c r="D1012" s="9" t="s">
        <v>1741</v>
      </c>
      <c r="E1012" s="9" t="s">
        <v>2918</v>
      </c>
      <c r="F1012" s="9" t="s">
        <v>3255</v>
      </c>
      <c r="G1012" s="9">
        <v>999</v>
      </c>
      <c r="H1012" s="9">
        <v>1490</v>
      </c>
      <c r="I1012" s="9">
        <v>33</v>
      </c>
      <c r="J1012" s="11">
        <v>4.0999999999999996</v>
      </c>
      <c r="K1012" s="9">
        <v>12999</v>
      </c>
      <c r="L1012" s="9">
        <v>4.0965509704788241</v>
      </c>
      <c r="M1012" s="9" t="s">
        <v>28</v>
      </c>
      <c r="N1012" s="9" t="s">
        <v>93</v>
      </c>
      <c r="O1012" s="9">
        <v>48.9</v>
      </c>
      <c r="P1012" s="9" t="s">
        <v>30</v>
      </c>
      <c r="Q1012" s="9" t="b">
        <v>0</v>
      </c>
      <c r="R1012" s="9" t="b">
        <v>0</v>
      </c>
      <c r="S1012" s="9" t="b">
        <v>0</v>
      </c>
      <c r="U1012" s="9">
        <v>1</v>
      </c>
      <c r="V1012" s="9" t="b">
        <v>1</v>
      </c>
      <c r="W1012" s="9" t="s">
        <v>3256</v>
      </c>
    </row>
    <row r="1013" spans="1:23" ht="29" customHeight="1" x14ac:dyDescent="0.2">
      <c r="A1013" s="9" t="s">
        <v>3257</v>
      </c>
      <c r="B1013" s="10" t="s">
        <v>3258</v>
      </c>
      <c r="C1013" s="9" t="s">
        <v>1741</v>
      </c>
      <c r="D1013" s="9" t="s">
        <v>1741</v>
      </c>
      <c r="E1013" s="9" t="s">
        <v>2913</v>
      </c>
      <c r="F1013" s="9" t="s">
        <v>2991</v>
      </c>
      <c r="G1013" s="9">
        <v>1299</v>
      </c>
      <c r="H1013" s="9">
        <v>1999</v>
      </c>
      <c r="I1013" s="9">
        <v>35</v>
      </c>
      <c r="J1013" s="11">
        <v>3.8</v>
      </c>
      <c r="K1013" s="9">
        <v>311</v>
      </c>
      <c r="L1013" s="9">
        <v>4.0629039135094676</v>
      </c>
      <c r="M1013" s="9" t="s">
        <v>89</v>
      </c>
      <c r="N1013" s="9" t="s">
        <v>179</v>
      </c>
      <c r="O1013" s="9">
        <v>32.6</v>
      </c>
      <c r="P1013" s="9" t="s">
        <v>40</v>
      </c>
      <c r="Q1013" s="9" t="b">
        <v>0</v>
      </c>
      <c r="R1013" s="9" t="b">
        <v>0</v>
      </c>
      <c r="S1013" s="9" t="b">
        <v>1</v>
      </c>
      <c r="T1013" s="9">
        <v>1.1000000000000001</v>
      </c>
      <c r="U1013" s="9">
        <v>1</v>
      </c>
      <c r="V1013" s="9" t="b">
        <v>1</v>
      </c>
      <c r="W1013" s="9" t="s">
        <v>3259</v>
      </c>
    </row>
    <row r="1014" spans="1:23" ht="29" customHeight="1" x14ac:dyDescent="0.2">
      <c r="A1014" s="9" t="s">
        <v>3260</v>
      </c>
      <c r="B1014" s="10" t="s">
        <v>3261</v>
      </c>
      <c r="C1014" s="9" t="s">
        <v>1741</v>
      </c>
      <c r="D1014" s="9" t="s">
        <v>1741</v>
      </c>
      <c r="E1014" s="9" t="s">
        <v>2913</v>
      </c>
      <c r="F1014" s="9" t="s">
        <v>3262</v>
      </c>
      <c r="G1014" s="9">
        <v>292</v>
      </c>
      <c r="H1014" s="9">
        <v>499</v>
      </c>
      <c r="I1014" s="9">
        <v>41</v>
      </c>
      <c r="J1014" s="11">
        <v>4.0999999999999996</v>
      </c>
      <c r="K1014" s="9">
        <v>4238</v>
      </c>
      <c r="L1014" s="9">
        <v>4.0927740880795973</v>
      </c>
      <c r="M1014" s="9" t="s">
        <v>28</v>
      </c>
      <c r="N1014" s="9" t="s">
        <v>29</v>
      </c>
      <c r="O1014" s="9">
        <v>53</v>
      </c>
      <c r="P1014" s="9" t="s">
        <v>53</v>
      </c>
      <c r="Q1014" s="9" t="b">
        <v>0</v>
      </c>
      <c r="R1014" s="9" t="b">
        <v>0</v>
      </c>
      <c r="S1014" s="9" t="b">
        <v>0</v>
      </c>
      <c r="U1014" s="9">
        <v>1</v>
      </c>
      <c r="V1014" s="9" t="b">
        <v>1</v>
      </c>
      <c r="W1014" s="9" t="s">
        <v>3263</v>
      </c>
    </row>
    <row r="1015" spans="1:23" ht="29" customHeight="1" x14ac:dyDescent="0.2">
      <c r="A1015" s="9" t="s">
        <v>3264</v>
      </c>
      <c r="B1015" s="10" t="s">
        <v>3265</v>
      </c>
      <c r="C1015" s="9" t="s">
        <v>1741</v>
      </c>
      <c r="D1015" s="9" t="s">
        <v>1741</v>
      </c>
      <c r="E1015" s="9" t="s">
        <v>2913</v>
      </c>
      <c r="F1015" s="9" t="s">
        <v>3157</v>
      </c>
      <c r="G1015" s="9">
        <v>160</v>
      </c>
      <c r="H1015" s="9">
        <v>299</v>
      </c>
      <c r="I1015" s="9">
        <v>46</v>
      </c>
      <c r="J1015" s="11">
        <v>4.5999999999999996</v>
      </c>
      <c r="K1015" s="9">
        <v>2781</v>
      </c>
      <c r="L1015" s="9">
        <v>4.3036660948545604</v>
      </c>
      <c r="M1015" s="9" t="s">
        <v>28</v>
      </c>
      <c r="N1015" s="9" t="s">
        <v>29</v>
      </c>
      <c r="O1015" s="9">
        <v>79.099999999999994</v>
      </c>
      <c r="P1015" s="9" t="s">
        <v>36</v>
      </c>
      <c r="Q1015" s="9" t="b">
        <v>0</v>
      </c>
      <c r="R1015" s="9" t="b">
        <v>0</v>
      </c>
      <c r="S1015" s="9" t="b">
        <v>0</v>
      </c>
      <c r="U1015" s="9">
        <v>1</v>
      </c>
      <c r="V1015" s="9" t="b">
        <v>1</v>
      </c>
      <c r="W1015" s="9" t="s">
        <v>3266</v>
      </c>
    </row>
    <row r="1016" spans="1:23" ht="29" customHeight="1" x14ac:dyDescent="0.2">
      <c r="A1016" s="9" t="s">
        <v>3267</v>
      </c>
      <c r="B1016" s="10" t="s">
        <v>3268</v>
      </c>
      <c r="C1016" s="9" t="s">
        <v>1741</v>
      </c>
      <c r="D1016" s="9" t="s">
        <v>1741</v>
      </c>
      <c r="E1016" s="9" t="s">
        <v>2913</v>
      </c>
      <c r="F1016" s="9" t="s">
        <v>3269</v>
      </c>
      <c r="G1016" s="9">
        <v>600</v>
      </c>
      <c r="H1016" s="9">
        <v>600</v>
      </c>
      <c r="I1016" s="9">
        <v>0</v>
      </c>
      <c r="J1016" s="11">
        <v>4.0999999999999996</v>
      </c>
      <c r="K1016" s="9">
        <v>10907</v>
      </c>
      <c r="L1016" s="9">
        <v>4.0960591084686468</v>
      </c>
      <c r="M1016" s="9" t="s">
        <v>28</v>
      </c>
      <c r="N1016" s="9" t="s">
        <v>93</v>
      </c>
      <c r="O1016" s="9">
        <v>41.2</v>
      </c>
      <c r="P1016" s="9" t="s">
        <v>30</v>
      </c>
      <c r="Q1016" s="9" t="b">
        <v>0</v>
      </c>
      <c r="R1016" s="9" t="b">
        <v>0</v>
      </c>
      <c r="S1016" s="9" t="b">
        <v>0</v>
      </c>
      <c r="T1016" s="9">
        <v>2.6</v>
      </c>
      <c r="U1016" s="9">
        <v>1</v>
      </c>
      <c r="V1016" s="9" t="b">
        <v>1</v>
      </c>
      <c r="W1016" s="9" t="s">
        <v>3270</v>
      </c>
    </row>
    <row r="1017" spans="1:23" ht="29" customHeight="1" x14ac:dyDescent="0.2">
      <c r="A1017" s="9" t="s">
        <v>3271</v>
      </c>
      <c r="B1017" s="10" t="s">
        <v>3272</v>
      </c>
      <c r="C1017" s="9" t="s">
        <v>1741</v>
      </c>
      <c r="D1017" s="9" t="s">
        <v>1741</v>
      </c>
      <c r="E1017" s="9" t="s">
        <v>2913</v>
      </c>
      <c r="F1017" s="9" t="s">
        <v>3273</v>
      </c>
      <c r="G1017" s="9">
        <v>1130</v>
      </c>
      <c r="H1017" s="9">
        <v>1130</v>
      </c>
      <c r="I1017" s="9">
        <v>0</v>
      </c>
      <c r="J1017" s="11">
        <v>4.2</v>
      </c>
      <c r="K1017" s="9">
        <v>13250</v>
      </c>
      <c r="L1017" s="9">
        <v>4.1744857658592691</v>
      </c>
      <c r="M1017" s="9" t="s">
        <v>28</v>
      </c>
      <c r="N1017" s="9" t="s">
        <v>179</v>
      </c>
      <c r="O1017" s="9">
        <v>46.8</v>
      </c>
      <c r="P1017" s="9" t="s">
        <v>30</v>
      </c>
      <c r="Q1017" s="9" t="b">
        <v>0</v>
      </c>
      <c r="R1017" s="9" t="b">
        <v>0</v>
      </c>
      <c r="S1017" s="9" t="b">
        <v>0</v>
      </c>
      <c r="U1017" s="9">
        <v>1</v>
      </c>
      <c r="V1017" s="9" t="b">
        <v>1</v>
      </c>
      <c r="W1017" s="9" t="s">
        <v>3274</v>
      </c>
    </row>
    <row r="1018" spans="1:23" ht="29" customHeight="1" x14ac:dyDescent="0.2">
      <c r="A1018" s="9" t="s">
        <v>3275</v>
      </c>
      <c r="B1018" s="10" t="s">
        <v>3276</v>
      </c>
      <c r="C1018" s="9" t="s">
        <v>1741</v>
      </c>
      <c r="D1018" s="9" t="s">
        <v>1741</v>
      </c>
      <c r="E1018" s="9" t="s">
        <v>2913</v>
      </c>
      <c r="F1018" s="9" t="s">
        <v>2973</v>
      </c>
      <c r="G1018" s="9">
        <v>3249</v>
      </c>
      <c r="H1018" s="9">
        <v>6295</v>
      </c>
      <c r="I1018" s="9">
        <v>48</v>
      </c>
      <c r="J1018" s="11">
        <v>3.9</v>
      </c>
      <c r="K1018" s="9">
        <v>43070</v>
      </c>
      <c r="L1018" s="9">
        <v>3.9148334829804261</v>
      </c>
      <c r="M1018" s="9" t="s">
        <v>28</v>
      </c>
      <c r="N1018" s="9" t="s">
        <v>144</v>
      </c>
      <c r="O1018" s="9">
        <v>22.2</v>
      </c>
      <c r="P1018" s="9" t="s">
        <v>40</v>
      </c>
      <c r="Q1018" s="9" t="b">
        <v>0</v>
      </c>
      <c r="R1018" s="9" t="b">
        <v>0</v>
      </c>
      <c r="S1018" s="9" t="b">
        <v>0</v>
      </c>
      <c r="T1018" s="9">
        <v>1.1200000000000001</v>
      </c>
      <c r="U1018" s="9">
        <v>1</v>
      </c>
      <c r="V1018" s="9" t="b">
        <v>1</v>
      </c>
      <c r="W1018" s="9" t="s">
        <v>3277</v>
      </c>
    </row>
    <row r="1019" spans="1:23" ht="29" customHeight="1" x14ac:dyDescent="0.2">
      <c r="A1019" s="9" t="s">
        <v>3278</v>
      </c>
      <c r="B1019" s="10" t="s">
        <v>3279</v>
      </c>
      <c r="C1019" s="9" t="s">
        <v>1741</v>
      </c>
      <c r="D1019" s="9" t="s">
        <v>1741</v>
      </c>
      <c r="E1019" s="9" t="s">
        <v>2913</v>
      </c>
      <c r="F1019" s="9" t="s">
        <v>2973</v>
      </c>
      <c r="G1019" s="9">
        <v>3599</v>
      </c>
      <c r="H1019" s="9">
        <v>9455</v>
      </c>
      <c r="I1019" s="9">
        <v>62</v>
      </c>
      <c r="J1019" s="11">
        <v>4.0999999999999996</v>
      </c>
      <c r="K1019" s="9">
        <v>11828</v>
      </c>
      <c r="L1019" s="9">
        <v>4.0962919144145999</v>
      </c>
      <c r="M1019" s="9" t="s">
        <v>28</v>
      </c>
      <c r="N1019" s="9" t="s">
        <v>144</v>
      </c>
      <c r="O1019" s="9">
        <v>51.7</v>
      </c>
      <c r="P1019" s="9" t="s">
        <v>53</v>
      </c>
      <c r="Q1019" s="9" t="b">
        <v>0</v>
      </c>
      <c r="R1019" s="9" t="b">
        <v>0</v>
      </c>
      <c r="S1019" s="9" t="b">
        <v>0</v>
      </c>
      <c r="T1019" s="9">
        <v>1.24</v>
      </c>
      <c r="U1019" s="9">
        <v>1</v>
      </c>
      <c r="V1019" s="9" t="b">
        <v>1</v>
      </c>
      <c r="W1019" s="9" t="s">
        <v>3280</v>
      </c>
    </row>
    <row r="1020" spans="1:23" ht="29" customHeight="1" x14ac:dyDescent="0.2">
      <c r="A1020" s="9" t="s">
        <v>3281</v>
      </c>
      <c r="B1020" s="10" t="s">
        <v>3282</v>
      </c>
      <c r="C1020" s="9" t="s">
        <v>1741</v>
      </c>
      <c r="D1020" s="9" t="s">
        <v>1741</v>
      </c>
      <c r="E1020" s="9" t="s">
        <v>2913</v>
      </c>
      <c r="F1020" s="9" t="s">
        <v>3078</v>
      </c>
      <c r="G1020" s="9">
        <v>368</v>
      </c>
      <c r="H1020" s="9">
        <v>699</v>
      </c>
      <c r="I1020" s="9">
        <v>47</v>
      </c>
      <c r="J1020" s="11">
        <v>4.0999999999999996</v>
      </c>
      <c r="K1020" s="9">
        <v>1240</v>
      </c>
      <c r="L1020" s="9">
        <v>4.0884435965378936</v>
      </c>
      <c r="M1020" s="9" t="s">
        <v>28</v>
      </c>
      <c r="N1020" s="9" t="s">
        <v>29</v>
      </c>
      <c r="O1020" s="9">
        <v>52.5</v>
      </c>
      <c r="P1020" s="9" t="s">
        <v>53</v>
      </c>
      <c r="Q1020" s="9" t="b">
        <v>0</v>
      </c>
      <c r="R1020" s="9" t="b">
        <v>0</v>
      </c>
      <c r="S1020" s="9" t="b">
        <v>0</v>
      </c>
      <c r="T1020" s="9">
        <v>0.53</v>
      </c>
      <c r="U1020" s="9">
        <v>1</v>
      </c>
      <c r="V1020" s="9" t="b">
        <v>1</v>
      </c>
      <c r="W1020" s="9" t="s">
        <v>3283</v>
      </c>
    </row>
    <row r="1021" spans="1:23" ht="29" customHeight="1" x14ac:dyDescent="0.2">
      <c r="A1021" s="9" t="s">
        <v>3284</v>
      </c>
      <c r="B1021" s="10" t="s">
        <v>3285</v>
      </c>
      <c r="C1021" s="9" t="s">
        <v>1741</v>
      </c>
      <c r="D1021" s="9" t="s">
        <v>1741</v>
      </c>
      <c r="E1021" s="9" t="s">
        <v>2913</v>
      </c>
      <c r="F1021" s="9" t="s">
        <v>2973</v>
      </c>
      <c r="G1021" s="9">
        <v>3199</v>
      </c>
      <c r="H1021" s="9">
        <v>4999</v>
      </c>
      <c r="I1021" s="9">
        <v>36</v>
      </c>
      <c r="J1021" s="11">
        <v>4</v>
      </c>
      <c r="K1021" s="9">
        <v>20869</v>
      </c>
      <c r="L1021" s="9">
        <v>4.0129281242182087</v>
      </c>
      <c r="M1021" s="9" t="s">
        <v>28</v>
      </c>
      <c r="N1021" s="9" t="s">
        <v>144</v>
      </c>
      <c r="O1021" s="9">
        <v>21.5</v>
      </c>
      <c r="P1021" s="9" t="s">
        <v>40</v>
      </c>
      <c r="Q1021" s="9" t="b">
        <v>0</v>
      </c>
      <c r="R1021" s="9" t="b">
        <v>0</v>
      </c>
      <c r="S1021" s="9" t="b">
        <v>0</v>
      </c>
      <c r="T1021" s="9">
        <v>1.1000000000000001</v>
      </c>
      <c r="U1021" s="9">
        <v>1</v>
      </c>
      <c r="V1021" s="9" t="b">
        <v>1</v>
      </c>
      <c r="W1021" s="9" t="s">
        <v>3286</v>
      </c>
    </row>
    <row r="1022" spans="1:23" ht="29" customHeight="1" x14ac:dyDescent="0.2">
      <c r="A1022" s="9" t="s">
        <v>3287</v>
      </c>
      <c r="B1022" s="10" t="s">
        <v>3288</v>
      </c>
      <c r="C1022" s="9" t="s">
        <v>1741</v>
      </c>
      <c r="D1022" s="9" t="s">
        <v>1741</v>
      </c>
      <c r="E1022" s="9" t="s">
        <v>2913</v>
      </c>
      <c r="F1022" s="9" t="s">
        <v>3289</v>
      </c>
      <c r="G1022" s="9">
        <v>1599</v>
      </c>
      <c r="H1022" s="9">
        <v>2900</v>
      </c>
      <c r="I1022" s="9">
        <v>45</v>
      </c>
      <c r="J1022" s="11">
        <v>3.7</v>
      </c>
      <c r="K1022" s="9">
        <v>441</v>
      </c>
      <c r="L1022" s="9">
        <v>4.0442819297444554</v>
      </c>
      <c r="M1022" s="9" t="s">
        <v>89</v>
      </c>
      <c r="N1022" s="9" t="s">
        <v>179</v>
      </c>
      <c r="O1022" s="9">
        <v>33</v>
      </c>
      <c r="P1022" s="9" t="s">
        <v>40</v>
      </c>
      <c r="Q1022" s="9" t="b">
        <v>0</v>
      </c>
      <c r="R1022" s="9" t="b">
        <v>0</v>
      </c>
      <c r="S1022" s="9" t="b">
        <v>1</v>
      </c>
      <c r="U1022" s="9">
        <v>1</v>
      </c>
      <c r="V1022" s="9" t="b">
        <v>1</v>
      </c>
      <c r="W1022" s="9" t="s">
        <v>3290</v>
      </c>
    </row>
    <row r="1023" spans="1:23" ht="29" customHeight="1" x14ac:dyDescent="0.2">
      <c r="A1023" s="9" t="s">
        <v>3291</v>
      </c>
      <c r="B1023" s="10" t="s">
        <v>3292</v>
      </c>
      <c r="C1023" s="9" t="s">
        <v>1741</v>
      </c>
      <c r="D1023" s="9" t="s">
        <v>1741</v>
      </c>
      <c r="E1023" s="9" t="s">
        <v>2913</v>
      </c>
      <c r="F1023" s="9" t="s">
        <v>2965</v>
      </c>
      <c r="G1023" s="9">
        <v>1999</v>
      </c>
      <c r="H1023" s="9">
        <v>2499</v>
      </c>
      <c r="I1023" s="9">
        <v>20</v>
      </c>
      <c r="J1023" s="11">
        <v>4.0999999999999996</v>
      </c>
      <c r="K1023" s="9">
        <v>1034</v>
      </c>
      <c r="L1023" s="9">
        <v>4.0879472723195693</v>
      </c>
      <c r="M1023" s="9" t="s">
        <v>28</v>
      </c>
      <c r="N1023" s="9" t="s">
        <v>179</v>
      </c>
      <c r="O1023" s="9">
        <v>30.5</v>
      </c>
      <c r="P1023" s="9" t="s">
        <v>40</v>
      </c>
      <c r="Q1023" s="9" t="b">
        <v>0</v>
      </c>
      <c r="R1023" s="9" t="b">
        <v>1</v>
      </c>
      <c r="S1023" s="9" t="b">
        <v>0</v>
      </c>
      <c r="T1023" s="9">
        <v>2.86</v>
      </c>
      <c r="U1023" s="9">
        <v>1</v>
      </c>
      <c r="V1023" s="9" t="b">
        <v>1</v>
      </c>
      <c r="W1023" s="9" t="s">
        <v>3293</v>
      </c>
    </row>
    <row r="1024" spans="1:23" ht="29" customHeight="1" x14ac:dyDescent="0.2">
      <c r="A1024" s="9" t="s">
        <v>3294</v>
      </c>
      <c r="B1024" s="10" t="s">
        <v>3295</v>
      </c>
      <c r="C1024" s="9" t="s">
        <v>1741</v>
      </c>
      <c r="D1024" s="9" t="s">
        <v>1741</v>
      </c>
      <c r="E1024" s="9" t="s">
        <v>2913</v>
      </c>
      <c r="F1024" s="9" t="s">
        <v>2969</v>
      </c>
      <c r="G1024" s="9">
        <v>616</v>
      </c>
      <c r="H1024" s="9">
        <v>1190</v>
      </c>
      <c r="I1024" s="9">
        <v>48</v>
      </c>
      <c r="J1024" s="11">
        <v>4.0999999999999996</v>
      </c>
      <c r="K1024" s="9">
        <v>37126</v>
      </c>
      <c r="L1024" s="9">
        <v>4.098586132816826</v>
      </c>
      <c r="M1024" s="9" t="s">
        <v>28</v>
      </c>
      <c r="N1024" s="9" t="s">
        <v>93</v>
      </c>
      <c r="O1024" s="9">
        <v>57.3</v>
      </c>
      <c r="P1024" s="9" t="s">
        <v>53</v>
      </c>
      <c r="Q1024" s="9" t="b">
        <v>0</v>
      </c>
      <c r="R1024" s="9" t="b">
        <v>0</v>
      </c>
      <c r="S1024" s="9" t="b">
        <v>0</v>
      </c>
      <c r="T1024" s="9">
        <v>0.91</v>
      </c>
      <c r="U1024" s="9">
        <v>1</v>
      </c>
      <c r="V1024" s="9" t="b">
        <v>1</v>
      </c>
      <c r="W1024" s="9" t="s">
        <v>3296</v>
      </c>
    </row>
    <row r="1025" spans="1:23" ht="29" customHeight="1" x14ac:dyDescent="0.2">
      <c r="A1025" s="9" t="s">
        <v>3297</v>
      </c>
      <c r="B1025" s="10" t="s">
        <v>3298</v>
      </c>
      <c r="C1025" s="9" t="s">
        <v>1741</v>
      </c>
      <c r="D1025" s="9" t="s">
        <v>1741</v>
      </c>
      <c r="E1025" s="9" t="s">
        <v>2913</v>
      </c>
      <c r="F1025" s="9" t="s">
        <v>2965</v>
      </c>
      <c r="G1025" s="9">
        <v>1499</v>
      </c>
      <c r="H1025" s="9">
        <v>2100</v>
      </c>
      <c r="I1025" s="9">
        <v>29</v>
      </c>
      <c r="J1025" s="11">
        <v>4.0999999999999996</v>
      </c>
      <c r="K1025" s="9">
        <v>6355</v>
      </c>
      <c r="L1025" s="9">
        <v>4.0942860481028722</v>
      </c>
      <c r="M1025" s="9" t="s">
        <v>28</v>
      </c>
      <c r="N1025" s="9" t="s">
        <v>179</v>
      </c>
      <c r="O1025" s="9">
        <v>39.200000000000003</v>
      </c>
      <c r="P1025" s="9" t="s">
        <v>30</v>
      </c>
      <c r="Q1025" s="9" t="b">
        <v>0</v>
      </c>
      <c r="R1025" s="9" t="b">
        <v>0</v>
      </c>
      <c r="S1025" s="9" t="b">
        <v>0</v>
      </c>
      <c r="T1025" s="9">
        <v>2.14</v>
      </c>
      <c r="U1025" s="9">
        <v>1</v>
      </c>
      <c r="V1025" s="9" t="b">
        <v>1</v>
      </c>
      <c r="W1025" s="9" t="s">
        <v>3299</v>
      </c>
    </row>
    <row r="1026" spans="1:23" ht="29" customHeight="1" x14ac:dyDescent="0.2">
      <c r="A1026" s="9" t="s">
        <v>3300</v>
      </c>
      <c r="B1026" s="10" t="s">
        <v>3301</v>
      </c>
      <c r="C1026" s="9" t="s">
        <v>1741</v>
      </c>
      <c r="D1026" s="9" t="s">
        <v>1741</v>
      </c>
      <c r="E1026" s="9" t="s">
        <v>2913</v>
      </c>
      <c r="F1026" s="9" t="s">
        <v>3157</v>
      </c>
      <c r="G1026" s="9">
        <v>199</v>
      </c>
      <c r="H1026" s="9">
        <v>499</v>
      </c>
      <c r="I1026" s="9">
        <v>60</v>
      </c>
      <c r="J1026" s="11">
        <v>3.3</v>
      </c>
      <c r="K1026" s="9">
        <v>12</v>
      </c>
      <c r="L1026" s="9">
        <v>4.0821404402386579</v>
      </c>
      <c r="M1026" s="9" t="s">
        <v>204</v>
      </c>
      <c r="N1026" s="9" t="s">
        <v>29</v>
      </c>
      <c r="O1026" s="9">
        <v>58</v>
      </c>
      <c r="P1026" s="9" t="s">
        <v>53</v>
      </c>
      <c r="Q1026" s="9" t="b">
        <v>0</v>
      </c>
      <c r="R1026" s="9" t="b">
        <v>0</v>
      </c>
      <c r="S1026" s="9" t="b">
        <v>1</v>
      </c>
      <c r="U1026" s="9">
        <v>1</v>
      </c>
      <c r="V1026" s="9" t="b">
        <v>1</v>
      </c>
      <c r="W1026" s="9" t="s">
        <v>3302</v>
      </c>
    </row>
    <row r="1027" spans="1:23" ht="29" customHeight="1" x14ac:dyDescent="0.2">
      <c r="A1027" s="9" t="s">
        <v>3303</v>
      </c>
      <c r="B1027" s="10" t="s">
        <v>3304</v>
      </c>
      <c r="C1027" s="9" t="s">
        <v>1741</v>
      </c>
      <c r="D1027" s="9" t="s">
        <v>1741</v>
      </c>
      <c r="E1027" s="9" t="s">
        <v>2918</v>
      </c>
      <c r="F1027" s="9" t="s">
        <v>3017</v>
      </c>
      <c r="G1027" s="9">
        <v>610</v>
      </c>
      <c r="H1027" s="9">
        <v>825</v>
      </c>
      <c r="I1027" s="9">
        <v>26</v>
      </c>
      <c r="J1027" s="11">
        <v>4.0999999999999996</v>
      </c>
      <c r="K1027" s="9">
        <v>13165</v>
      </c>
      <c r="L1027" s="9">
        <v>4.0965847934828421</v>
      </c>
      <c r="M1027" s="9" t="s">
        <v>28</v>
      </c>
      <c r="N1027" s="9" t="s">
        <v>93</v>
      </c>
      <c r="O1027" s="9">
        <v>48.7</v>
      </c>
      <c r="P1027" s="9" t="s">
        <v>30</v>
      </c>
      <c r="Q1027" s="9" t="b">
        <v>0</v>
      </c>
      <c r="R1027" s="9" t="b">
        <v>0</v>
      </c>
      <c r="S1027" s="9" t="b">
        <v>0</v>
      </c>
      <c r="U1027" s="9">
        <v>1</v>
      </c>
      <c r="V1027" s="9" t="b">
        <v>1</v>
      </c>
      <c r="W1027" s="9" t="s">
        <v>3305</v>
      </c>
    </row>
    <row r="1028" spans="1:23" ht="29" customHeight="1" x14ac:dyDescent="0.2">
      <c r="A1028" s="9" t="s">
        <v>3306</v>
      </c>
      <c r="B1028" s="10" t="s">
        <v>3307</v>
      </c>
      <c r="C1028" s="9" t="s">
        <v>1741</v>
      </c>
      <c r="D1028" s="9" t="s">
        <v>1741</v>
      </c>
      <c r="E1028" s="9" t="s">
        <v>2913</v>
      </c>
      <c r="F1028" s="9" t="s">
        <v>3128</v>
      </c>
      <c r="G1028" s="9">
        <v>999</v>
      </c>
      <c r="H1028" s="9">
        <v>1499</v>
      </c>
      <c r="I1028" s="9">
        <v>33</v>
      </c>
      <c r="J1028" s="11">
        <v>4.0999999999999996</v>
      </c>
      <c r="K1028" s="9">
        <v>1646</v>
      </c>
      <c r="L1028" s="9">
        <v>4.089311101355424</v>
      </c>
      <c r="M1028" s="9" t="s">
        <v>28</v>
      </c>
      <c r="N1028" s="9" t="s">
        <v>93</v>
      </c>
      <c r="O1028" s="9">
        <v>41.5</v>
      </c>
      <c r="P1028" s="9" t="s">
        <v>30</v>
      </c>
      <c r="Q1028" s="9" t="b">
        <v>0</v>
      </c>
      <c r="R1028" s="9" t="b">
        <v>0</v>
      </c>
      <c r="S1028" s="9" t="b">
        <v>0</v>
      </c>
      <c r="U1028" s="9">
        <v>1</v>
      </c>
      <c r="V1028" s="9" t="b">
        <v>1</v>
      </c>
      <c r="W1028" s="9" t="s">
        <v>3308</v>
      </c>
    </row>
    <row r="1029" spans="1:23" ht="29" customHeight="1" x14ac:dyDescent="0.2">
      <c r="A1029" s="9" t="s">
        <v>3309</v>
      </c>
      <c r="B1029" s="10" t="s">
        <v>3310</v>
      </c>
      <c r="C1029" s="9" t="s">
        <v>1741</v>
      </c>
      <c r="D1029" s="9" t="s">
        <v>1741</v>
      </c>
      <c r="E1029" s="9" t="s">
        <v>2913</v>
      </c>
      <c r="F1029" s="9" t="s">
        <v>3171</v>
      </c>
      <c r="G1029" s="9">
        <v>8999</v>
      </c>
      <c r="H1029" s="9">
        <v>9995</v>
      </c>
      <c r="I1029" s="9">
        <v>10</v>
      </c>
      <c r="J1029" s="11">
        <v>4.4000000000000004</v>
      </c>
      <c r="K1029" s="9">
        <v>17994</v>
      </c>
      <c r="L1029" s="9">
        <v>4.3454617742596842</v>
      </c>
      <c r="M1029" s="9" t="s">
        <v>28</v>
      </c>
      <c r="N1029" s="9" t="s">
        <v>144</v>
      </c>
      <c r="O1029" s="9">
        <v>50.4</v>
      </c>
      <c r="P1029" s="9" t="s">
        <v>30</v>
      </c>
      <c r="Q1029" s="9" t="b">
        <v>0</v>
      </c>
      <c r="R1029" s="9" t="b">
        <v>0</v>
      </c>
      <c r="S1029" s="9" t="b">
        <v>0</v>
      </c>
      <c r="U1029" s="9">
        <v>1</v>
      </c>
      <c r="V1029" s="9" t="b">
        <v>1</v>
      </c>
      <c r="W1029" s="9" t="s">
        <v>3311</v>
      </c>
    </row>
    <row r="1030" spans="1:23" ht="29" customHeight="1" x14ac:dyDescent="0.2">
      <c r="A1030" s="9" t="s">
        <v>3312</v>
      </c>
      <c r="B1030" s="10" t="s">
        <v>3313</v>
      </c>
      <c r="C1030" s="9" t="s">
        <v>1741</v>
      </c>
      <c r="D1030" s="9" t="s">
        <v>1741</v>
      </c>
      <c r="E1030" s="9" t="s">
        <v>2913</v>
      </c>
      <c r="F1030" s="9" t="s">
        <v>2927</v>
      </c>
      <c r="G1030" s="9">
        <v>453</v>
      </c>
      <c r="H1030" s="9">
        <v>999</v>
      </c>
      <c r="I1030" s="9">
        <v>55</v>
      </c>
      <c r="J1030" s="11">
        <v>4.3</v>
      </c>
      <c r="K1030" s="9">
        <v>610</v>
      </c>
      <c r="L1030" s="9">
        <v>4.114680181059077</v>
      </c>
      <c r="M1030" s="9" t="s">
        <v>89</v>
      </c>
      <c r="N1030" s="9" t="s">
        <v>29</v>
      </c>
      <c r="O1030" s="9">
        <v>65.400000000000006</v>
      </c>
      <c r="P1030" s="9" t="s">
        <v>36</v>
      </c>
      <c r="Q1030" s="9" t="b">
        <v>0</v>
      </c>
      <c r="R1030" s="9" t="b">
        <v>0</v>
      </c>
      <c r="S1030" s="9" t="b">
        <v>0</v>
      </c>
      <c r="T1030" s="9">
        <v>1.01</v>
      </c>
      <c r="U1030" s="9">
        <v>1</v>
      </c>
      <c r="V1030" s="9" t="b">
        <v>1</v>
      </c>
      <c r="W1030" s="9" t="s">
        <v>3314</v>
      </c>
    </row>
    <row r="1031" spans="1:23" ht="29" customHeight="1" x14ac:dyDescent="0.2">
      <c r="A1031" s="9" t="s">
        <v>3315</v>
      </c>
      <c r="B1031" s="10" t="s">
        <v>3316</v>
      </c>
      <c r="C1031" s="9" t="s">
        <v>1741</v>
      </c>
      <c r="D1031" s="9" t="s">
        <v>1741</v>
      </c>
      <c r="E1031" s="9" t="s">
        <v>2913</v>
      </c>
      <c r="F1031" s="9" t="s">
        <v>2973</v>
      </c>
      <c r="G1031" s="9">
        <v>2464</v>
      </c>
      <c r="H1031" s="9">
        <v>6000</v>
      </c>
      <c r="I1031" s="9">
        <v>59</v>
      </c>
      <c r="J1031" s="11">
        <v>4.0999999999999996</v>
      </c>
      <c r="K1031" s="9">
        <v>8866</v>
      </c>
      <c r="L1031" s="9">
        <v>4.0954221872495404</v>
      </c>
      <c r="M1031" s="9" t="s">
        <v>28</v>
      </c>
      <c r="N1031" s="9" t="s">
        <v>179</v>
      </c>
      <c r="O1031" s="9">
        <v>50.4</v>
      </c>
      <c r="P1031" s="9" t="s">
        <v>30</v>
      </c>
      <c r="Q1031" s="9" t="b">
        <v>0</v>
      </c>
      <c r="R1031" s="9" t="b">
        <v>0</v>
      </c>
      <c r="S1031" s="9" t="b">
        <v>0</v>
      </c>
      <c r="T1031" s="9">
        <v>0.85</v>
      </c>
      <c r="U1031" s="9">
        <v>1</v>
      </c>
      <c r="V1031" s="9" t="b">
        <v>1</v>
      </c>
      <c r="W1031" s="9" t="s">
        <v>3317</v>
      </c>
    </row>
    <row r="1032" spans="1:23" ht="29" customHeight="1" x14ac:dyDescent="0.2">
      <c r="A1032" s="9" t="s">
        <v>3318</v>
      </c>
      <c r="B1032" s="10" t="s">
        <v>3319</v>
      </c>
      <c r="C1032" s="9" t="s">
        <v>1741</v>
      </c>
      <c r="D1032" s="9" t="s">
        <v>1741</v>
      </c>
      <c r="E1032" s="9" t="s">
        <v>2913</v>
      </c>
      <c r="F1032" s="9" t="s">
        <v>3289</v>
      </c>
      <c r="G1032" s="9">
        <v>2719</v>
      </c>
      <c r="H1032" s="9">
        <v>3945</v>
      </c>
      <c r="I1032" s="9">
        <v>31</v>
      </c>
      <c r="J1032" s="11">
        <v>3.7</v>
      </c>
      <c r="K1032" s="9">
        <v>13406</v>
      </c>
      <c r="L1032" s="9">
        <v>3.784293274990874</v>
      </c>
      <c r="M1032" s="9" t="s">
        <v>28</v>
      </c>
      <c r="N1032" s="9" t="s">
        <v>144</v>
      </c>
      <c r="O1032" s="9">
        <v>13.7</v>
      </c>
      <c r="P1032" s="9" t="s">
        <v>40</v>
      </c>
      <c r="Q1032" s="9" t="b">
        <v>0</v>
      </c>
      <c r="R1032" s="9" t="b">
        <v>0</v>
      </c>
      <c r="S1032" s="9" t="b">
        <v>1</v>
      </c>
      <c r="U1032" s="9">
        <v>1</v>
      </c>
      <c r="V1032" s="9" t="b">
        <v>1</v>
      </c>
      <c r="W1032" s="9" t="s">
        <v>3320</v>
      </c>
    </row>
    <row r="1033" spans="1:23" ht="29" customHeight="1" x14ac:dyDescent="0.2">
      <c r="A1033" s="9" t="s">
        <v>3321</v>
      </c>
      <c r="B1033" s="10" t="s">
        <v>3322</v>
      </c>
      <c r="C1033" s="9" t="s">
        <v>1741</v>
      </c>
      <c r="D1033" s="9" t="s">
        <v>1741</v>
      </c>
      <c r="E1033" s="9" t="s">
        <v>2918</v>
      </c>
      <c r="F1033" s="9" t="s">
        <v>2977</v>
      </c>
      <c r="G1033" s="9">
        <v>1439</v>
      </c>
      <c r="H1033" s="9">
        <v>1999</v>
      </c>
      <c r="I1033" s="9">
        <v>28</v>
      </c>
      <c r="J1033" s="11">
        <v>4.8</v>
      </c>
      <c r="K1033" s="9">
        <v>53803</v>
      </c>
      <c r="L1033" s="9">
        <v>4.7532435068171184</v>
      </c>
      <c r="M1033" s="9" t="s">
        <v>28</v>
      </c>
      <c r="N1033" s="9" t="s">
        <v>179</v>
      </c>
      <c r="O1033" s="9">
        <v>69.099999999999994</v>
      </c>
      <c r="P1033" s="9" t="s">
        <v>36</v>
      </c>
      <c r="Q1033" s="9" t="b">
        <v>0</v>
      </c>
      <c r="R1033" s="9" t="b">
        <v>0</v>
      </c>
      <c r="S1033" s="9" t="b">
        <v>0</v>
      </c>
      <c r="T1033" s="9">
        <v>0.55000000000000004</v>
      </c>
      <c r="U1033" s="9">
        <v>1</v>
      </c>
      <c r="V1033" s="9" t="b">
        <v>1</v>
      </c>
      <c r="W1033" s="9" t="s">
        <v>3323</v>
      </c>
    </row>
    <row r="1034" spans="1:23" ht="29" customHeight="1" x14ac:dyDescent="0.2">
      <c r="A1034" s="9" t="s">
        <v>3324</v>
      </c>
      <c r="B1034" s="10" t="s">
        <v>3325</v>
      </c>
      <c r="C1034" s="9" t="s">
        <v>1741</v>
      </c>
      <c r="D1034" s="9" t="s">
        <v>1741</v>
      </c>
      <c r="E1034" s="9" t="s">
        <v>2913</v>
      </c>
      <c r="F1034" s="9" t="s">
        <v>2965</v>
      </c>
      <c r="G1034" s="9">
        <v>2799</v>
      </c>
      <c r="H1034" s="9">
        <v>3499</v>
      </c>
      <c r="I1034" s="9">
        <v>20</v>
      </c>
      <c r="J1034" s="11">
        <v>4.5</v>
      </c>
      <c r="K1034" s="9">
        <v>546</v>
      </c>
      <c r="L1034" s="9">
        <v>4.1372726219521443</v>
      </c>
      <c r="M1034" s="9" t="s">
        <v>89</v>
      </c>
      <c r="N1034" s="9" t="s">
        <v>144</v>
      </c>
      <c r="O1034" s="9">
        <v>40.5</v>
      </c>
      <c r="P1034" s="9" t="s">
        <v>30</v>
      </c>
      <c r="Q1034" s="9" t="b">
        <v>0</v>
      </c>
      <c r="R1034" s="9" t="b">
        <v>0</v>
      </c>
      <c r="S1034" s="9" t="b">
        <v>0</v>
      </c>
      <c r="T1034" s="9">
        <v>4</v>
      </c>
      <c r="U1034" s="9">
        <v>1</v>
      </c>
      <c r="V1034" s="9" t="b">
        <v>1</v>
      </c>
      <c r="W1034" s="9" t="s">
        <v>3326</v>
      </c>
    </row>
    <row r="1035" spans="1:23" ht="29" customHeight="1" x14ac:dyDescent="0.2">
      <c r="A1035" s="9" t="s">
        <v>3327</v>
      </c>
      <c r="B1035" s="10" t="s">
        <v>3328</v>
      </c>
      <c r="C1035" s="9" t="s">
        <v>1741</v>
      </c>
      <c r="D1035" s="9" t="s">
        <v>1741</v>
      </c>
      <c r="E1035" s="9" t="s">
        <v>2918</v>
      </c>
      <c r="F1035" s="9" t="s">
        <v>2977</v>
      </c>
      <c r="G1035" s="9">
        <v>2088</v>
      </c>
      <c r="H1035" s="9">
        <v>5550</v>
      </c>
      <c r="I1035" s="9">
        <v>62</v>
      </c>
      <c r="J1035" s="11">
        <v>4</v>
      </c>
      <c r="K1035" s="9">
        <v>5292</v>
      </c>
      <c r="L1035" s="9">
        <v>4.0351691525408153</v>
      </c>
      <c r="M1035" s="9" t="s">
        <v>28</v>
      </c>
      <c r="N1035" s="9" t="s">
        <v>179</v>
      </c>
      <c r="O1035" s="9">
        <v>42.4</v>
      </c>
      <c r="P1035" s="9" t="s">
        <v>30</v>
      </c>
      <c r="Q1035" s="9" t="b">
        <v>0</v>
      </c>
      <c r="R1035" s="9" t="b">
        <v>0</v>
      </c>
      <c r="S1035" s="9" t="b">
        <v>0</v>
      </c>
      <c r="T1035" s="9">
        <v>0.8</v>
      </c>
      <c r="U1035" s="9">
        <v>1</v>
      </c>
      <c r="V1035" s="9" t="b">
        <v>1</v>
      </c>
      <c r="W1035" s="9" t="s">
        <v>3329</v>
      </c>
    </row>
    <row r="1036" spans="1:23" ht="29" customHeight="1" x14ac:dyDescent="0.2">
      <c r="A1036" s="9" t="s">
        <v>3330</v>
      </c>
      <c r="B1036" s="10" t="s">
        <v>3331</v>
      </c>
      <c r="C1036" s="9" t="s">
        <v>1741</v>
      </c>
      <c r="D1036" s="9" t="s">
        <v>1741</v>
      </c>
      <c r="E1036" s="9" t="s">
        <v>2918</v>
      </c>
      <c r="F1036" s="9" t="s">
        <v>2977</v>
      </c>
      <c r="G1036" s="9">
        <v>2399</v>
      </c>
      <c r="H1036" s="9">
        <v>4590</v>
      </c>
      <c r="I1036" s="9">
        <v>48</v>
      </c>
      <c r="J1036" s="11">
        <v>4.0999999999999996</v>
      </c>
      <c r="K1036" s="9">
        <v>444</v>
      </c>
      <c r="L1036" s="9">
        <v>4.0862567673079324</v>
      </c>
      <c r="M1036" s="9" t="s">
        <v>89</v>
      </c>
      <c r="N1036" s="9" t="s">
        <v>179</v>
      </c>
      <c r="O1036" s="9">
        <v>42.7</v>
      </c>
      <c r="P1036" s="9" t="s">
        <v>30</v>
      </c>
      <c r="Q1036" s="9" t="b">
        <v>0</v>
      </c>
      <c r="R1036" s="9" t="b">
        <v>0</v>
      </c>
      <c r="S1036" s="9" t="b">
        <v>0</v>
      </c>
      <c r="T1036" s="9">
        <v>0.92</v>
      </c>
      <c r="U1036" s="9">
        <v>1</v>
      </c>
      <c r="V1036" s="9" t="b">
        <v>1</v>
      </c>
      <c r="W1036" s="9" t="s">
        <v>3332</v>
      </c>
    </row>
    <row r="1037" spans="1:23" ht="29" customHeight="1" x14ac:dyDescent="0.2">
      <c r="A1037" s="9" t="s">
        <v>3333</v>
      </c>
      <c r="B1037" s="10" t="s">
        <v>3334</v>
      </c>
      <c r="C1037" s="9" t="s">
        <v>1741</v>
      </c>
      <c r="D1037" s="9" t="s">
        <v>1741</v>
      </c>
      <c r="E1037" s="9" t="s">
        <v>2913</v>
      </c>
      <c r="F1037" s="9" t="s">
        <v>2931</v>
      </c>
      <c r="G1037" s="9">
        <v>308</v>
      </c>
      <c r="H1037" s="9">
        <v>499</v>
      </c>
      <c r="I1037" s="9">
        <v>38</v>
      </c>
      <c r="J1037" s="11">
        <v>3.9</v>
      </c>
      <c r="K1037" s="9">
        <v>4584</v>
      </c>
      <c r="L1037" s="9">
        <v>3.983231185728247</v>
      </c>
      <c r="M1037" s="9" t="s">
        <v>28</v>
      </c>
      <c r="N1037" s="9" t="s">
        <v>29</v>
      </c>
      <c r="O1037" s="9">
        <v>34.1</v>
      </c>
      <c r="P1037" s="9" t="s">
        <v>40</v>
      </c>
      <c r="Q1037" s="9" t="b">
        <v>0</v>
      </c>
      <c r="R1037" s="9" t="b">
        <v>0</v>
      </c>
      <c r="S1037" s="9" t="b">
        <v>0</v>
      </c>
      <c r="T1037" s="9">
        <v>0.63</v>
      </c>
      <c r="U1037" s="9">
        <v>1</v>
      </c>
      <c r="V1037" s="9" t="b">
        <v>1</v>
      </c>
      <c r="W1037" s="9" t="s">
        <v>3335</v>
      </c>
    </row>
    <row r="1038" spans="1:23" ht="29" customHeight="1" x14ac:dyDescent="0.2">
      <c r="A1038" s="9" t="s">
        <v>3336</v>
      </c>
      <c r="B1038" s="10" t="s">
        <v>3337</v>
      </c>
      <c r="C1038" s="9" t="s">
        <v>1741</v>
      </c>
      <c r="D1038" s="9" t="s">
        <v>1741</v>
      </c>
      <c r="E1038" s="9" t="s">
        <v>2918</v>
      </c>
      <c r="F1038" s="9" t="s">
        <v>2977</v>
      </c>
      <c r="G1038" s="9">
        <v>2599</v>
      </c>
      <c r="H1038" s="9">
        <v>4400</v>
      </c>
      <c r="I1038" s="9">
        <v>41</v>
      </c>
      <c r="J1038" s="11">
        <v>4.0999999999999996</v>
      </c>
      <c r="K1038" s="9">
        <v>14947</v>
      </c>
      <c r="L1038" s="9">
        <v>4.0969100773233276</v>
      </c>
      <c r="M1038" s="9" t="s">
        <v>28</v>
      </c>
      <c r="N1038" s="9" t="s">
        <v>144</v>
      </c>
      <c r="O1038" s="9">
        <v>44.8</v>
      </c>
      <c r="P1038" s="9" t="s">
        <v>30</v>
      </c>
      <c r="Q1038" s="9" t="b">
        <v>0</v>
      </c>
      <c r="R1038" s="9" t="b">
        <v>0</v>
      </c>
      <c r="S1038" s="9" t="b">
        <v>0</v>
      </c>
      <c r="T1038" s="9">
        <v>1</v>
      </c>
      <c r="U1038" s="9">
        <v>1</v>
      </c>
      <c r="V1038" s="9" t="b">
        <v>1</v>
      </c>
      <c r="W1038" s="9" t="s">
        <v>3338</v>
      </c>
    </row>
    <row r="1039" spans="1:23" ht="29" customHeight="1" x14ac:dyDescent="0.2">
      <c r="A1039" s="9" t="s">
        <v>3339</v>
      </c>
      <c r="B1039" s="10" t="s">
        <v>3340</v>
      </c>
      <c r="C1039" s="9" t="s">
        <v>1741</v>
      </c>
      <c r="D1039" s="9" t="s">
        <v>1741</v>
      </c>
      <c r="E1039" s="9" t="s">
        <v>2913</v>
      </c>
      <c r="F1039" s="9" t="s">
        <v>2969</v>
      </c>
      <c r="G1039" s="9">
        <v>479</v>
      </c>
      <c r="H1039" s="9">
        <v>1000</v>
      </c>
      <c r="I1039" s="9">
        <v>52</v>
      </c>
      <c r="J1039" s="11">
        <v>4.2</v>
      </c>
      <c r="K1039" s="9">
        <v>1559</v>
      </c>
      <c r="L1039" s="9">
        <v>4.1184326020258979</v>
      </c>
      <c r="M1039" s="9" t="s">
        <v>28</v>
      </c>
      <c r="N1039" s="9" t="s">
        <v>29</v>
      </c>
      <c r="O1039" s="9">
        <v>64</v>
      </c>
      <c r="P1039" s="9" t="s">
        <v>36</v>
      </c>
      <c r="Q1039" s="9" t="b">
        <v>0</v>
      </c>
      <c r="R1039" s="9" t="b">
        <v>0</v>
      </c>
      <c r="S1039" s="9" t="b">
        <v>0</v>
      </c>
      <c r="T1039" s="9">
        <v>0.7</v>
      </c>
      <c r="U1039" s="9">
        <v>1</v>
      </c>
      <c r="V1039" s="9" t="b">
        <v>1</v>
      </c>
      <c r="W1039" s="9" t="s">
        <v>3341</v>
      </c>
    </row>
    <row r="1040" spans="1:23" ht="29" customHeight="1" x14ac:dyDescent="0.2">
      <c r="A1040" s="9" t="s">
        <v>3342</v>
      </c>
      <c r="B1040" s="10" t="s">
        <v>3343</v>
      </c>
      <c r="C1040" s="9" t="s">
        <v>1741</v>
      </c>
      <c r="D1040" s="9" t="s">
        <v>1741</v>
      </c>
      <c r="E1040" s="9" t="s">
        <v>2913</v>
      </c>
      <c r="F1040" s="9" t="s">
        <v>2927</v>
      </c>
      <c r="G1040" s="9">
        <v>245</v>
      </c>
      <c r="H1040" s="9">
        <v>299</v>
      </c>
      <c r="I1040" s="9">
        <v>18</v>
      </c>
      <c r="J1040" s="11">
        <v>4.0999999999999996</v>
      </c>
      <c r="K1040" s="9">
        <v>1660</v>
      </c>
      <c r="L1040" s="9">
        <v>4.0893386983274898</v>
      </c>
      <c r="M1040" s="9" t="s">
        <v>28</v>
      </c>
      <c r="N1040" s="9" t="s">
        <v>29</v>
      </c>
      <c r="O1040" s="9">
        <v>43.3</v>
      </c>
      <c r="P1040" s="9" t="s">
        <v>30</v>
      </c>
      <c r="Q1040" s="9" t="b">
        <v>0</v>
      </c>
      <c r="R1040" s="9" t="b">
        <v>0</v>
      </c>
      <c r="S1040" s="9" t="b">
        <v>0</v>
      </c>
      <c r="T1040" s="9">
        <v>0.55000000000000004</v>
      </c>
      <c r="U1040" s="9">
        <v>1</v>
      </c>
      <c r="V1040" s="9" t="b">
        <v>1</v>
      </c>
      <c r="W1040" s="9" t="s">
        <v>3344</v>
      </c>
    </row>
    <row r="1041" spans="1:23" ht="29" customHeight="1" x14ac:dyDescent="0.2">
      <c r="A1041" s="9" t="s">
        <v>3345</v>
      </c>
      <c r="B1041" s="10" t="s">
        <v>3346</v>
      </c>
      <c r="C1041" s="9" t="s">
        <v>1741</v>
      </c>
      <c r="D1041" s="9" t="s">
        <v>1741</v>
      </c>
      <c r="E1041" s="9" t="s">
        <v>2913</v>
      </c>
      <c r="F1041" s="9" t="s">
        <v>2927</v>
      </c>
      <c r="G1041" s="9">
        <v>179</v>
      </c>
      <c r="H1041" s="9">
        <v>799</v>
      </c>
      <c r="I1041" s="9">
        <v>78</v>
      </c>
      <c r="J1041" s="11">
        <v>3.5</v>
      </c>
      <c r="K1041" s="9">
        <v>132</v>
      </c>
      <c r="L1041" s="9">
        <v>4.0648193841778957</v>
      </c>
      <c r="M1041" s="9" t="s">
        <v>89</v>
      </c>
      <c r="N1041" s="9" t="s">
        <v>29</v>
      </c>
      <c r="O1041" s="9">
        <v>62.1</v>
      </c>
      <c r="P1041" s="9" t="s">
        <v>36</v>
      </c>
      <c r="Q1041" s="9" t="b">
        <v>0</v>
      </c>
      <c r="R1041" s="9" t="b">
        <v>0</v>
      </c>
      <c r="S1041" s="9" t="b">
        <v>1</v>
      </c>
      <c r="T1041" s="9">
        <v>0.4</v>
      </c>
      <c r="U1041" s="9">
        <v>1</v>
      </c>
      <c r="V1041" s="9" t="b">
        <v>1</v>
      </c>
      <c r="W1041" s="9" t="s">
        <v>3347</v>
      </c>
    </row>
    <row r="1042" spans="1:23" ht="29" customHeight="1" x14ac:dyDescent="0.2">
      <c r="A1042" s="9" t="s">
        <v>3348</v>
      </c>
      <c r="B1042" s="10" t="s">
        <v>3349</v>
      </c>
      <c r="C1042" s="9" t="s">
        <v>1741</v>
      </c>
      <c r="D1042" s="9" t="s">
        <v>1741</v>
      </c>
      <c r="E1042" s="9" t="s">
        <v>2918</v>
      </c>
      <c r="F1042" s="9" t="s">
        <v>3161</v>
      </c>
      <c r="G1042" s="9">
        <v>3569</v>
      </c>
      <c r="H1042" s="9">
        <v>5190</v>
      </c>
      <c r="I1042" s="9">
        <v>31</v>
      </c>
      <c r="J1042" s="11">
        <v>4.3</v>
      </c>
      <c r="K1042" s="9">
        <v>28629</v>
      </c>
      <c r="L1042" s="9">
        <v>4.274983841183051</v>
      </c>
      <c r="M1042" s="9" t="s">
        <v>28</v>
      </c>
      <c r="N1042" s="9" t="s">
        <v>144</v>
      </c>
      <c r="O1042" s="9">
        <v>57.6</v>
      </c>
      <c r="P1042" s="9" t="s">
        <v>53</v>
      </c>
      <c r="Q1042" s="9" t="b">
        <v>0</v>
      </c>
      <c r="R1042" s="9" t="b">
        <v>0</v>
      </c>
      <c r="S1042" s="9" t="b">
        <v>0</v>
      </c>
      <c r="T1042" s="9">
        <v>1.79</v>
      </c>
      <c r="U1042" s="9">
        <v>1</v>
      </c>
      <c r="V1042" s="9" t="b">
        <v>1</v>
      </c>
      <c r="W1042" s="9" t="s">
        <v>3350</v>
      </c>
    </row>
    <row r="1043" spans="1:23" ht="29" customHeight="1" x14ac:dyDescent="0.2">
      <c r="A1043" s="9" t="s">
        <v>3351</v>
      </c>
      <c r="B1043" s="10" t="s">
        <v>3352</v>
      </c>
      <c r="C1043" s="9" t="s">
        <v>1741</v>
      </c>
      <c r="D1043" s="9" t="s">
        <v>1741</v>
      </c>
      <c r="E1043" s="9" t="s">
        <v>2913</v>
      </c>
      <c r="F1043" s="9" t="s">
        <v>2914</v>
      </c>
      <c r="G1043" s="9">
        <v>699</v>
      </c>
      <c r="H1043" s="9">
        <v>1345</v>
      </c>
      <c r="I1043" s="9">
        <v>48</v>
      </c>
      <c r="J1043" s="11">
        <v>3.9</v>
      </c>
      <c r="K1043" s="9">
        <v>8446</v>
      </c>
      <c r="L1043" s="9">
        <v>3.956902083931753</v>
      </c>
      <c r="M1043" s="9" t="s">
        <v>28</v>
      </c>
      <c r="N1043" s="9" t="s">
        <v>93</v>
      </c>
      <c r="O1043" s="9">
        <v>34.1</v>
      </c>
      <c r="P1043" s="9" t="s">
        <v>40</v>
      </c>
      <c r="Q1043" s="9" t="b">
        <v>0</v>
      </c>
      <c r="R1043" s="9" t="b">
        <v>0</v>
      </c>
      <c r="S1043" s="9" t="b">
        <v>0</v>
      </c>
      <c r="T1043" s="9">
        <v>0.7</v>
      </c>
      <c r="U1043" s="9">
        <v>1</v>
      </c>
      <c r="V1043" s="9" t="b">
        <v>1</v>
      </c>
      <c r="W1043" s="9" t="s">
        <v>3353</v>
      </c>
    </row>
    <row r="1044" spans="1:23" ht="29" customHeight="1" x14ac:dyDescent="0.2">
      <c r="A1044" s="9" t="s">
        <v>3354</v>
      </c>
      <c r="B1044" s="10" t="s">
        <v>3355</v>
      </c>
      <c r="C1044" s="9" t="s">
        <v>1741</v>
      </c>
      <c r="D1044" s="9" t="s">
        <v>1741</v>
      </c>
      <c r="E1044" s="9" t="s">
        <v>2913</v>
      </c>
      <c r="F1044" s="9" t="s">
        <v>2952</v>
      </c>
      <c r="G1044" s="9">
        <v>2089</v>
      </c>
      <c r="H1044" s="9">
        <v>4000</v>
      </c>
      <c r="I1044" s="9">
        <v>48</v>
      </c>
      <c r="J1044" s="11">
        <v>4.2</v>
      </c>
      <c r="K1044" s="9">
        <v>11199</v>
      </c>
      <c r="L1044" s="9">
        <v>4.1709881423440711</v>
      </c>
      <c r="M1044" s="9" t="s">
        <v>28</v>
      </c>
      <c r="N1044" s="9" t="s">
        <v>179</v>
      </c>
      <c r="O1044" s="9">
        <v>55.7</v>
      </c>
      <c r="P1044" s="9" t="s">
        <v>53</v>
      </c>
      <c r="Q1044" s="9" t="b">
        <v>0</v>
      </c>
      <c r="R1044" s="9" t="b">
        <v>0</v>
      </c>
      <c r="S1044" s="9" t="b">
        <v>0</v>
      </c>
      <c r="T1044" s="9">
        <v>1.02</v>
      </c>
      <c r="U1044" s="9">
        <v>1</v>
      </c>
      <c r="V1044" s="9" t="b">
        <v>1</v>
      </c>
      <c r="W1044" s="9" t="s">
        <v>3356</v>
      </c>
    </row>
    <row r="1045" spans="1:23" ht="29" customHeight="1" x14ac:dyDescent="0.2">
      <c r="A1045" s="9" t="s">
        <v>3357</v>
      </c>
      <c r="B1045" s="10" t="s">
        <v>3358</v>
      </c>
      <c r="C1045" s="9" t="s">
        <v>3359</v>
      </c>
      <c r="D1045" s="9" t="s">
        <v>1724</v>
      </c>
      <c r="E1045" s="9" t="s">
        <v>3360</v>
      </c>
      <c r="F1045" s="9" t="s">
        <v>3361</v>
      </c>
      <c r="G1045" s="9">
        <v>2339</v>
      </c>
      <c r="H1045" s="9">
        <v>4000</v>
      </c>
      <c r="I1045" s="9">
        <v>42</v>
      </c>
      <c r="J1045" s="11">
        <v>3.8</v>
      </c>
      <c r="K1045" s="9">
        <v>1118</v>
      </c>
      <c r="L1045" s="9">
        <v>4.0194322490893999</v>
      </c>
      <c r="M1045" s="9" t="s">
        <v>28</v>
      </c>
      <c r="N1045" s="9" t="s">
        <v>179</v>
      </c>
      <c r="O1045" s="9">
        <v>30.9</v>
      </c>
      <c r="P1045" s="9" t="s">
        <v>40</v>
      </c>
      <c r="Q1045" s="9" t="b">
        <v>0</v>
      </c>
      <c r="R1045" s="9" t="b">
        <v>0</v>
      </c>
      <c r="S1045" s="9" t="b">
        <v>1</v>
      </c>
      <c r="U1045" s="9">
        <v>1</v>
      </c>
      <c r="V1045" s="9" t="b">
        <v>1</v>
      </c>
      <c r="W1045" s="9" t="s">
        <v>3362</v>
      </c>
    </row>
    <row r="1046" spans="1:23" ht="29" customHeight="1" x14ac:dyDescent="0.2">
      <c r="A1046" s="9" t="s">
        <v>3363</v>
      </c>
      <c r="B1046" s="10" t="s">
        <v>3364</v>
      </c>
      <c r="C1046" s="9" t="s">
        <v>1741</v>
      </c>
      <c r="D1046" s="9" t="s">
        <v>1741</v>
      </c>
      <c r="E1046" s="9" t="s">
        <v>2918</v>
      </c>
      <c r="F1046" s="9" t="s">
        <v>2923</v>
      </c>
      <c r="G1046" s="9">
        <v>784</v>
      </c>
      <c r="H1046" s="9">
        <v>1599</v>
      </c>
      <c r="I1046" s="9">
        <v>51</v>
      </c>
      <c r="J1046" s="11">
        <v>4.5</v>
      </c>
      <c r="K1046" s="9">
        <v>11</v>
      </c>
      <c r="L1046" s="9">
        <v>4.0858457908257098</v>
      </c>
      <c r="M1046" s="9" t="s">
        <v>204</v>
      </c>
      <c r="N1046" s="9" t="s">
        <v>93</v>
      </c>
      <c r="O1046" s="9">
        <v>52.6</v>
      </c>
      <c r="P1046" s="9" t="s">
        <v>53</v>
      </c>
      <c r="Q1046" s="9" t="b">
        <v>0</v>
      </c>
      <c r="R1046" s="9" t="b">
        <v>0</v>
      </c>
      <c r="S1046" s="9" t="b">
        <v>0</v>
      </c>
      <c r="T1046" s="9">
        <v>0.73</v>
      </c>
      <c r="U1046" s="9">
        <v>1</v>
      </c>
      <c r="V1046" s="9" t="b">
        <v>1</v>
      </c>
      <c r="W1046" s="9" t="s">
        <v>3365</v>
      </c>
    </row>
    <row r="1047" spans="1:23" ht="29" customHeight="1" x14ac:dyDescent="0.2">
      <c r="A1047" s="9" t="s">
        <v>3366</v>
      </c>
      <c r="B1047" s="10" t="s">
        <v>3367</v>
      </c>
      <c r="C1047" s="9" t="s">
        <v>1741</v>
      </c>
      <c r="D1047" s="9" t="s">
        <v>1741</v>
      </c>
      <c r="E1047" s="9" t="s">
        <v>2913</v>
      </c>
      <c r="F1047" s="9" t="s">
        <v>3368</v>
      </c>
      <c r="G1047" s="9">
        <v>5499</v>
      </c>
      <c r="H1047" s="9">
        <v>9999</v>
      </c>
      <c r="I1047" s="9">
        <v>45</v>
      </c>
      <c r="J1047" s="11">
        <v>3.8</v>
      </c>
      <c r="K1047" s="9">
        <v>4353</v>
      </c>
      <c r="L1047" s="9">
        <v>3.9319621824509658</v>
      </c>
      <c r="M1047" s="9" t="s">
        <v>28</v>
      </c>
      <c r="N1047" s="9" t="s">
        <v>144</v>
      </c>
      <c r="O1047" s="9">
        <v>20.2</v>
      </c>
      <c r="P1047" s="9" t="s">
        <v>40</v>
      </c>
      <c r="Q1047" s="9" t="b">
        <v>0</v>
      </c>
      <c r="R1047" s="9" t="b">
        <v>0</v>
      </c>
      <c r="S1047" s="9" t="b">
        <v>1</v>
      </c>
      <c r="U1047" s="9">
        <v>1</v>
      </c>
      <c r="V1047" s="9" t="b">
        <v>1</v>
      </c>
      <c r="W1047" s="9" t="s">
        <v>3369</v>
      </c>
    </row>
    <row r="1048" spans="1:23" ht="29" customHeight="1" x14ac:dyDescent="0.2">
      <c r="A1048" s="9" t="s">
        <v>3370</v>
      </c>
      <c r="B1048" s="10" t="s">
        <v>3371</v>
      </c>
      <c r="C1048" s="9" t="s">
        <v>1741</v>
      </c>
      <c r="D1048" s="9" t="s">
        <v>1741</v>
      </c>
      <c r="E1048" s="9" t="s">
        <v>2918</v>
      </c>
      <c r="F1048" s="9" t="s">
        <v>2923</v>
      </c>
      <c r="G1048" s="9">
        <v>899</v>
      </c>
      <c r="H1048" s="9">
        <v>1990</v>
      </c>
      <c r="I1048" s="9">
        <v>55</v>
      </c>
      <c r="J1048" s="11">
        <v>4.0999999999999996</v>
      </c>
      <c r="K1048" s="9">
        <v>185</v>
      </c>
      <c r="L1048" s="9">
        <v>4.0853550580572042</v>
      </c>
      <c r="M1048" s="9" t="s">
        <v>89</v>
      </c>
      <c r="N1048" s="9" t="s">
        <v>93</v>
      </c>
      <c r="O1048" s="9">
        <v>53</v>
      </c>
      <c r="P1048" s="9" t="s">
        <v>53</v>
      </c>
      <c r="Q1048" s="9" t="b">
        <v>0</v>
      </c>
      <c r="R1048" s="9" t="b">
        <v>0</v>
      </c>
      <c r="S1048" s="9" t="b">
        <v>0</v>
      </c>
      <c r="T1048" s="9">
        <v>0.83</v>
      </c>
      <c r="U1048" s="9">
        <v>1</v>
      </c>
      <c r="V1048" s="9" t="b">
        <v>1</v>
      </c>
      <c r="W1048" s="9" t="s">
        <v>3372</v>
      </c>
    </row>
    <row r="1049" spans="1:23" ht="29" customHeight="1" x14ac:dyDescent="0.2">
      <c r="A1049" s="9" t="s">
        <v>3373</v>
      </c>
      <c r="B1049" s="10" t="s">
        <v>3374</v>
      </c>
      <c r="C1049" s="9" t="s">
        <v>1741</v>
      </c>
      <c r="D1049" s="9" t="s">
        <v>1741</v>
      </c>
      <c r="E1049" s="9" t="s">
        <v>2913</v>
      </c>
      <c r="F1049" s="9" t="s">
        <v>2965</v>
      </c>
      <c r="G1049" s="9">
        <v>1695</v>
      </c>
      <c r="H1049" s="9">
        <v>1695</v>
      </c>
      <c r="I1049" s="9">
        <v>0</v>
      </c>
      <c r="J1049" s="11">
        <v>4.2</v>
      </c>
      <c r="K1049" s="9">
        <v>14290</v>
      </c>
      <c r="L1049" s="9">
        <v>4.1759556344927748</v>
      </c>
      <c r="M1049" s="9" t="s">
        <v>28</v>
      </c>
      <c r="N1049" s="9" t="s">
        <v>179</v>
      </c>
      <c r="O1049" s="9">
        <v>43.6</v>
      </c>
      <c r="P1049" s="9" t="s">
        <v>30</v>
      </c>
      <c r="Q1049" s="9" t="b">
        <v>0</v>
      </c>
      <c r="R1049" s="9" t="b">
        <v>0</v>
      </c>
      <c r="S1049" s="9" t="b">
        <v>0</v>
      </c>
      <c r="T1049" s="9">
        <v>2.42</v>
      </c>
      <c r="U1049" s="9">
        <v>1</v>
      </c>
      <c r="V1049" s="9" t="b">
        <v>1</v>
      </c>
      <c r="W1049" s="9" t="s">
        <v>3375</v>
      </c>
    </row>
    <row r="1050" spans="1:23" ht="29" customHeight="1" x14ac:dyDescent="0.2">
      <c r="A1050" s="9" t="s">
        <v>3376</v>
      </c>
      <c r="B1050" s="10" t="s">
        <v>3377</v>
      </c>
      <c r="C1050" s="9" t="s">
        <v>1741</v>
      </c>
      <c r="D1050" s="9" t="s">
        <v>1741</v>
      </c>
      <c r="E1050" s="9" t="s">
        <v>2913</v>
      </c>
      <c r="F1050" s="9" t="s">
        <v>2969</v>
      </c>
      <c r="G1050" s="9">
        <v>499</v>
      </c>
      <c r="H1050" s="9">
        <v>940</v>
      </c>
      <c r="I1050" s="9">
        <v>47</v>
      </c>
      <c r="J1050" s="11">
        <v>4.0999999999999996</v>
      </c>
      <c r="K1050" s="9">
        <v>3036</v>
      </c>
      <c r="L1050" s="9">
        <v>4.091496520067782</v>
      </c>
      <c r="M1050" s="9" t="s">
        <v>28</v>
      </c>
      <c r="N1050" s="9" t="s">
        <v>29</v>
      </c>
      <c r="O1050" s="9">
        <v>53.3</v>
      </c>
      <c r="P1050" s="9" t="s">
        <v>53</v>
      </c>
      <c r="Q1050" s="9" t="b">
        <v>0</v>
      </c>
      <c r="R1050" s="9" t="b">
        <v>0</v>
      </c>
      <c r="S1050" s="9" t="b">
        <v>0</v>
      </c>
      <c r="T1050" s="9">
        <v>0.73</v>
      </c>
      <c r="U1050" s="9">
        <v>1</v>
      </c>
      <c r="V1050" s="9" t="b">
        <v>1</v>
      </c>
      <c r="W1050" s="9" t="s">
        <v>3378</v>
      </c>
    </row>
    <row r="1051" spans="1:23" ht="29" customHeight="1" x14ac:dyDescent="0.2">
      <c r="A1051" s="9" t="s">
        <v>3379</v>
      </c>
      <c r="B1051" s="10" t="s">
        <v>3380</v>
      </c>
      <c r="C1051" s="9" t="s">
        <v>1741</v>
      </c>
      <c r="D1051" s="9" t="s">
        <v>1741</v>
      </c>
      <c r="E1051" s="9" t="s">
        <v>2918</v>
      </c>
      <c r="F1051" s="9" t="s">
        <v>2977</v>
      </c>
      <c r="G1051" s="9">
        <v>2699</v>
      </c>
      <c r="H1051" s="9">
        <v>4700</v>
      </c>
      <c r="I1051" s="9">
        <v>43</v>
      </c>
      <c r="J1051" s="11">
        <v>4.2</v>
      </c>
      <c r="K1051" s="9">
        <v>1296</v>
      </c>
      <c r="L1051" s="9">
        <v>4.1141917745736514</v>
      </c>
      <c r="M1051" s="9" t="s">
        <v>28</v>
      </c>
      <c r="N1051" s="9" t="s">
        <v>144</v>
      </c>
      <c r="O1051" s="9">
        <v>49.8</v>
      </c>
      <c r="P1051" s="9" t="s">
        <v>30</v>
      </c>
      <c r="Q1051" s="9" t="b">
        <v>0</v>
      </c>
      <c r="R1051" s="9" t="b">
        <v>0</v>
      </c>
      <c r="S1051" s="9" t="b">
        <v>0</v>
      </c>
      <c r="T1051" s="9">
        <v>1.04</v>
      </c>
      <c r="U1051" s="9">
        <v>1</v>
      </c>
      <c r="V1051" s="9" t="b">
        <v>1</v>
      </c>
      <c r="W1051" s="9" t="s">
        <v>3381</v>
      </c>
    </row>
    <row r="1052" spans="1:23" ht="29" customHeight="1" x14ac:dyDescent="0.2">
      <c r="A1052" s="9" t="s">
        <v>3382</v>
      </c>
      <c r="B1052" s="10" t="s">
        <v>3383</v>
      </c>
      <c r="C1052" s="9" t="s">
        <v>1741</v>
      </c>
      <c r="D1052" s="9" t="s">
        <v>1741</v>
      </c>
      <c r="E1052" s="9" t="s">
        <v>2918</v>
      </c>
      <c r="F1052" s="9" t="s">
        <v>2977</v>
      </c>
      <c r="G1052" s="9">
        <v>1448</v>
      </c>
      <c r="H1052" s="9">
        <v>2999</v>
      </c>
      <c r="I1052" s="9">
        <v>52</v>
      </c>
      <c r="J1052" s="11">
        <v>4.5</v>
      </c>
      <c r="K1052" s="9">
        <v>19</v>
      </c>
      <c r="L1052" s="9">
        <v>4.0867219599843487</v>
      </c>
      <c r="M1052" s="9" t="s">
        <v>204</v>
      </c>
      <c r="N1052" s="9" t="s">
        <v>179</v>
      </c>
      <c r="O1052" s="9">
        <v>49.7</v>
      </c>
      <c r="P1052" s="9" t="s">
        <v>30</v>
      </c>
      <c r="Q1052" s="9" t="b">
        <v>0</v>
      </c>
      <c r="R1052" s="9" t="b">
        <v>0</v>
      </c>
      <c r="S1052" s="9" t="b">
        <v>0</v>
      </c>
      <c r="T1052" s="9">
        <v>0.56000000000000005</v>
      </c>
      <c r="U1052" s="9">
        <v>1</v>
      </c>
      <c r="V1052" s="9" t="b">
        <v>1</v>
      </c>
      <c r="W1052" s="9" t="s">
        <v>3384</v>
      </c>
    </row>
    <row r="1053" spans="1:23" ht="29" customHeight="1" x14ac:dyDescent="0.2">
      <c r="A1053" s="9" t="s">
        <v>3385</v>
      </c>
      <c r="B1053" s="10" t="s">
        <v>3386</v>
      </c>
      <c r="C1053" s="9" t="s">
        <v>1741</v>
      </c>
      <c r="D1053" s="9" t="s">
        <v>1741</v>
      </c>
      <c r="E1053" s="9" t="s">
        <v>2913</v>
      </c>
      <c r="F1053" s="9" t="s">
        <v>3157</v>
      </c>
      <c r="G1053" s="9">
        <v>79</v>
      </c>
      <c r="H1053" s="9">
        <v>79</v>
      </c>
      <c r="I1053" s="9">
        <v>0</v>
      </c>
      <c r="J1053" s="11">
        <v>4</v>
      </c>
      <c r="K1053" s="9">
        <v>97</v>
      </c>
      <c r="L1053" s="9">
        <v>4.0825078615574082</v>
      </c>
      <c r="M1053" s="9" t="s">
        <v>204</v>
      </c>
      <c r="N1053" s="9" t="s">
        <v>29</v>
      </c>
      <c r="O1053" s="9">
        <v>38.299999999999997</v>
      </c>
      <c r="P1053" s="9" t="s">
        <v>40</v>
      </c>
      <c r="Q1053" s="9" t="b">
        <v>0</v>
      </c>
      <c r="R1053" s="9" t="b">
        <v>0</v>
      </c>
      <c r="S1053" s="9" t="b">
        <v>0</v>
      </c>
      <c r="U1053" s="9">
        <v>1</v>
      </c>
      <c r="V1053" s="9" t="b">
        <v>1</v>
      </c>
      <c r="W1053" s="9" t="s">
        <v>3387</v>
      </c>
    </row>
    <row r="1054" spans="1:23" ht="29" customHeight="1" x14ac:dyDescent="0.2">
      <c r="A1054" s="9" t="s">
        <v>3388</v>
      </c>
      <c r="B1054" s="10" t="s">
        <v>3389</v>
      </c>
      <c r="C1054" s="9" t="s">
        <v>1741</v>
      </c>
      <c r="D1054" s="9" t="s">
        <v>1741</v>
      </c>
      <c r="E1054" s="9" t="s">
        <v>2918</v>
      </c>
      <c r="F1054" s="9" t="s">
        <v>2995</v>
      </c>
      <c r="G1054" s="9">
        <v>6990</v>
      </c>
      <c r="H1054" s="9">
        <v>14290</v>
      </c>
      <c r="I1054" s="9">
        <v>51</v>
      </c>
      <c r="J1054" s="11">
        <v>4.4000000000000004</v>
      </c>
      <c r="K1054" s="9">
        <v>1771</v>
      </c>
      <c r="L1054" s="9">
        <v>4.1855677404320621</v>
      </c>
      <c r="M1054" s="9" t="s">
        <v>28</v>
      </c>
      <c r="N1054" s="9" t="s">
        <v>144</v>
      </c>
      <c r="O1054" s="9">
        <v>57.5</v>
      </c>
      <c r="P1054" s="9" t="s">
        <v>53</v>
      </c>
      <c r="Q1054" s="9" t="b">
        <v>0</v>
      </c>
      <c r="R1054" s="9" t="b">
        <v>0</v>
      </c>
      <c r="S1054" s="9" t="b">
        <v>0</v>
      </c>
      <c r="T1054" s="9">
        <v>1.0900000000000001</v>
      </c>
      <c r="U1054" s="9">
        <v>1</v>
      </c>
      <c r="V1054" s="9" t="b">
        <v>1</v>
      </c>
      <c r="W1054" s="9" t="s">
        <v>3390</v>
      </c>
    </row>
    <row r="1055" spans="1:23" ht="29" customHeight="1" x14ac:dyDescent="0.2">
      <c r="A1055" s="9" t="s">
        <v>3391</v>
      </c>
      <c r="B1055" s="10" t="s">
        <v>3392</v>
      </c>
      <c r="C1055" s="9" t="s">
        <v>1741</v>
      </c>
      <c r="D1055" s="9" t="s">
        <v>1741</v>
      </c>
      <c r="E1055" s="9" t="s">
        <v>2913</v>
      </c>
      <c r="F1055" s="9" t="s">
        <v>2952</v>
      </c>
      <c r="G1055" s="9">
        <v>2698</v>
      </c>
      <c r="H1055" s="9">
        <v>3945</v>
      </c>
      <c r="I1055" s="9">
        <v>32</v>
      </c>
      <c r="J1055" s="11">
        <v>4</v>
      </c>
      <c r="K1055" s="9">
        <v>15034</v>
      </c>
      <c r="L1055" s="9">
        <v>4.0169414035421918</v>
      </c>
      <c r="M1055" s="9" t="s">
        <v>28</v>
      </c>
      <c r="N1055" s="9" t="s">
        <v>144</v>
      </c>
      <c r="O1055" s="9">
        <v>21.2</v>
      </c>
      <c r="P1055" s="9" t="s">
        <v>40</v>
      </c>
      <c r="Q1055" s="9" t="b">
        <v>0</v>
      </c>
      <c r="R1055" s="9" t="b">
        <v>0</v>
      </c>
      <c r="S1055" s="9" t="b">
        <v>0</v>
      </c>
      <c r="T1055" s="9">
        <v>1.32</v>
      </c>
      <c r="U1055" s="9">
        <v>1</v>
      </c>
      <c r="V1055" s="9" t="b">
        <v>1</v>
      </c>
      <c r="W1055" s="9" t="s">
        <v>3393</v>
      </c>
    </row>
    <row r="1056" spans="1:23" ht="29" customHeight="1" x14ac:dyDescent="0.2">
      <c r="A1056" s="9" t="s">
        <v>3394</v>
      </c>
      <c r="B1056" s="10" t="s">
        <v>3395</v>
      </c>
      <c r="C1056" s="9" t="s">
        <v>1741</v>
      </c>
      <c r="D1056" s="9" t="s">
        <v>1741</v>
      </c>
      <c r="E1056" s="9" t="s">
        <v>2913</v>
      </c>
      <c r="F1056" s="9" t="s">
        <v>3368</v>
      </c>
      <c r="G1056" s="9">
        <v>3199</v>
      </c>
      <c r="H1056" s="9">
        <v>5999</v>
      </c>
      <c r="I1056" s="9">
        <v>47</v>
      </c>
      <c r="J1056" s="11">
        <v>4</v>
      </c>
      <c r="K1056" s="9">
        <v>3242</v>
      </c>
      <c r="L1056" s="9">
        <v>4.0454620731930637</v>
      </c>
      <c r="M1056" s="9" t="s">
        <v>28</v>
      </c>
      <c r="N1056" s="9" t="s">
        <v>144</v>
      </c>
      <c r="O1056" s="9">
        <v>31.1</v>
      </c>
      <c r="P1056" s="9" t="s">
        <v>40</v>
      </c>
      <c r="Q1056" s="9" t="b">
        <v>0</v>
      </c>
      <c r="R1056" s="9" t="b">
        <v>0</v>
      </c>
      <c r="S1056" s="9" t="b">
        <v>0</v>
      </c>
      <c r="U1056" s="9">
        <v>1</v>
      </c>
      <c r="V1056" s="9" t="b">
        <v>1</v>
      </c>
      <c r="W1056" s="9" t="s">
        <v>3396</v>
      </c>
    </row>
    <row r="1057" spans="1:23" ht="29" customHeight="1" x14ac:dyDescent="0.2">
      <c r="A1057" s="9" t="s">
        <v>3397</v>
      </c>
      <c r="B1057" s="10" t="s">
        <v>3398</v>
      </c>
      <c r="C1057" s="9" t="s">
        <v>1741</v>
      </c>
      <c r="D1057" s="9" t="s">
        <v>1741</v>
      </c>
      <c r="E1057" s="9" t="s">
        <v>2913</v>
      </c>
      <c r="F1057" s="9" t="s">
        <v>2991</v>
      </c>
      <c r="G1057" s="9">
        <v>1199</v>
      </c>
      <c r="H1057" s="9">
        <v>1950</v>
      </c>
      <c r="I1057" s="9">
        <v>39</v>
      </c>
      <c r="J1057" s="11">
        <v>3.9</v>
      </c>
      <c r="K1057" s="9">
        <v>2832</v>
      </c>
      <c r="L1057" s="9">
        <v>4.0053437094064464</v>
      </c>
      <c r="M1057" s="9" t="s">
        <v>28</v>
      </c>
      <c r="N1057" s="9" t="s">
        <v>179</v>
      </c>
      <c r="O1057" s="9">
        <v>27.5</v>
      </c>
      <c r="P1057" s="9" t="s">
        <v>40</v>
      </c>
      <c r="Q1057" s="9" t="b">
        <v>0</v>
      </c>
      <c r="R1057" s="9" t="b">
        <v>0</v>
      </c>
      <c r="S1057" s="9" t="b">
        <v>0</v>
      </c>
      <c r="T1057" s="9">
        <v>1.01</v>
      </c>
      <c r="U1057" s="9">
        <v>1</v>
      </c>
      <c r="V1057" s="9" t="b">
        <v>1</v>
      </c>
      <c r="W1057" s="9" t="s">
        <v>3399</v>
      </c>
    </row>
    <row r="1058" spans="1:23" ht="29" customHeight="1" x14ac:dyDescent="0.2">
      <c r="A1058" s="9" t="s">
        <v>3400</v>
      </c>
      <c r="B1058" s="10" t="s">
        <v>3401</v>
      </c>
      <c r="C1058" s="9" t="s">
        <v>1741</v>
      </c>
      <c r="D1058" s="9" t="s">
        <v>1741</v>
      </c>
      <c r="E1058" s="9" t="s">
        <v>2913</v>
      </c>
      <c r="F1058" s="9" t="s">
        <v>3128</v>
      </c>
      <c r="G1058" s="9">
        <v>1414</v>
      </c>
      <c r="H1058" s="9">
        <v>2799</v>
      </c>
      <c r="I1058" s="9">
        <v>49</v>
      </c>
      <c r="J1058" s="11">
        <v>4</v>
      </c>
      <c r="K1058" s="9">
        <v>1498</v>
      </c>
      <c r="L1058" s="9">
        <v>4.0605339970878838</v>
      </c>
      <c r="M1058" s="9" t="s">
        <v>28</v>
      </c>
      <c r="N1058" s="9" t="s">
        <v>179</v>
      </c>
      <c r="O1058" s="9">
        <v>37.6</v>
      </c>
      <c r="P1058" s="9" t="s">
        <v>40</v>
      </c>
      <c r="Q1058" s="9" t="b">
        <v>0</v>
      </c>
      <c r="R1058" s="9" t="b">
        <v>0</v>
      </c>
      <c r="S1058" s="9" t="b">
        <v>0</v>
      </c>
      <c r="U1058" s="9">
        <v>1</v>
      </c>
      <c r="V1058" s="9" t="b">
        <v>1</v>
      </c>
      <c r="W1058" s="9" t="s">
        <v>3402</v>
      </c>
    </row>
    <row r="1059" spans="1:23" ht="29" customHeight="1" x14ac:dyDescent="0.2">
      <c r="A1059" s="9" t="s">
        <v>3403</v>
      </c>
      <c r="B1059" s="10" t="s">
        <v>3404</v>
      </c>
      <c r="C1059" s="9" t="s">
        <v>1741</v>
      </c>
      <c r="D1059" s="9" t="s">
        <v>1741</v>
      </c>
      <c r="E1059" s="9" t="s">
        <v>2913</v>
      </c>
      <c r="F1059" s="9" t="s">
        <v>2914</v>
      </c>
      <c r="G1059" s="9">
        <v>999</v>
      </c>
      <c r="H1059" s="9">
        <v>1950</v>
      </c>
      <c r="I1059" s="9">
        <v>49</v>
      </c>
      <c r="J1059" s="11">
        <v>3.8</v>
      </c>
      <c r="K1059" s="9">
        <v>305</v>
      </c>
      <c r="L1059" s="9">
        <v>4.0632917250598188</v>
      </c>
      <c r="M1059" s="9" t="s">
        <v>89</v>
      </c>
      <c r="N1059" s="9" t="s">
        <v>93</v>
      </c>
      <c r="O1059" s="9">
        <v>41.6</v>
      </c>
      <c r="P1059" s="9" t="s">
        <v>30</v>
      </c>
      <c r="Q1059" s="9" t="b">
        <v>0</v>
      </c>
      <c r="R1059" s="9" t="b">
        <v>0</v>
      </c>
      <c r="S1059" s="9" t="b">
        <v>1</v>
      </c>
      <c r="T1059" s="9">
        <v>1</v>
      </c>
      <c r="U1059" s="9">
        <v>1</v>
      </c>
      <c r="V1059" s="9" t="b">
        <v>1</v>
      </c>
      <c r="W1059" s="9" t="s">
        <v>3405</v>
      </c>
    </row>
    <row r="1060" spans="1:23" ht="29" customHeight="1" x14ac:dyDescent="0.2">
      <c r="A1060" s="9" t="s">
        <v>3406</v>
      </c>
      <c r="B1060" s="10" t="s">
        <v>3407</v>
      </c>
      <c r="C1060" s="9" t="s">
        <v>1741</v>
      </c>
      <c r="D1060" s="9" t="s">
        <v>1741</v>
      </c>
      <c r="E1060" s="9" t="s">
        <v>2913</v>
      </c>
      <c r="F1060" s="9" t="s">
        <v>3171</v>
      </c>
      <c r="G1060" s="9">
        <v>5999</v>
      </c>
      <c r="H1060" s="9">
        <v>9999</v>
      </c>
      <c r="I1060" s="9">
        <v>40</v>
      </c>
      <c r="J1060" s="11">
        <v>4.2</v>
      </c>
      <c r="K1060" s="9">
        <v>1191</v>
      </c>
      <c r="L1060" s="9">
        <v>4.1123728861776154</v>
      </c>
      <c r="M1060" s="9" t="s">
        <v>28</v>
      </c>
      <c r="N1060" s="9" t="s">
        <v>144</v>
      </c>
      <c r="O1060" s="9">
        <v>43.3</v>
      </c>
      <c r="P1060" s="9" t="s">
        <v>30</v>
      </c>
      <c r="Q1060" s="9" t="b">
        <v>0</v>
      </c>
      <c r="R1060" s="9" t="b">
        <v>0</v>
      </c>
      <c r="S1060" s="9" t="b">
        <v>0</v>
      </c>
      <c r="U1060" s="9">
        <v>1</v>
      </c>
      <c r="V1060" s="9" t="b">
        <v>1</v>
      </c>
      <c r="W1060" s="9" t="s">
        <v>3408</v>
      </c>
    </row>
    <row r="1061" spans="1:23" ht="29" customHeight="1" x14ac:dyDescent="0.2">
      <c r="A1061" s="9" t="s">
        <v>3409</v>
      </c>
      <c r="B1061" s="10" t="s">
        <v>3410</v>
      </c>
      <c r="C1061" s="9" t="s">
        <v>1741</v>
      </c>
      <c r="D1061" s="9" t="s">
        <v>1741</v>
      </c>
      <c r="E1061" s="9" t="s">
        <v>2918</v>
      </c>
      <c r="F1061" s="9" t="s">
        <v>3411</v>
      </c>
      <c r="G1061" s="9">
        <v>9970</v>
      </c>
      <c r="H1061" s="9">
        <v>12999</v>
      </c>
      <c r="I1061" s="9">
        <v>23</v>
      </c>
      <c r="J1061" s="11">
        <v>4.3</v>
      </c>
      <c r="K1061" s="9">
        <v>4049</v>
      </c>
      <c r="L1061" s="9">
        <v>4.1962669259016598</v>
      </c>
      <c r="M1061" s="9" t="s">
        <v>28</v>
      </c>
      <c r="N1061" s="9" t="s">
        <v>144</v>
      </c>
      <c r="O1061" s="9">
        <v>46.7</v>
      </c>
      <c r="P1061" s="9" t="s">
        <v>30</v>
      </c>
      <c r="Q1061" s="9" t="b">
        <v>0</v>
      </c>
      <c r="R1061" s="9" t="b">
        <v>0</v>
      </c>
      <c r="S1061" s="9" t="b">
        <v>0</v>
      </c>
      <c r="U1061" s="9">
        <v>1</v>
      </c>
      <c r="V1061" s="9" t="b">
        <v>1</v>
      </c>
      <c r="W1061" s="9" t="s">
        <v>3412</v>
      </c>
    </row>
    <row r="1062" spans="1:23" ht="29" customHeight="1" x14ac:dyDescent="0.2">
      <c r="A1062" s="9" t="s">
        <v>3413</v>
      </c>
      <c r="B1062" s="10" t="s">
        <v>3414</v>
      </c>
      <c r="C1062" s="9" t="s">
        <v>1741</v>
      </c>
      <c r="D1062" s="9" t="s">
        <v>1741</v>
      </c>
      <c r="E1062" s="9" t="s">
        <v>2913</v>
      </c>
      <c r="F1062" s="9" t="s">
        <v>3415</v>
      </c>
      <c r="G1062" s="9">
        <v>698</v>
      </c>
      <c r="H1062" s="9">
        <v>699</v>
      </c>
      <c r="I1062" s="9">
        <v>0</v>
      </c>
      <c r="J1062" s="11">
        <v>4.2</v>
      </c>
      <c r="K1062" s="9">
        <v>3160</v>
      </c>
      <c r="L1062" s="9">
        <v>4.1372970880001176</v>
      </c>
      <c r="M1062" s="9" t="s">
        <v>28</v>
      </c>
      <c r="N1062" s="9" t="s">
        <v>93</v>
      </c>
      <c r="O1062" s="9">
        <v>46.7</v>
      </c>
      <c r="P1062" s="9" t="s">
        <v>30</v>
      </c>
      <c r="Q1062" s="9" t="b">
        <v>0</v>
      </c>
      <c r="R1062" s="9" t="b">
        <v>0</v>
      </c>
      <c r="S1062" s="9" t="b">
        <v>0</v>
      </c>
      <c r="T1062" s="9">
        <v>0.1</v>
      </c>
      <c r="U1062" s="9">
        <v>1</v>
      </c>
      <c r="V1062" s="9" t="b">
        <v>1</v>
      </c>
      <c r="W1062" s="9" t="s">
        <v>3416</v>
      </c>
    </row>
    <row r="1063" spans="1:23" ht="29" customHeight="1" x14ac:dyDescent="0.2">
      <c r="A1063" s="9" t="s">
        <v>3417</v>
      </c>
      <c r="B1063" s="10" t="s">
        <v>3418</v>
      </c>
      <c r="C1063" s="9" t="s">
        <v>1741</v>
      </c>
      <c r="D1063" s="9" t="s">
        <v>1741</v>
      </c>
      <c r="E1063" s="9" t="s">
        <v>2918</v>
      </c>
      <c r="F1063" s="9" t="s">
        <v>3161</v>
      </c>
      <c r="G1063" s="9">
        <v>2199</v>
      </c>
      <c r="H1063" s="9">
        <v>3190</v>
      </c>
      <c r="I1063" s="9">
        <v>31</v>
      </c>
      <c r="J1063" s="11">
        <v>4.3</v>
      </c>
      <c r="K1063" s="9">
        <v>9650</v>
      </c>
      <c r="L1063" s="9">
        <v>4.2395853936015522</v>
      </c>
      <c r="M1063" s="9" t="s">
        <v>28</v>
      </c>
      <c r="N1063" s="9" t="s">
        <v>179</v>
      </c>
      <c r="O1063" s="9">
        <v>58.4</v>
      </c>
      <c r="P1063" s="9" t="s">
        <v>53</v>
      </c>
      <c r="Q1063" s="9" t="b">
        <v>0</v>
      </c>
      <c r="R1063" s="9" t="b">
        <v>0</v>
      </c>
      <c r="S1063" s="9" t="b">
        <v>0</v>
      </c>
      <c r="T1063" s="9">
        <v>1.1000000000000001</v>
      </c>
      <c r="U1063" s="9">
        <v>1</v>
      </c>
      <c r="V1063" s="9" t="b">
        <v>1</v>
      </c>
      <c r="W1063" s="9" t="s">
        <v>3419</v>
      </c>
    </row>
    <row r="1064" spans="1:23" ht="29" customHeight="1" x14ac:dyDescent="0.2">
      <c r="A1064" s="9" t="s">
        <v>3420</v>
      </c>
      <c r="B1064" s="10" t="s">
        <v>3421</v>
      </c>
      <c r="C1064" s="9" t="s">
        <v>1741</v>
      </c>
      <c r="D1064" s="9" t="s">
        <v>1741</v>
      </c>
      <c r="E1064" s="9" t="s">
        <v>3031</v>
      </c>
      <c r="F1064" s="9" t="s">
        <v>3422</v>
      </c>
      <c r="G1064" s="9">
        <v>320</v>
      </c>
      <c r="H1064" s="9">
        <v>799</v>
      </c>
      <c r="I1064" s="9">
        <v>60</v>
      </c>
      <c r="J1064" s="11">
        <v>4.2</v>
      </c>
      <c r="K1064" s="9">
        <v>3846</v>
      </c>
      <c r="L1064" s="9">
        <v>4.1429505279201964</v>
      </c>
      <c r="M1064" s="9" t="s">
        <v>28</v>
      </c>
      <c r="N1064" s="9" t="s">
        <v>29</v>
      </c>
      <c r="O1064" s="9">
        <v>64.3</v>
      </c>
      <c r="P1064" s="9" t="s">
        <v>36</v>
      </c>
      <c r="Q1064" s="9" t="b">
        <v>0</v>
      </c>
      <c r="R1064" s="9" t="b">
        <v>0</v>
      </c>
      <c r="S1064" s="9" t="b">
        <v>0</v>
      </c>
      <c r="U1064" s="9">
        <v>1</v>
      </c>
      <c r="V1064" s="9" t="b">
        <v>1</v>
      </c>
      <c r="W1064" s="9" t="s">
        <v>3423</v>
      </c>
    </row>
    <row r="1065" spans="1:23" ht="29" customHeight="1" x14ac:dyDescent="0.2">
      <c r="A1065" s="9" t="s">
        <v>3424</v>
      </c>
      <c r="B1065" s="10" t="s">
        <v>3425</v>
      </c>
      <c r="C1065" s="9" t="s">
        <v>1741</v>
      </c>
      <c r="D1065" s="9" t="s">
        <v>1741</v>
      </c>
      <c r="E1065" s="9" t="s">
        <v>2913</v>
      </c>
      <c r="F1065" s="9" t="s">
        <v>2927</v>
      </c>
      <c r="G1065" s="9">
        <v>298</v>
      </c>
      <c r="H1065" s="9">
        <v>499</v>
      </c>
      <c r="I1065" s="9">
        <v>40</v>
      </c>
      <c r="J1065" s="11">
        <v>4.4000000000000004</v>
      </c>
      <c r="K1065" s="9">
        <v>290</v>
      </c>
      <c r="L1065" s="9">
        <v>4.1072027369971167</v>
      </c>
      <c r="M1065" s="9" t="s">
        <v>89</v>
      </c>
      <c r="N1065" s="9" t="s">
        <v>29</v>
      </c>
      <c r="O1065" s="9">
        <v>58.4</v>
      </c>
      <c r="P1065" s="9" t="s">
        <v>53</v>
      </c>
      <c r="Q1065" s="9" t="b">
        <v>0</v>
      </c>
      <c r="R1065" s="9" t="b">
        <v>0</v>
      </c>
      <c r="S1065" s="9" t="b">
        <v>0</v>
      </c>
      <c r="T1065" s="9">
        <v>0.66</v>
      </c>
      <c r="U1065" s="9">
        <v>1</v>
      </c>
      <c r="V1065" s="9" t="b">
        <v>1</v>
      </c>
      <c r="W1065" s="9" t="s">
        <v>3426</v>
      </c>
    </row>
    <row r="1066" spans="1:23" ht="29" customHeight="1" x14ac:dyDescent="0.2">
      <c r="A1066" s="9" t="s">
        <v>3427</v>
      </c>
      <c r="B1066" s="10" t="s">
        <v>3428</v>
      </c>
      <c r="C1066" s="9" t="s">
        <v>1741</v>
      </c>
      <c r="D1066" s="9" t="s">
        <v>1741</v>
      </c>
      <c r="E1066" s="9" t="s">
        <v>2913</v>
      </c>
      <c r="F1066" s="9" t="s">
        <v>3049</v>
      </c>
      <c r="G1066" s="9">
        <v>1199</v>
      </c>
      <c r="H1066" s="9">
        <v>1499</v>
      </c>
      <c r="I1066" s="9">
        <v>20</v>
      </c>
      <c r="J1066" s="11">
        <v>3.8</v>
      </c>
      <c r="K1066" s="9">
        <v>2206</v>
      </c>
      <c r="L1066" s="9">
        <v>3.9794318659094938</v>
      </c>
      <c r="M1066" s="9" t="s">
        <v>28</v>
      </c>
      <c r="N1066" s="9" t="s">
        <v>179</v>
      </c>
      <c r="O1066" s="9">
        <v>19.7</v>
      </c>
      <c r="P1066" s="9" t="s">
        <v>40</v>
      </c>
      <c r="Q1066" s="9" t="b">
        <v>0</v>
      </c>
      <c r="R1066" s="9" t="b">
        <v>0</v>
      </c>
      <c r="S1066" s="9" t="b">
        <v>1</v>
      </c>
      <c r="T1066" s="9">
        <v>0.51</v>
      </c>
      <c r="U1066" s="9">
        <v>1</v>
      </c>
      <c r="V1066" s="9" t="b">
        <v>1</v>
      </c>
      <c r="W1066" s="9" t="s">
        <v>3429</v>
      </c>
    </row>
    <row r="1067" spans="1:23" ht="29" customHeight="1" x14ac:dyDescent="0.2">
      <c r="A1067" s="9" t="s">
        <v>3430</v>
      </c>
      <c r="B1067" s="10" t="s">
        <v>3431</v>
      </c>
      <c r="C1067" s="9" t="s">
        <v>1741</v>
      </c>
      <c r="D1067" s="9" t="s">
        <v>1741</v>
      </c>
      <c r="E1067" s="9" t="s">
        <v>2918</v>
      </c>
      <c r="F1067" s="9" t="s">
        <v>3161</v>
      </c>
      <c r="G1067" s="9">
        <v>1399</v>
      </c>
      <c r="H1067" s="9">
        <v>2660</v>
      </c>
      <c r="I1067" s="9">
        <v>47</v>
      </c>
      <c r="J1067" s="11">
        <v>4.0999999999999996</v>
      </c>
      <c r="K1067" s="9">
        <v>9349</v>
      </c>
      <c r="L1067" s="9">
        <v>4.0955908242139198</v>
      </c>
      <c r="M1067" s="9" t="s">
        <v>28</v>
      </c>
      <c r="N1067" s="9" t="s">
        <v>179</v>
      </c>
      <c r="O1067" s="9">
        <v>52.2</v>
      </c>
      <c r="P1067" s="9" t="s">
        <v>53</v>
      </c>
      <c r="Q1067" s="9" t="b">
        <v>0</v>
      </c>
      <c r="R1067" s="9" t="b">
        <v>0</v>
      </c>
      <c r="S1067" s="9" t="b">
        <v>0</v>
      </c>
      <c r="T1067" s="9">
        <v>0.7</v>
      </c>
      <c r="U1067" s="9">
        <v>1</v>
      </c>
      <c r="V1067" s="9" t="b">
        <v>1</v>
      </c>
      <c r="W1067" s="9" t="s">
        <v>3432</v>
      </c>
    </row>
    <row r="1068" spans="1:23" ht="29" customHeight="1" x14ac:dyDescent="0.2">
      <c r="A1068" s="9" t="s">
        <v>3433</v>
      </c>
      <c r="B1068" s="10" t="s">
        <v>3434</v>
      </c>
      <c r="C1068" s="9" t="s">
        <v>1741</v>
      </c>
      <c r="D1068" s="9" t="s">
        <v>1741</v>
      </c>
      <c r="E1068" s="9" t="s">
        <v>2913</v>
      </c>
      <c r="F1068" s="9" t="s">
        <v>2931</v>
      </c>
      <c r="G1068" s="9">
        <v>599</v>
      </c>
      <c r="H1068" s="9">
        <v>2799</v>
      </c>
      <c r="I1068" s="9">
        <v>79</v>
      </c>
      <c r="J1068" s="11">
        <v>3.9</v>
      </c>
      <c r="K1068" s="9">
        <v>578</v>
      </c>
      <c r="L1068" s="9">
        <v>4.06004817225684</v>
      </c>
      <c r="M1068" s="9" t="s">
        <v>89</v>
      </c>
      <c r="N1068" s="9" t="s">
        <v>93</v>
      </c>
      <c r="O1068" s="9">
        <v>57.6</v>
      </c>
      <c r="P1068" s="9" t="s">
        <v>53</v>
      </c>
      <c r="Q1068" s="9" t="b">
        <v>0</v>
      </c>
      <c r="R1068" s="9" t="b">
        <v>0</v>
      </c>
      <c r="S1068" s="9" t="b">
        <v>0</v>
      </c>
      <c r="T1068" s="9">
        <v>1.22</v>
      </c>
      <c r="U1068" s="9">
        <v>1</v>
      </c>
      <c r="V1068" s="9" t="b">
        <v>1</v>
      </c>
      <c r="W1068" s="9" t="s">
        <v>3435</v>
      </c>
    </row>
    <row r="1069" spans="1:23" ht="29" customHeight="1" x14ac:dyDescent="0.2">
      <c r="A1069" s="9" t="s">
        <v>3436</v>
      </c>
      <c r="B1069" s="10" t="s">
        <v>3437</v>
      </c>
      <c r="C1069" s="9" t="s">
        <v>1741</v>
      </c>
      <c r="D1069" s="9" t="s">
        <v>1741</v>
      </c>
      <c r="E1069" s="9" t="s">
        <v>2913</v>
      </c>
      <c r="F1069" s="9" t="s">
        <v>3213</v>
      </c>
      <c r="G1069" s="9">
        <v>1499</v>
      </c>
      <c r="H1069" s="9">
        <v>1499</v>
      </c>
      <c r="I1069" s="9">
        <v>0</v>
      </c>
      <c r="J1069" s="11">
        <v>4.3</v>
      </c>
      <c r="K1069" s="9">
        <v>9331</v>
      </c>
      <c r="L1069" s="9">
        <v>4.2381134984290529</v>
      </c>
      <c r="M1069" s="9" t="s">
        <v>28</v>
      </c>
      <c r="N1069" s="9" t="s">
        <v>179</v>
      </c>
      <c r="O1069" s="9">
        <v>50.3</v>
      </c>
      <c r="P1069" s="9" t="s">
        <v>30</v>
      </c>
      <c r="Q1069" s="9" t="b">
        <v>0</v>
      </c>
      <c r="R1069" s="9" t="b">
        <v>0</v>
      </c>
      <c r="S1069" s="9" t="b">
        <v>0</v>
      </c>
      <c r="U1069" s="9">
        <v>1</v>
      </c>
      <c r="V1069" s="9" t="b">
        <v>1</v>
      </c>
      <c r="W1069" s="9" t="s">
        <v>3438</v>
      </c>
    </row>
    <row r="1070" spans="1:23" ht="29" customHeight="1" x14ac:dyDescent="0.2">
      <c r="A1070" s="9" t="s">
        <v>3439</v>
      </c>
      <c r="B1070" s="10" t="s">
        <v>3440</v>
      </c>
      <c r="C1070" s="9" t="s">
        <v>1741</v>
      </c>
      <c r="D1070" s="9" t="s">
        <v>1741</v>
      </c>
      <c r="E1070" s="9" t="s">
        <v>2918</v>
      </c>
      <c r="F1070" s="9" t="s">
        <v>3411</v>
      </c>
      <c r="G1070" s="9">
        <v>14400</v>
      </c>
      <c r="H1070" s="9">
        <v>59900</v>
      </c>
      <c r="I1070" s="9">
        <v>76</v>
      </c>
      <c r="J1070" s="11">
        <v>4.4000000000000004</v>
      </c>
      <c r="K1070" s="9">
        <v>3837</v>
      </c>
      <c r="L1070" s="9">
        <v>4.243863292543038</v>
      </c>
      <c r="M1070" s="9" t="s">
        <v>28</v>
      </c>
      <c r="N1070" s="9" t="s">
        <v>58</v>
      </c>
      <c r="O1070" s="9">
        <v>71.099999999999994</v>
      </c>
      <c r="P1070" s="9" t="s">
        <v>36</v>
      </c>
      <c r="Q1070" s="9" t="b">
        <v>0</v>
      </c>
      <c r="R1070" s="9" t="b">
        <v>0</v>
      </c>
      <c r="S1070" s="9" t="b">
        <v>0</v>
      </c>
      <c r="U1070" s="9">
        <v>1</v>
      </c>
      <c r="V1070" s="9" t="b">
        <v>1</v>
      </c>
      <c r="W1070" s="9" t="s">
        <v>3441</v>
      </c>
    </row>
    <row r="1071" spans="1:23" ht="29" customHeight="1" x14ac:dyDescent="0.2">
      <c r="A1071" s="9" t="s">
        <v>3442</v>
      </c>
      <c r="B1071" s="10" t="s">
        <v>3443</v>
      </c>
      <c r="C1071" s="9" t="s">
        <v>1741</v>
      </c>
      <c r="D1071" s="9" t="s">
        <v>1741</v>
      </c>
      <c r="E1071" s="9" t="s">
        <v>2913</v>
      </c>
      <c r="F1071" s="9" t="s">
        <v>3415</v>
      </c>
      <c r="G1071" s="9">
        <v>1699</v>
      </c>
      <c r="H1071" s="9">
        <v>1900</v>
      </c>
      <c r="I1071" s="9">
        <v>11</v>
      </c>
      <c r="J1071" s="11">
        <v>3.6</v>
      </c>
      <c r="K1071" s="9">
        <v>11456</v>
      </c>
      <c r="L1071" s="9">
        <v>3.7198172679095061</v>
      </c>
      <c r="M1071" s="9" t="s">
        <v>28</v>
      </c>
      <c r="N1071" s="9" t="s">
        <v>179</v>
      </c>
      <c r="O1071" s="9">
        <v>10</v>
      </c>
      <c r="P1071" s="9" t="s">
        <v>40</v>
      </c>
      <c r="Q1071" s="9" t="b">
        <v>0</v>
      </c>
      <c r="R1071" s="9" t="b">
        <v>0</v>
      </c>
      <c r="S1071" s="9" t="b">
        <v>1</v>
      </c>
      <c r="T1071" s="9">
        <v>0.25</v>
      </c>
      <c r="U1071" s="9">
        <v>1</v>
      </c>
      <c r="V1071" s="9" t="b">
        <v>1</v>
      </c>
      <c r="W1071" s="9" t="s">
        <v>3444</v>
      </c>
    </row>
    <row r="1072" spans="1:23" ht="29" customHeight="1" x14ac:dyDescent="0.2">
      <c r="A1072" s="9" t="s">
        <v>3445</v>
      </c>
      <c r="B1072" s="10" t="s">
        <v>3446</v>
      </c>
      <c r="C1072" s="9" t="s">
        <v>1741</v>
      </c>
      <c r="D1072" s="9" t="s">
        <v>1741</v>
      </c>
      <c r="E1072" s="9" t="s">
        <v>2918</v>
      </c>
      <c r="F1072" s="9" t="s">
        <v>2919</v>
      </c>
      <c r="G1072" s="9">
        <v>649</v>
      </c>
      <c r="H1072" s="9">
        <v>999</v>
      </c>
      <c r="I1072" s="9">
        <v>35</v>
      </c>
      <c r="J1072" s="11">
        <v>3.8</v>
      </c>
      <c r="K1072" s="9">
        <v>49</v>
      </c>
      <c r="L1072" s="9">
        <v>4.0809757553931032</v>
      </c>
      <c r="M1072" s="9" t="s">
        <v>204</v>
      </c>
      <c r="N1072" s="9" t="s">
        <v>93</v>
      </c>
      <c r="O1072" s="9">
        <v>43.7</v>
      </c>
      <c r="P1072" s="9" t="s">
        <v>30</v>
      </c>
      <c r="Q1072" s="9" t="b">
        <v>0</v>
      </c>
      <c r="R1072" s="9" t="b">
        <v>0</v>
      </c>
      <c r="S1072" s="9" t="b">
        <v>1</v>
      </c>
      <c r="T1072" s="9">
        <v>0.49</v>
      </c>
      <c r="U1072" s="9">
        <v>1</v>
      </c>
      <c r="V1072" s="9" t="b">
        <v>1</v>
      </c>
      <c r="W1072" s="9" t="s">
        <v>3447</v>
      </c>
    </row>
    <row r="1073" spans="1:23" ht="29" customHeight="1" x14ac:dyDescent="0.2">
      <c r="A1073" s="9" t="s">
        <v>3448</v>
      </c>
      <c r="B1073" s="10" t="s">
        <v>3449</v>
      </c>
      <c r="C1073" s="9" t="s">
        <v>1741</v>
      </c>
      <c r="D1073" s="9" t="s">
        <v>1741</v>
      </c>
      <c r="E1073" s="9" t="s">
        <v>2913</v>
      </c>
      <c r="F1073" s="9" t="s">
        <v>2973</v>
      </c>
      <c r="G1073" s="9">
        <v>3249</v>
      </c>
      <c r="H1073" s="9">
        <v>6375</v>
      </c>
      <c r="I1073" s="9">
        <v>49</v>
      </c>
      <c r="J1073" s="11">
        <v>4</v>
      </c>
      <c r="K1073" s="9">
        <v>4978</v>
      </c>
      <c r="L1073" s="9">
        <v>4.0364325944374819</v>
      </c>
      <c r="M1073" s="9" t="s">
        <v>28</v>
      </c>
      <c r="N1073" s="9" t="s">
        <v>144</v>
      </c>
      <c r="O1073" s="9">
        <v>30.7</v>
      </c>
      <c r="P1073" s="9" t="s">
        <v>40</v>
      </c>
      <c r="Q1073" s="9" t="b">
        <v>0</v>
      </c>
      <c r="R1073" s="9" t="b">
        <v>0</v>
      </c>
      <c r="S1073" s="9" t="b">
        <v>0</v>
      </c>
      <c r="T1073" s="9">
        <v>1.1200000000000001</v>
      </c>
      <c r="U1073" s="9">
        <v>1</v>
      </c>
      <c r="V1073" s="9" t="b">
        <v>1</v>
      </c>
      <c r="W1073" s="9" t="s">
        <v>3450</v>
      </c>
    </row>
    <row r="1074" spans="1:23" ht="29" customHeight="1" x14ac:dyDescent="0.2">
      <c r="A1074" s="9" t="s">
        <v>3451</v>
      </c>
      <c r="B1074" s="10" t="s">
        <v>3452</v>
      </c>
      <c r="C1074" s="9" t="s">
        <v>1741</v>
      </c>
      <c r="D1074" s="9" t="s">
        <v>1741</v>
      </c>
      <c r="E1074" s="9" t="s">
        <v>3031</v>
      </c>
      <c r="F1074" s="9" t="s">
        <v>3032</v>
      </c>
      <c r="G1074" s="9">
        <v>199</v>
      </c>
      <c r="H1074" s="9">
        <v>499</v>
      </c>
      <c r="I1074" s="9">
        <v>60</v>
      </c>
      <c r="J1074" s="11">
        <v>4.0999999999999996</v>
      </c>
      <c r="K1074" s="9">
        <v>1996</v>
      </c>
      <c r="L1074" s="9">
        <v>4.0899607695894442</v>
      </c>
      <c r="M1074" s="9" t="s">
        <v>28</v>
      </c>
      <c r="N1074" s="9" t="s">
        <v>29</v>
      </c>
      <c r="O1074" s="9">
        <v>57.1</v>
      </c>
      <c r="P1074" s="9" t="s">
        <v>53</v>
      </c>
      <c r="Q1074" s="9" t="b">
        <v>0</v>
      </c>
      <c r="R1074" s="9" t="b">
        <v>0</v>
      </c>
      <c r="S1074" s="9" t="b">
        <v>0</v>
      </c>
      <c r="T1074" s="9">
        <v>0.56999999999999995</v>
      </c>
      <c r="U1074" s="9">
        <v>1</v>
      </c>
      <c r="V1074" s="9" t="b">
        <v>1</v>
      </c>
      <c r="W1074" s="9" t="s">
        <v>3453</v>
      </c>
    </row>
    <row r="1075" spans="1:23" ht="29" customHeight="1" x14ac:dyDescent="0.2">
      <c r="A1075" s="9" t="s">
        <v>3454</v>
      </c>
      <c r="B1075" s="10" t="s">
        <v>3455</v>
      </c>
      <c r="C1075" s="9" t="s">
        <v>1741</v>
      </c>
      <c r="D1075" s="9" t="s">
        <v>1741</v>
      </c>
      <c r="E1075" s="9" t="s">
        <v>2913</v>
      </c>
      <c r="F1075" s="9" t="s">
        <v>3078</v>
      </c>
      <c r="G1075" s="9">
        <v>1099</v>
      </c>
      <c r="H1075" s="9">
        <v>1899</v>
      </c>
      <c r="I1075" s="9">
        <v>42</v>
      </c>
      <c r="J1075" s="11">
        <v>4.3</v>
      </c>
      <c r="K1075" s="9">
        <v>1811</v>
      </c>
      <c r="L1075" s="9">
        <v>4.1546136344632307</v>
      </c>
      <c r="M1075" s="9" t="s">
        <v>28</v>
      </c>
      <c r="N1075" s="9" t="s">
        <v>179</v>
      </c>
      <c r="O1075" s="9">
        <v>56.5</v>
      </c>
      <c r="P1075" s="9" t="s">
        <v>53</v>
      </c>
      <c r="Q1075" s="9" t="b">
        <v>0</v>
      </c>
      <c r="R1075" s="9" t="b">
        <v>0</v>
      </c>
      <c r="S1075" s="9" t="b">
        <v>0</v>
      </c>
      <c r="T1075" s="9">
        <v>1.57</v>
      </c>
      <c r="U1075" s="9">
        <v>1</v>
      </c>
      <c r="V1075" s="9" t="b">
        <v>1</v>
      </c>
      <c r="W1075" s="9" t="s">
        <v>3456</v>
      </c>
    </row>
    <row r="1076" spans="1:23" ht="29" customHeight="1" x14ac:dyDescent="0.2">
      <c r="A1076" s="9" t="s">
        <v>3457</v>
      </c>
      <c r="B1076" s="10" t="s">
        <v>3458</v>
      </c>
      <c r="C1076" s="9" t="s">
        <v>1741</v>
      </c>
      <c r="D1076" s="9" t="s">
        <v>1741</v>
      </c>
      <c r="E1076" s="9" t="s">
        <v>2913</v>
      </c>
      <c r="F1076" s="9" t="s">
        <v>2914</v>
      </c>
      <c r="G1076" s="9">
        <v>664</v>
      </c>
      <c r="H1076" s="9">
        <v>1490</v>
      </c>
      <c r="I1076" s="9">
        <v>55</v>
      </c>
      <c r="J1076" s="11">
        <v>4</v>
      </c>
      <c r="K1076" s="9">
        <v>2198</v>
      </c>
      <c r="L1076" s="9">
        <v>4.0534248958444454</v>
      </c>
      <c r="M1076" s="9" t="s">
        <v>28</v>
      </c>
      <c r="N1076" s="9" t="s">
        <v>93</v>
      </c>
      <c r="O1076" s="9">
        <v>46.5</v>
      </c>
      <c r="P1076" s="9" t="s">
        <v>30</v>
      </c>
      <c r="Q1076" s="9" t="b">
        <v>0</v>
      </c>
      <c r="R1076" s="9" t="b">
        <v>0</v>
      </c>
      <c r="S1076" s="9" t="b">
        <v>0</v>
      </c>
      <c r="T1076" s="9">
        <v>0.66</v>
      </c>
      <c r="U1076" s="9">
        <v>1</v>
      </c>
      <c r="V1076" s="9" t="b">
        <v>1</v>
      </c>
      <c r="W1076" s="9" t="s">
        <v>3459</v>
      </c>
    </row>
    <row r="1077" spans="1:23" ht="29" customHeight="1" x14ac:dyDescent="0.2">
      <c r="A1077" s="9" t="s">
        <v>3460</v>
      </c>
      <c r="B1077" s="10" t="s">
        <v>3461</v>
      </c>
      <c r="C1077" s="9" t="s">
        <v>1741</v>
      </c>
      <c r="D1077" s="9" t="s">
        <v>1741</v>
      </c>
      <c r="E1077" s="9" t="s">
        <v>2913</v>
      </c>
      <c r="F1077" s="9" t="s">
        <v>3088</v>
      </c>
      <c r="G1077" s="9">
        <v>260</v>
      </c>
      <c r="H1077" s="9">
        <v>350</v>
      </c>
      <c r="I1077" s="9">
        <v>26</v>
      </c>
      <c r="J1077" s="11">
        <v>3.9</v>
      </c>
      <c r="K1077" s="9">
        <v>13127</v>
      </c>
      <c r="L1077" s="9">
        <v>3.9411314184363548</v>
      </c>
      <c r="M1077" s="9" t="s">
        <v>28</v>
      </c>
      <c r="N1077" s="9" t="s">
        <v>29</v>
      </c>
      <c r="O1077" s="9">
        <v>28.6</v>
      </c>
      <c r="P1077" s="9" t="s">
        <v>40</v>
      </c>
      <c r="Q1077" s="9" t="b">
        <v>0</v>
      </c>
      <c r="R1077" s="9" t="b">
        <v>0</v>
      </c>
      <c r="S1077" s="9" t="b">
        <v>0</v>
      </c>
      <c r="T1077" s="9">
        <v>0.18</v>
      </c>
      <c r="U1077" s="9">
        <v>1</v>
      </c>
      <c r="V1077" s="9" t="b">
        <v>1</v>
      </c>
      <c r="W1077" s="9" t="s">
        <v>3462</v>
      </c>
    </row>
    <row r="1078" spans="1:23" ht="29" customHeight="1" x14ac:dyDescent="0.2">
      <c r="A1078" s="9" t="s">
        <v>3463</v>
      </c>
      <c r="B1078" s="10" t="s">
        <v>3464</v>
      </c>
      <c r="C1078" s="9" t="s">
        <v>1741</v>
      </c>
      <c r="D1078" s="9" t="s">
        <v>1741</v>
      </c>
      <c r="E1078" s="9" t="s">
        <v>2918</v>
      </c>
      <c r="F1078" s="9" t="s">
        <v>2995</v>
      </c>
      <c r="G1078" s="9">
        <v>6499</v>
      </c>
      <c r="H1078" s="9">
        <v>8500</v>
      </c>
      <c r="I1078" s="9">
        <v>24</v>
      </c>
      <c r="J1078" s="11">
        <v>4.4000000000000004</v>
      </c>
      <c r="K1078" s="9">
        <v>5865</v>
      </c>
      <c r="L1078" s="9">
        <v>4.2767529568092248</v>
      </c>
      <c r="M1078" s="9" t="s">
        <v>28</v>
      </c>
      <c r="N1078" s="9" t="s">
        <v>144</v>
      </c>
      <c r="O1078" s="9">
        <v>53</v>
      </c>
      <c r="P1078" s="9" t="s">
        <v>53</v>
      </c>
      <c r="Q1078" s="9" t="b">
        <v>0</v>
      </c>
      <c r="R1078" s="9" t="b">
        <v>0</v>
      </c>
      <c r="S1078" s="9" t="b">
        <v>0</v>
      </c>
      <c r="T1078" s="9">
        <v>1.02</v>
      </c>
      <c r="U1078" s="9">
        <v>1</v>
      </c>
      <c r="V1078" s="9" t="b">
        <v>1</v>
      </c>
      <c r="W1078" s="9" t="s">
        <v>3465</v>
      </c>
    </row>
    <row r="1079" spans="1:23" ht="29" customHeight="1" x14ac:dyDescent="0.2">
      <c r="A1079" s="9" t="s">
        <v>3466</v>
      </c>
      <c r="B1079" s="10" t="s">
        <v>3467</v>
      </c>
      <c r="C1079" s="9" t="s">
        <v>1741</v>
      </c>
      <c r="D1079" s="9" t="s">
        <v>1741</v>
      </c>
      <c r="E1079" s="9" t="s">
        <v>2913</v>
      </c>
      <c r="F1079" s="9" t="s">
        <v>3468</v>
      </c>
      <c r="G1079" s="9">
        <v>1484</v>
      </c>
      <c r="H1079" s="9">
        <v>2499</v>
      </c>
      <c r="I1079" s="9">
        <v>41</v>
      </c>
      <c r="J1079" s="11">
        <v>3.7</v>
      </c>
      <c r="K1079" s="9">
        <v>1067</v>
      </c>
      <c r="L1079" s="9">
        <v>3.9996560910406491</v>
      </c>
      <c r="M1079" s="9" t="s">
        <v>28</v>
      </c>
      <c r="N1079" s="9" t="s">
        <v>179</v>
      </c>
      <c r="O1079" s="9">
        <v>26.2</v>
      </c>
      <c r="P1079" s="9" t="s">
        <v>40</v>
      </c>
      <c r="Q1079" s="9" t="b">
        <v>0</v>
      </c>
      <c r="R1079" s="9" t="b">
        <v>0</v>
      </c>
      <c r="S1079" s="9" t="b">
        <v>1</v>
      </c>
      <c r="U1079" s="9">
        <v>1</v>
      </c>
      <c r="V1079" s="9" t="b">
        <v>1</v>
      </c>
      <c r="W1079" s="9" t="s">
        <v>3469</v>
      </c>
    </row>
    <row r="1080" spans="1:23" ht="29" customHeight="1" x14ac:dyDescent="0.2">
      <c r="A1080" s="9" t="s">
        <v>3470</v>
      </c>
      <c r="B1080" s="10" t="s">
        <v>3471</v>
      </c>
      <c r="C1080" s="9" t="s">
        <v>1741</v>
      </c>
      <c r="D1080" s="9" t="s">
        <v>1741</v>
      </c>
      <c r="E1080" s="9" t="s">
        <v>2913</v>
      </c>
      <c r="F1080" s="9" t="s">
        <v>3036</v>
      </c>
      <c r="G1080" s="9">
        <v>999</v>
      </c>
      <c r="H1080" s="9">
        <v>1560</v>
      </c>
      <c r="I1080" s="9">
        <v>36</v>
      </c>
      <c r="J1080" s="11">
        <v>3.6</v>
      </c>
      <c r="K1080" s="9">
        <v>4881</v>
      </c>
      <c r="L1080" s="9">
        <v>3.810960732536683</v>
      </c>
      <c r="M1080" s="9" t="s">
        <v>28</v>
      </c>
      <c r="N1080" s="9" t="s">
        <v>93</v>
      </c>
      <c r="O1080" s="9">
        <v>22.4</v>
      </c>
      <c r="P1080" s="9" t="s">
        <v>40</v>
      </c>
      <c r="Q1080" s="9" t="b">
        <v>0</v>
      </c>
      <c r="R1080" s="9" t="b">
        <v>0</v>
      </c>
      <c r="S1080" s="9" t="b">
        <v>1</v>
      </c>
      <c r="T1080" s="9">
        <v>0.33</v>
      </c>
      <c r="U1080" s="9">
        <v>1</v>
      </c>
      <c r="V1080" s="9" t="b">
        <v>1</v>
      </c>
      <c r="W1080" s="9" t="s">
        <v>3472</v>
      </c>
    </row>
    <row r="1081" spans="1:23" ht="29" customHeight="1" x14ac:dyDescent="0.2">
      <c r="A1081" s="9" t="s">
        <v>3473</v>
      </c>
      <c r="B1081" s="10" t="s">
        <v>3474</v>
      </c>
      <c r="C1081" s="9" t="s">
        <v>1741</v>
      </c>
      <c r="D1081" s="9" t="s">
        <v>1741</v>
      </c>
      <c r="E1081" s="9" t="s">
        <v>2913</v>
      </c>
      <c r="F1081" s="9" t="s">
        <v>3049</v>
      </c>
      <c r="G1081" s="9">
        <v>3299</v>
      </c>
      <c r="H1081" s="9">
        <v>6500</v>
      </c>
      <c r="I1081" s="9">
        <v>49</v>
      </c>
      <c r="J1081" s="11">
        <v>3.7</v>
      </c>
      <c r="K1081" s="9">
        <v>11217</v>
      </c>
      <c r="L1081" s="9">
        <v>3.7966113082333068</v>
      </c>
      <c r="M1081" s="9" t="s">
        <v>28</v>
      </c>
      <c r="N1081" s="9" t="s">
        <v>144</v>
      </c>
      <c r="O1081" s="9">
        <v>20.6</v>
      </c>
      <c r="P1081" s="9" t="s">
        <v>40</v>
      </c>
      <c r="Q1081" s="9" t="b">
        <v>0</v>
      </c>
      <c r="R1081" s="9" t="b">
        <v>0</v>
      </c>
      <c r="S1081" s="9" t="b">
        <v>1</v>
      </c>
      <c r="T1081" s="9">
        <v>1.41</v>
      </c>
      <c r="U1081" s="9">
        <v>1</v>
      </c>
      <c r="V1081" s="9" t="b">
        <v>1</v>
      </c>
      <c r="W1081" s="9" t="s">
        <v>3475</v>
      </c>
    </row>
    <row r="1082" spans="1:23" ht="29" customHeight="1" x14ac:dyDescent="0.2">
      <c r="A1082" s="9" t="s">
        <v>3476</v>
      </c>
      <c r="B1082" s="10" t="s">
        <v>3477</v>
      </c>
      <c r="C1082" s="9" t="s">
        <v>1741</v>
      </c>
      <c r="D1082" s="9" t="s">
        <v>1741</v>
      </c>
      <c r="E1082" s="9" t="s">
        <v>2913</v>
      </c>
      <c r="F1082" s="9" t="s">
        <v>2965</v>
      </c>
      <c r="G1082" s="9">
        <v>259</v>
      </c>
      <c r="H1082" s="9">
        <v>999</v>
      </c>
      <c r="I1082" s="9">
        <v>74</v>
      </c>
      <c r="J1082" s="11">
        <v>4</v>
      </c>
      <c r="K1082" s="9">
        <v>43</v>
      </c>
      <c r="L1082" s="9">
        <v>4.0836786471372521</v>
      </c>
      <c r="M1082" s="9" t="s">
        <v>204</v>
      </c>
      <c r="N1082" s="9" t="s">
        <v>29</v>
      </c>
      <c r="O1082" s="9">
        <v>63.1</v>
      </c>
      <c r="P1082" s="9" t="s">
        <v>36</v>
      </c>
      <c r="Q1082" s="9" t="b">
        <v>0</v>
      </c>
      <c r="R1082" s="9" t="b">
        <v>0</v>
      </c>
      <c r="S1082" s="9" t="b">
        <v>0</v>
      </c>
      <c r="T1082" s="9">
        <v>0.37</v>
      </c>
      <c r="U1082" s="9">
        <v>1</v>
      </c>
      <c r="V1082" s="9" t="b">
        <v>1</v>
      </c>
      <c r="W1082" s="9" t="s">
        <v>3478</v>
      </c>
    </row>
    <row r="1083" spans="1:23" ht="29" customHeight="1" x14ac:dyDescent="0.2">
      <c r="A1083" s="9" t="s">
        <v>3479</v>
      </c>
      <c r="B1083" s="10" t="s">
        <v>3480</v>
      </c>
      <c r="C1083" s="9" t="s">
        <v>1741</v>
      </c>
      <c r="D1083" s="9" t="s">
        <v>1741</v>
      </c>
      <c r="E1083" s="9" t="s">
        <v>2913</v>
      </c>
      <c r="F1083" s="9" t="s">
        <v>2973</v>
      </c>
      <c r="G1083" s="9">
        <v>3249</v>
      </c>
      <c r="H1083" s="9">
        <v>7795</v>
      </c>
      <c r="I1083" s="9">
        <v>58</v>
      </c>
      <c r="J1083" s="11">
        <v>4.2</v>
      </c>
      <c r="K1083" s="9">
        <v>4664</v>
      </c>
      <c r="L1083" s="9">
        <v>4.1484885885813583</v>
      </c>
      <c r="M1083" s="9" t="s">
        <v>28</v>
      </c>
      <c r="N1083" s="9" t="s">
        <v>144</v>
      </c>
      <c r="O1083" s="9">
        <v>57.3</v>
      </c>
      <c r="P1083" s="9" t="s">
        <v>53</v>
      </c>
      <c r="Q1083" s="9" t="b">
        <v>0</v>
      </c>
      <c r="R1083" s="9" t="b">
        <v>0</v>
      </c>
      <c r="S1083" s="9" t="b">
        <v>0</v>
      </c>
      <c r="T1083" s="9">
        <v>1.1200000000000001</v>
      </c>
      <c r="U1083" s="9">
        <v>1</v>
      </c>
      <c r="V1083" s="9" t="b">
        <v>1</v>
      </c>
      <c r="W1083" s="9" t="s">
        <v>3481</v>
      </c>
    </row>
    <row r="1084" spans="1:23" ht="29" customHeight="1" x14ac:dyDescent="0.2">
      <c r="A1084" s="9" t="s">
        <v>3482</v>
      </c>
      <c r="B1084" s="10" t="s">
        <v>3483</v>
      </c>
      <c r="C1084" s="9" t="s">
        <v>1741</v>
      </c>
      <c r="D1084" s="9" t="s">
        <v>1741</v>
      </c>
      <c r="E1084" s="9" t="s">
        <v>2913</v>
      </c>
      <c r="F1084" s="9" t="s">
        <v>3036</v>
      </c>
      <c r="G1084" s="9">
        <v>4280</v>
      </c>
      <c r="H1084" s="9">
        <v>5995</v>
      </c>
      <c r="I1084" s="9">
        <v>29</v>
      </c>
      <c r="J1084" s="11">
        <v>3.8</v>
      </c>
      <c r="K1084" s="9">
        <v>2112</v>
      </c>
      <c r="L1084" s="9">
        <v>3.9823030201175951</v>
      </c>
      <c r="M1084" s="9" t="s">
        <v>28</v>
      </c>
      <c r="N1084" s="9" t="s">
        <v>144</v>
      </c>
      <c r="O1084" s="9">
        <v>16.600000000000001</v>
      </c>
      <c r="P1084" s="9" t="s">
        <v>40</v>
      </c>
      <c r="Q1084" s="9" t="b">
        <v>0</v>
      </c>
      <c r="R1084" s="9" t="b">
        <v>0</v>
      </c>
      <c r="S1084" s="9" t="b">
        <v>1</v>
      </c>
      <c r="T1084" s="9">
        <v>1.4</v>
      </c>
      <c r="U1084" s="9">
        <v>1</v>
      </c>
      <c r="V1084" s="9" t="b">
        <v>1</v>
      </c>
      <c r="W1084" s="9" t="s">
        <v>3484</v>
      </c>
    </row>
    <row r="1085" spans="1:23" ht="29" customHeight="1" x14ac:dyDescent="0.2">
      <c r="A1085" s="9" t="s">
        <v>3485</v>
      </c>
      <c r="B1085" s="10" t="s">
        <v>3486</v>
      </c>
      <c r="C1085" s="9" t="s">
        <v>1741</v>
      </c>
      <c r="D1085" s="9" t="s">
        <v>1741</v>
      </c>
      <c r="E1085" s="9" t="s">
        <v>3031</v>
      </c>
      <c r="F1085" s="9" t="s">
        <v>3487</v>
      </c>
      <c r="G1085" s="9">
        <v>189</v>
      </c>
      <c r="H1085" s="9">
        <v>299</v>
      </c>
      <c r="I1085" s="9">
        <v>37</v>
      </c>
      <c r="J1085" s="11">
        <v>4.2</v>
      </c>
      <c r="K1085" s="9">
        <v>2737</v>
      </c>
      <c r="L1085" s="9">
        <v>4.1332162615094727</v>
      </c>
      <c r="M1085" s="9" t="s">
        <v>28</v>
      </c>
      <c r="N1085" s="9" t="s">
        <v>29</v>
      </c>
      <c r="O1085" s="9">
        <v>55.8</v>
      </c>
      <c r="P1085" s="9" t="s">
        <v>53</v>
      </c>
      <c r="Q1085" s="9" t="b">
        <v>0</v>
      </c>
      <c r="R1085" s="9" t="b">
        <v>0</v>
      </c>
      <c r="S1085" s="9" t="b">
        <v>0</v>
      </c>
      <c r="U1085" s="9">
        <v>1</v>
      </c>
      <c r="V1085" s="9" t="b">
        <v>1</v>
      </c>
      <c r="W1085" s="9" t="s">
        <v>3488</v>
      </c>
    </row>
    <row r="1086" spans="1:23" ht="29" customHeight="1" x14ac:dyDescent="0.2">
      <c r="A1086" s="9" t="s">
        <v>3489</v>
      </c>
      <c r="B1086" s="10" t="s">
        <v>3490</v>
      </c>
      <c r="C1086" s="9" t="s">
        <v>1741</v>
      </c>
      <c r="D1086" s="9" t="s">
        <v>1741</v>
      </c>
      <c r="E1086" s="9" t="s">
        <v>2918</v>
      </c>
      <c r="F1086" s="9" t="s">
        <v>3161</v>
      </c>
      <c r="G1086" s="9">
        <v>1449</v>
      </c>
      <c r="H1086" s="9">
        <v>2349</v>
      </c>
      <c r="I1086" s="9">
        <v>38</v>
      </c>
      <c r="J1086" s="11">
        <v>3.9</v>
      </c>
      <c r="K1086" s="9">
        <v>9019</v>
      </c>
      <c r="L1086" s="9">
        <v>3.9543511396691171</v>
      </c>
      <c r="M1086" s="9" t="s">
        <v>28</v>
      </c>
      <c r="N1086" s="9" t="s">
        <v>179</v>
      </c>
      <c r="O1086" s="9">
        <v>27.7</v>
      </c>
      <c r="P1086" s="9" t="s">
        <v>40</v>
      </c>
      <c r="Q1086" s="9" t="b">
        <v>0</v>
      </c>
      <c r="R1086" s="9" t="b">
        <v>0</v>
      </c>
      <c r="S1086" s="9" t="b">
        <v>0</v>
      </c>
      <c r="T1086" s="9">
        <v>0.72</v>
      </c>
      <c r="U1086" s="9">
        <v>1</v>
      </c>
      <c r="V1086" s="9" t="b">
        <v>1</v>
      </c>
      <c r="W1086" s="9" t="s">
        <v>3491</v>
      </c>
    </row>
    <row r="1087" spans="1:23" ht="29" customHeight="1" x14ac:dyDescent="0.2">
      <c r="A1087" s="9" t="s">
        <v>3492</v>
      </c>
      <c r="B1087" s="10" t="s">
        <v>3493</v>
      </c>
      <c r="C1087" s="9" t="s">
        <v>1741</v>
      </c>
      <c r="D1087" s="9" t="s">
        <v>1741</v>
      </c>
      <c r="E1087" s="9" t="s">
        <v>3031</v>
      </c>
      <c r="F1087" s="9" t="s">
        <v>3032</v>
      </c>
      <c r="G1087" s="9">
        <v>199</v>
      </c>
      <c r="H1087" s="9">
        <v>499</v>
      </c>
      <c r="I1087" s="9">
        <v>60</v>
      </c>
      <c r="J1087" s="11">
        <v>4</v>
      </c>
      <c r="K1087" s="9">
        <v>10234</v>
      </c>
      <c r="L1087" s="9">
        <v>4.0227513372400816</v>
      </c>
      <c r="M1087" s="9" t="s">
        <v>28</v>
      </c>
      <c r="N1087" s="9" t="s">
        <v>29</v>
      </c>
      <c r="O1087" s="9">
        <v>44.5</v>
      </c>
      <c r="P1087" s="9" t="s">
        <v>30</v>
      </c>
      <c r="Q1087" s="9" t="b">
        <v>0</v>
      </c>
      <c r="R1087" s="9" t="b">
        <v>0</v>
      </c>
      <c r="S1087" s="9" t="b">
        <v>0</v>
      </c>
      <c r="T1087" s="9">
        <v>0.56999999999999995</v>
      </c>
      <c r="U1087" s="9">
        <v>1</v>
      </c>
      <c r="V1087" s="9" t="b">
        <v>1</v>
      </c>
      <c r="W1087" s="9" t="s">
        <v>3494</v>
      </c>
    </row>
    <row r="1088" spans="1:23" ht="29" customHeight="1" x14ac:dyDescent="0.2">
      <c r="A1088" s="9" t="s">
        <v>3495</v>
      </c>
      <c r="B1088" s="10" t="s">
        <v>3496</v>
      </c>
      <c r="C1088" s="9" t="s">
        <v>1741</v>
      </c>
      <c r="D1088" s="9" t="s">
        <v>1741</v>
      </c>
      <c r="E1088" s="9" t="s">
        <v>2913</v>
      </c>
      <c r="F1088" s="9" t="s">
        <v>3497</v>
      </c>
      <c r="G1088" s="9">
        <v>474</v>
      </c>
      <c r="H1088" s="9">
        <v>1299</v>
      </c>
      <c r="I1088" s="9">
        <v>64</v>
      </c>
      <c r="J1088" s="11">
        <v>4.0999999999999996</v>
      </c>
      <c r="K1088" s="9">
        <v>550</v>
      </c>
      <c r="L1088" s="9">
        <v>4.0865945719839569</v>
      </c>
      <c r="M1088" s="9" t="s">
        <v>89</v>
      </c>
      <c r="N1088" s="9" t="s">
        <v>29</v>
      </c>
      <c r="O1088" s="9">
        <v>59.9</v>
      </c>
      <c r="P1088" s="9" t="s">
        <v>53</v>
      </c>
      <c r="Q1088" s="9" t="b">
        <v>0</v>
      </c>
      <c r="R1088" s="9" t="b">
        <v>0</v>
      </c>
      <c r="S1088" s="9" t="b">
        <v>0</v>
      </c>
      <c r="U1088" s="9">
        <v>1</v>
      </c>
      <c r="V1088" s="9" t="b">
        <v>1</v>
      </c>
      <c r="W1088" s="9" t="s">
        <v>3498</v>
      </c>
    </row>
    <row r="1089" spans="1:23" ht="29" customHeight="1" x14ac:dyDescent="0.2">
      <c r="A1089" s="9" t="s">
        <v>3499</v>
      </c>
      <c r="B1089" s="10" t="s">
        <v>3500</v>
      </c>
      <c r="C1089" s="9" t="s">
        <v>1741</v>
      </c>
      <c r="D1089" s="9" t="s">
        <v>1741</v>
      </c>
      <c r="E1089" s="9" t="s">
        <v>2913</v>
      </c>
      <c r="F1089" s="9" t="s">
        <v>2965</v>
      </c>
      <c r="G1089" s="9">
        <v>279</v>
      </c>
      <c r="H1089" s="9">
        <v>499</v>
      </c>
      <c r="I1089" s="9">
        <v>44</v>
      </c>
      <c r="J1089" s="11">
        <v>4.8</v>
      </c>
      <c r="K1089" s="9">
        <v>28</v>
      </c>
      <c r="L1089" s="9">
        <v>4.0899192960508666</v>
      </c>
      <c r="M1089" s="9" t="s">
        <v>204</v>
      </c>
      <c r="N1089" s="9" t="s">
        <v>29</v>
      </c>
      <c r="O1089" s="9">
        <v>53.2</v>
      </c>
      <c r="P1089" s="9" t="s">
        <v>53</v>
      </c>
      <c r="Q1089" s="9" t="b">
        <v>0</v>
      </c>
      <c r="R1089" s="9" t="b">
        <v>0</v>
      </c>
      <c r="S1089" s="9" t="b">
        <v>0</v>
      </c>
      <c r="T1089" s="9">
        <v>0.4</v>
      </c>
      <c r="U1089" s="9">
        <v>1</v>
      </c>
      <c r="V1089" s="9" t="b">
        <v>1</v>
      </c>
      <c r="W1089" s="9" t="s">
        <v>3501</v>
      </c>
    </row>
    <row r="1090" spans="1:23" ht="29" customHeight="1" x14ac:dyDescent="0.2">
      <c r="A1090" s="9" t="s">
        <v>3502</v>
      </c>
      <c r="B1090" s="10" t="s">
        <v>3503</v>
      </c>
      <c r="C1090" s="9" t="s">
        <v>1741</v>
      </c>
      <c r="D1090" s="9" t="s">
        <v>1741</v>
      </c>
      <c r="E1090" s="9" t="s">
        <v>2918</v>
      </c>
      <c r="F1090" s="9" t="s">
        <v>3161</v>
      </c>
      <c r="G1090" s="9">
        <v>1999</v>
      </c>
      <c r="H1090" s="9">
        <v>4775</v>
      </c>
      <c r="I1090" s="9">
        <v>58</v>
      </c>
      <c r="J1090" s="11">
        <v>4.2</v>
      </c>
      <c r="K1090" s="9">
        <v>1353</v>
      </c>
      <c r="L1090" s="9">
        <v>4.1151479018044794</v>
      </c>
      <c r="M1090" s="9" t="s">
        <v>28</v>
      </c>
      <c r="N1090" s="9" t="s">
        <v>179</v>
      </c>
      <c r="O1090" s="9">
        <v>59.6</v>
      </c>
      <c r="P1090" s="9" t="s">
        <v>53</v>
      </c>
      <c r="Q1090" s="9" t="b">
        <v>0</v>
      </c>
      <c r="R1090" s="9" t="b">
        <v>0</v>
      </c>
      <c r="S1090" s="9" t="b">
        <v>0</v>
      </c>
      <c r="T1090" s="9">
        <v>1</v>
      </c>
      <c r="U1090" s="9">
        <v>1</v>
      </c>
      <c r="V1090" s="9" t="b">
        <v>1</v>
      </c>
      <c r="W1090" s="9" t="s">
        <v>3504</v>
      </c>
    </row>
    <row r="1091" spans="1:23" ht="29" customHeight="1" x14ac:dyDescent="0.2">
      <c r="A1091" s="9" t="s">
        <v>3505</v>
      </c>
      <c r="B1091" s="10" t="s">
        <v>3506</v>
      </c>
      <c r="C1091" s="9" t="s">
        <v>1741</v>
      </c>
      <c r="D1091" s="9" t="s">
        <v>1741</v>
      </c>
      <c r="E1091" s="9" t="s">
        <v>2913</v>
      </c>
      <c r="F1091" s="9" t="s">
        <v>2927</v>
      </c>
      <c r="G1091" s="9">
        <v>799</v>
      </c>
      <c r="H1091" s="9">
        <v>1230</v>
      </c>
      <c r="I1091" s="9">
        <v>35</v>
      </c>
      <c r="J1091" s="11">
        <v>4.0999999999999996</v>
      </c>
      <c r="K1091" s="9">
        <v>2138</v>
      </c>
      <c r="L1091" s="9">
        <v>4.0902023712703688</v>
      </c>
      <c r="M1091" s="9" t="s">
        <v>28</v>
      </c>
      <c r="N1091" s="9" t="s">
        <v>93</v>
      </c>
      <c r="O1091" s="9">
        <v>44.3</v>
      </c>
      <c r="P1091" s="9" t="s">
        <v>30</v>
      </c>
      <c r="Q1091" s="9" t="b">
        <v>0</v>
      </c>
      <c r="R1091" s="9" t="b">
        <v>0</v>
      </c>
      <c r="S1091" s="9" t="b">
        <v>0</v>
      </c>
      <c r="T1091" s="9">
        <v>1.78</v>
      </c>
      <c r="U1091" s="9">
        <v>1</v>
      </c>
      <c r="V1091" s="9" t="b">
        <v>1</v>
      </c>
      <c r="W1091" s="9" t="s">
        <v>3507</v>
      </c>
    </row>
    <row r="1092" spans="1:23" ht="29" customHeight="1" x14ac:dyDescent="0.2">
      <c r="A1092" s="9" t="s">
        <v>3508</v>
      </c>
      <c r="B1092" s="10" t="s">
        <v>3509</v>
      </c>
      <c r="C1092" s="9" t="s">
        <v>1741</v>
      </c>
      <c r="D1092" s="9" t="s">
        <v>1741</v>
      </c>
      <c r="E1092" s="9" t="s">
        <v>2913</v>
      </c>
      <c r="F1092" s="9" t="s">
        <v>3128</v>
      </c>
      <c r="G1092" s="9">
        <v>949</v>
      </c>
      <c r="H1092" s="9">
        <v>1999</v>
      </c>
      <c r="I1092" s="9">
        <v>53</v>
      </c>
      <c r="J1092" s="11">
        <v>4</v>
      </c>
      <c r="K1092" s="9">
        <v>1679</v>
      </c>
      <c r="L1092" s="9">
        <v>4.0585204615787589</v>
      </c>
      <c r="M1092" s="9" t="s">
        <v>28</v>
      </c>
      <c r="N1092" s="9" t="s">
        <v>93</v>
      </c>
      <c r="O1092" s="9">
        <v>43.2</v>
      </c>
      <c r="P1092" s="9" t="s">
        <v>30</v>
      </c>
      <c r="Q1092" s="9" t="b">
        <v>0</v>
      </c>
      <c r="R1092" s="9" t="b">
        <v>0</v>
      </c>
      <c r="S1092" s="9" t="b">
        <v>0</v>
      </c>
      <c r="U1092" s="9">
        <v>1</v>
      </c>
      <c r="V1092" s="9" t="b">
        <v>1</v>
      </c>
      <c r="W1092" s="9" t="s">
        <v>3510</v>
      </c>
    </row>
    <row r="1093" spans="1:23" ht="29" customHeight="1" x14ac:dyDescent="0.2">
      <c r="A1093" s="9" t="s">
        <v>3511</v>
      </c>
      <c r="B1093" s="10" t="s">
        <v>3512</v>
      </c>
      <c r="C1093" s="9" t="s">
        <v>1741</v>
      </c>
      <c r="D1093" s="9" t="s">
        <v>1741</v>
      </c>
      <c r="E1093" s="9" t="s">
        <v>2913</v>
      </c>
      <c r="F1093" s="9" t="s">
        <v>3513</v>
      </c>
      <c r="G1093" s="9">
        <v>3657.66</v>
      </c>
      <c r="H1093" s="9">
        <v>5156</v>
      </c>
      <c r="I1093" s="9">
        <v>29</v>
      </c>
      <c r="J1093" s="11">
        <v>3.9</v>
      </c>
      <c r="K1093" s="9">
        <v>12837</v>
      </c>
      <c r="L1093" s="9">
        <v>3.941850001004898</v>
      </c>
      <c r="M1093" s="9" t="s">
        <v>28</v>
      </c>
      <c r="N1093" s="9" t="s">
        <v>144</v>
      </c>
      <c r="O1093" s="9">
        <v>15.5</v>
      </c>
      <c r="P1093" s="9" t="s">
        <v>40</v>
      </c>
      <c r="Q1093" s="9" t="b">
        <v>0</v>
      </c>
      <c r="R1093" s="9" t="b">
        <v>0</v>
      </c>
      <c r="S1093" s="9" t="b">
        <v>0</v>
      </c>
      <c r="U1093" s="9">
        <v>1</v>
      </c>
      <c r="V1093" s="9" t="b">
        <v>1</v>
      </c>
      <c r="W1093" s="9" t="s">
        <v>3514</v>
      </c>
    </row>
    <row r="1094" spans="1:23" ht="29" customHeight="1" x14ac:dyDescent="0.2">
      <c r="A1094" s="9" t="s">
        <v>3515</v>
      </c>
      <c r="B1094" s="10" t="s">
        <v>3516</v>
      </c>
      <c r="C1094" s="9" t="s">
        <v>1741</v>
      </c>
      <c r="D1094" s="9" t="s">
        <v>1741</v>
      </c>
      <c r="E1094" s="9" t="s">
        <v>2913</v>
      </c>
      <c r="F1094" s="9" t="s">
        <v>3517</v>
      </c>
      <c r="G1094" s="9">
        <v>1699</v>
      </c>
      <c r="H1094" s="9">
        <v>1999</v>
      </c>
      <c r="I1094" s="9">
        <v>15</v>
      </c>
      <c r="J1094" s="11">
        <v>4.0999999999999996</v>
      </c>
      <c r="K1094" s="9">
        <v>8873</v>
      </c>
      <c r="L1094" s="9">
        <v>4.0954247233335286</v>
      </c>
      <c r="M1094" s="9" t="s">
        <v>28</v>
      </c>
      <c r="N1094" s="9" t="s">
        <v>179</v>
      </c>
      <c r="O1094" s="9">
        <v>34.700000000000003</v>
      </c>
      <c r="P1094" s="9" t="s">
        <v>40</v>
      </c>
      <c r="Q1094" s="9" t="b">
        <v>0</v>
      </c>
      <c r="R1094" s="9" t="b">
        <v>0</v>
      </c>
      <c r="S1094" s="9" t="b">
        <v>0</v>
      </c>
      <c r="U1094" s="9">
        <v>1</v>
      </c>
      <c r="V1094" s="9" t="b">
        <v>1</v>
      </c>
      <c r="W1094" s="9" t="s">
        <v>3518</v>
      </c>
    </row>
    <row r="1095" spans="1:23" ht="29" customHeight="1" x14ac:dyDescent="0.2">
      <c r="A1095" s="9" t="s">
        <v>3519</v>
      </c>
      <c r="B1095" s="10" t="s">
        <v>3520</v>
      </c>
      <c r="C1095" s="9" t="s">
        <v>1741</v>
      </c>
      <c r="D1095" s="9" t="s">
        <v>1741</v>
      </c>
      <c r="E1095" s="9" t="s">
        <v>2913</v>
      </c>
      <c r="F1095" s="9" t="s">
        <v>3036</v>
      </c>
      <c r="G1095" s="9">
        <v>1849</v>
      </c>
      <c r="H1095" s="9">
        <v>2095</v>
      </c>
      <c r="I1095" s="9">
        <v>12</v>
      </c>
      <c r="J1095" s="11">
        <v>4.3</v>
      </c>
      <c r="K1095" s="9">
        <v>7681</v>
      </c>
      <c r="L1095" s="9">
        <v>4.229190290704838</v>
      </c>
      <c r="M1095" s="9" t="s">
        <v>28</v>
      </c>
      <c r="N1095" s="9" t="s">
        <v>179</v>
      </c>
      <c r="O1095" s="9">
        <v>50.1</v>
      </c>
      <c r="P1095" s="9" t="s">
        <v>30</v>
      </c>
      <c r="Q1095" s="9" t="b">
        <v>0</v>
      </c>
      <c r="R1095" s="9" t="b">
        <v>0</v>
      </c>
      <c r="S1095" s="9" t="b">
        <v>0</v>
      </c>
      <c r="T1095" s="9">
        <v>0.61</v>
      </c>
      <c r="U1095" s="9">
        <v>1</v>
      </c>
      <c r="V1095" s="9" t="b">
        <v>1</v>
      </c>
      <c r="W1095" s="9" t="s">
        <v>3521</v>
      </c>
    </row>
    <row r="1096" spans="1:23" ht="29" customHeight="1" x14ac:dyDescent="0.2">
      <c r="A1096" s="9" t="s">
        <v>3522</v>
      </c>
      <c r="B1096" s="10" t="s">
        <v>3523</v>
      </c>
      <c r="C1096" s="9" t="s">
        <v>1741</v>
      </c>
      <c r="D1096" s="9" t="s">
        <v>1741</v>
      </c>
      <c r="E1096" s="9" t="s">
        <v>2918</v>
      </c>
      <c r="F1096" s="9" t="s">
        <v>2923</v>
      </c>
      <c r="G1096" s="9">
        <v>12499</v>
      </c>
      <c r="H1096" s="9">
        <v>19825</v>
      </c>
      <c r="I1096" s="9">
        <v>37</v>
      </c>
      <c r="J1096" s="11">
        <v>4.0999999999999996</v>
      </c>
      <c r="K1096" s="9">
        <v>322</v>
      </c>
      <c r="L1096" s="9">
        <v>4.0858462704568037</v>
      </c>
      <c r="M1096" s="9" t="s">
        <v>89</v>
      </c>
      <c r="N1096" s="9" t="s">
        <v>58</v>
      </c>
      <c r="O1096" s="9">
        <v>31</v>
      </c>
      <c r="P1096" s="9" t="s">
        <v>40</v>
      </c>
      <c r="Q1096" s="9" t="b">
        <v>0</v>
      </c>
      <c r="R1096" s="9" t="b">
        <v>0</v>
      </c>
      <c r="S1096" s="9" t="b">
        <v>0</v>
      </c>
      <c r="T1096" s="9">
        <v>11.58</v>
      </c>
      <c r="U1096" s="9">
        <v>1</v>
      </c>
      <c r="V1096" s="9" t="b">
        <v>1</v>
      </c>
      <c r="W1096" s="9" t="s">
        <v>3524</v>
      </c>
    </row>
    <row r="1097" spans="1:23" ht="29" customHeight="1" x14ac:dyDescent="0.2">
      <c r="A1097" s="9" t="s">
        <v>3525</v>
      </c>
      <c r="B1097" s="10" t="s">
        <v>3526</v>
      </c>
      <c r="C1097" s="9" t="s">
        <v>1741</v>
      </c>
      <c r="D1097" s="9" t="s">
        <v>1741</v>
      </c>
      <c r="E1097" s="9" t="s">
        <v>2913</v>
      </c>
      <c r="F1097" s="9" t="s">
        <v>2969</v>
      </c>
      <c r="G1097" s="9">
        <v>1099</v>
      </c>
      <c r="H1097" s="9">
        <v>1920</v>
      </c>
      <c r="I1097" s="9">
        <v>43</v>
      </c>
      <c r="J1097" s="11">
        <v>4.2</v>
      </c>
      <c r="K1097" s="9">
        <v>9772</v>
      </c>
      <c r="L1097" s="9">
        <v>4.1679292985836804</v>
      </c>
      <c r="M1097" s="9" t="s">
        <v>28</v>
      </c>
      <c r="N1097" s="9" t="s">
        <v>179</v>
      </c>
      <c r="O1097" s="9">
        <v>58</v>
      </c>
      <c r="P1097" s="9" t="s">
        <v>53</v>
      </c>
      <c r="Q1097" s="9" t="b">
        <v>0</v>
      </c>
      <c r="R1097" s="9" t="b">
        <v>0</v>
      </c>
      <c r="S1097" s="9" t="b">
        <v>0</v>
      </c>
      <c r="T1097" s="9">
        <v>1.62</v>
      </c>
      <c r="U1097" s="9">
        <v>1</v>
      </c>
      <c r="V1097" s="9" t="b">
        <v>1</v>
      </c>
      <c r="W1097" s="9" t="s">
        <v>3527</v>
      </c>
    </row>
    <row r="1098" spans="1:23" ht="29" customHeight="1" x14ac:dyDescent="0.2">
      <c r="A1098" s="9" t="s">
        <v>3528</v>
      </c>
      <c r="B1098" s="10" t="s">
        <v>3529</v>
      </c>
      <c r="C1098" s="9" t="s">
        <v>1741</v>
      </c>
      <c r="D1098" s="9" t="s">
        <v>1741</v>
      </c>
      <c r="E1098" s="9" t="s">
        <v>2913</v>
      </c>
      <c r="F1098" s="9" t="s">
        <v>3415</v>
      </c>
      <c r="G1098" s="9">
        <v>8199</v>
      </c>
      <c r="H1098" s="9">
        <v>16000</v>
      </c>
      <c r="I1098" s="9">
        <v>49</v>
      </c>
      <c r="J1098" s="11">
        <v>3.9</v>
      </c>
      <c r="K1098" s="9">
        <v>18497</v>
      </c>
      <c r="L1098" s="9">
        <v>3.9312086566041828</v>
      </c>
      <c r="M1098" s="9" t="s">
        <v>28</v>
      </c>
      <c r="N1098" s="9" t="s">
        <v>144</v>
      </c>
      <c r="O1098" s="9">
        <v>21</v>
      </c>
      <c r="P1098" s="9" t="s">
        <v>40</v>
      </c>
      <c r="Q1098" s="9" t="b">
        <v>0</v>
      </c>
      <c r="R1098" s="9" t="b">
        <v>0</v>
      </c>
      <c r="S1098" s="9" t="b">
        <v>0</v>
      </c>
      <c r="T1098" s="9">
        <v>1.21</v>
      </c>
      <c r="U1098" s="9">
        <v>1</v>
      </c>
      <c r="V1098" s="9" t="b">
        <v>1</v>
      </c>
      <c r="W1098" s="9" t="s">
        <v>3530</v>
      </c>
    </row>
    <row r="1099" spans="1:23" ht="29" customHeight="1" x14ac:dyDescent="0.2">
      <c r="A1099" s="9" t="s">
        <v>3531</v>
      </c>
      <c r="B1099" s="10" t="s">
        <v>3532</v>
      </c>
      <c r="C1099" s="9" t="s">
        <v>1741</v>
      </c>
      <c r="D1099" s="9" t="s">
        <v>1741</v>
      </c>
      <c r="E1099" s="9" t="s">
        <v>2913</v>
      </c>
      <c r="F1099" s="9" t="s">
        <v>3049</v>
      </c>
      <c r="G1099" s="9">
        <v>499</v>
      </c>
      <c r="H1099" s="9">
        <v>2199</v>
      </c>
      <c r="I1099" s="9">
        <v>77</v>
      </c>
      <c r="J1099" s="11">
        <v>3.7</v>
      </c>
      <c r="K1099" s="9">
        <v>53</v>
      </c>
      <c r="L1099" s="9">
        <v>4.0792921220497478</v>
      </c>
      <c r="M1099" s="9" t="s">
        <v>204</v>
      </c>
      <c r="N1099" s="9" t="s">
        <v>29</v>
      </c>
      <c r="O1099" s="9">
        <v>61</v>
      </c>
      <c r="P1099" s="9" t="s">
        <v>36</v>
      </c>
      <c r="Q1099" s="9" t="b">
        <v>0</v>
      </c>
      <c r="R1099" s="9" t="b">
        <v>0</v>
      </c>
      <c r="S1099" s="9" t="b">
        <v>1</v>
      </c>
      <c r="T1099" s="9">
        <v>0.21</v>
      </c>
      <c r="U1099" s="9">
        <v>1</v>
      </c>
      <c r="V1099" s="9" t="b">
        <v>1</v>
      </c>
      <c r="W1099" s="9" t="s">
        <v>3533</v>
      </c>
    </row>
    <row r="1100" spans="1:23" ht="29" customHeight="1" x14ac:dyDescent="0.2">
      <c r="A1100" s="9" t="s">
        <v>3534</v>
      </c>
      <c r="B1100" s="10" t="s">
        <v>3535</v>
      </c>
      <c r="C1100" s="9" t="s">
        <v>1741</v>
      </c>
      <c r="D1100" s="9" t="s">
        <v>1741</v>
      </c>
      <c r="E1100" s="9" t="s">
        <v>2913</v>
      </c>
      <c r="F1100" s="9" t="s">
        <v>3059</v>
      </c>
      <c r="G1100" s="9">
        <v>6999</v>
      </c>
      <c r="H1100" s="9">
        <v>14999</v>
      </c>
      <c r="I1100" s="9">
        <v>53</v>
      </c>
      <c r="J1100" s="11">
        <v>4.0999999999999996</v>
      </c>
      <c r="K1100" s="9">
        <v>1728</v>
      </c>
      <c r="L1100" s="9">
        <v>4.0894707388545326</v>
      </c>
      <c r="M1100" s="9" t="s">
        <v>28</v>
      </c>
      <c r="N1100" s="9" t="s">
        <v>144</v>
      </c>
      <c r="O1100" s="9">
        <v>41.2</v>
      </c>
      <c r="P1100" s="9" t="s">
        <v>30</v>
      </c>
      <c r="Q1100" s="9" t="b">
        <v>0</v>
      </c>
      <c r="R1100" s="9" t="b">
        <v>0</v>
      </c>
      <c r="S1100" s="9" t="b">
        <v>0</v>
      </c>
      <c r="U1100" s="9">
        <v>1</v>
      </c>
      <c r="V1100" s="9" t="b">
        <v>1</v>
      </c>
      <c r="W1100" s="9" t="s">
        <v>3536</v>
      </c>
    </row>
    <row r="1101" spans="1:23" ht="29" customHeight="1" x14ac:dyDescent="0.2">
      <c r="A1101" s="9" t="s">
        <v>3537</v>
      </c>
      <c r="B1101" s="10" t="s">
        <v>3538</v>
      </c>
      <c r="C1101" s="9" t="s">
        <v>1741</v>
      </c>
      <c r="D1101" s="9" t="s">
        <v>1741</v>
      </c>
      <c r="E1101" s="9" t="s">
        <v>2913</v>
      </c>
      <c r="F1101" s="9" t="s">
        <v>3157</v>
      </c>
      <c r="G1101" s="9">
        <v>1595</v>
      </c>
      <c r="H1101" s="9">
        <v>1799</v>
      </c>
      <c r="I1101" s="9">
        <v>11</v>
      </c>
      <c r="J1101" s="11">
        <v>4</v>
      </c>
      <c r="K1101" s="9">
        <v>2877</v>
      </c>
      <c r="L1101" s="9">
        <v>4.0479613060743764</v>
      </c>
      <c r="M1101" s="9" t="s">
        <v>28</v>
      </c>
      <c r="N1101" s="9" t="s">
        <v>179</v>
      </c>
      <c r="O1101" s="9">
        <v>22.4</v>
      </c>
      <c r="P1101" s="9" t="s">
        <v>40</v>
      </c>
      <c r="Q1101" s="9" t="b">
        <v>0</v>
      </c>
      <c r="R1101" s="9" t="b">
        <v>0</v>
      </c>
      <c r="S1101" s="9" t="b">
        <v>0</v>
      </c>
      <c r="U1101" s="9">
        <v>1</v>
      </c>
      <c r="V1101" s="9" t="b">
        <v>1</v>
      </c>
      <c r="W1101" s="9" t="s">
        <v>3539</v>
      </c>
    </row>
    <row r="1102" spans="1:23" ht="29" customHeight="1" x14ac:dyDescent="0.2">
      <c r="A1102" s="9" t="s">
        <v>3540</v>
      </c>
      <c r="B1102" s="10" t="s">
        <v>3541</v>
      </c>
      <c r="C1102" s="9" t="s">
        <v>1741</v>
      </c>
      <c r="D1102" s="9" t="s">
        <v>1741</v>
      </c>
      <c r="E1102" s="9" t="s">
        <v>2913</v>
      </c>
      <c r="F1102" s="9" t="s">
        <v>2969</v>
      </c>
      <c r="G1102" s="9">
        <v>1049</v>
      </c>
      <c r="H1102" s="9">
        <v>1950</v>
      </c>
      <c r="I1102" s="9">
        <v>46</v>
      </c>
      <c r="J1102" s="11">
        <v>3.8</v>
      </c>
      <c r="K1102" s="9">
        <v>250</v>
      </c>
      <c r="L1102" s="9">
        <v>4.0669007082070561</v>
      </c>
      <c r="M1102" s="9" t="s">
        <v>89</v>
      </c>
      <c r="N1102" s="9" t="s">
        <v>179</v>
      </c>
      <c r="O1102" s="9">
        <v>40.200000000000003</v>
      </c>
      <c r="P1102" s="9" t="s">
        <v>30</v>
      </c>
      <c r="Q1102" s="9" t="b">
        <v>0</v>
      </c>
      <c r="R1102" s="9" t="b">
        <v>0</v>
      </c>
      <c r="S1102" s="9" t="b">
        <v>1</v>
      </c>
      <c r="T1102" s="9">
        <v>1.54</v>
      </c>
      <c r="U1102" s="9">
        <v>1</v>
      </c>
      <c r="V1102" s="9" t="b">
        <v>1</v>
      </c>
      <c r="W1102" s="9" t="s">
        <v>3542</v>
      </c>
    </row>
    <row r="1103" spans="1:23" ht="29" customHeight="1" x14ac:dyDescent="0.2">
      <c r="A1103" s="9" t="s">
        <v>3543</v>
      </c>
      <c r="B1103" s="10" t="s">
        <v>3544</v>
      </c>
      <c r="C1103" s="9" t="s">
        <v>1741</v>
      </c>
      <c r="D1103" s="9" t="s">
        <v>1741</v>
      </c>
      <c r="E1103" s="9" t="s">
        <v>2913</v>
      </c>
      <c r="F1103" s="9" t="s">
        <v>2991</v>
      </c>
      <c r="G1103" s="9">
        <v>1182</v>
      </c>
      <c r="H1103" s="9">
        <v>2995</v>
      </c>
      <c r="I1103" s="9">
        <v>61</v>
      </c>
      <c r="J1103" s="11">
        <v>4.2</v>
      </c>
      <c r="K1103" s="9">
        <v>5178</v>
      </c>
      <c r="L1103" s="9">
        <v>4.151450041013458</v>
      </c>
      <c r="M1103" s="9" t="s">
        <v>28</v>
      </c>
      <c r="N1103" s="9" t="s">
        <v>179</v>
      </c>
      <c r="O1103" s="9">
        <v>65.7</v>
      </c>
      <c r="P1103" s="9" t="s">
        <v>36</v>
      </c>
      <c r="Q1103" s="9" t="b">
        <v>0</v>
      </c>
      <c r="R1103" s="9" t="b">
        <v>0</v>
      </c>
      <c r="S1103" s="9" t="b">
        <v>0</v>
      </c>
      <c r="T1103" s="9">
        <v>1</v>
      </c>
      <c r="U1103" s="9">
        <v>1</v>
      </c>
      <c r="V1103" s="9" t="b">
        <v>1</v>
      </c>
      <c r="W1103" s="9" t="s">
        <v>3545</v>
      </c>
    </row>
    <row r="1104" spans="1:23" ht="29" customHeight="1" x14ac:dyDescent="0.2">
      <c r="A1104" s="9" t="s">
        <v>3546</v>
      </c>
      <c r="B1104" s="10" t="s">
        <v>3547</v>
      </c>
      <c r="C1104" s="9" t="s">
        <v>1741</v>
      </c>
      <c r="D1104" s="9" t="s">
        <v>1741</v>
      </c>
      <c r="E1104" s="9" t="s">
        <v>2913</v>
      </c>
      <c r="F1104" s="9" t="s">
        <v>2927</v>
      </c>
      <c r="G1104" s="9">
        <v>499</v>
      </c>
      <c r="H1104" s="9">
        <v>999</v>
      </c>
      <c r="I1104" s="9">
        <v>50</v>
      </c>
      <c r="J1104" s="11">
        <v>4.5999999999999996</v>
      </c>
      <c r="K1104" s="9">
        <v>79</v>
      </c>
      <c r="L1104" s="9">
        <v>4.0952333962464706</v>
      </c>
      <c r="M1104" s="9" t="s">
        <v>204</v>
      </c>
      <c r="N1104" s="9" t="s">
        <v>29</v>
      </c>
      <c r="O1104" s="9">
        <v>56.9</v>
      </c>
      <c r="P1104" s="9" t="s">
        <v>53</v>
      </c>
      <c r="Q1104" s="9" t="b">
        <v>0</v>
      </c>
      <c r="R1104" s="9" t="b">
        <v>0</v>
      </c>
      <c r="S1104" s="9" t="b">
        <v>0</v>
      </c>
      <c r="T1104" s="9">
        <v>1.1100000000000001</v>
      </c>
      <c r="U1104" s="9">
        <v>1</v>
      </c>
      <c r="V1104" s="9" t="b">
        <v>1</v>
      </c>
      <c r="W1104" s="9" t="s">
        <v>3548</v>
      </c>
    </row>
    <row r="1105" spans="1:23" ht="29" customHeight="1" x14ac:dyDescent="0.2">
      <c r="A1105" s="9" t="s">
        <v>3549</v>
      </c>
      <c r="B1105" s="10" t="s">
        <v>3550</v>
      </c>
      <c r="C1105" s="9" t="s">
        <v>1741</v>
      </c>
      <c r="D1105" s="9" t="s">
        <v>1741</v>
      </c>
      <c r="E1105" s="9" t="s">
        <v>2918</v>
      </c>
      <c r="F1105" s="9" t="s">
        <v>3411</v>
      </c>
      <c r="G1105" s="9">
        <v>8799</v>
      </c>
      <c r="H1105" s="9">
        <v>11995</v>
      </c>
      <c r="I1105" s="9">
        <v>27</v>
      </c>
      <c r="J1105" s="11">
        <v>4.0999999999999996</v>
      </c>
      <c r="K1105" s="9">
        <v>4157</v>
      </c>
      <c r="L1105" s="9">
        <v>4.0927001820418987</v>
      </c>
      <c r="M1105" s="9" t="s">
        <v>28</v>
      </c>
      <c r="N1105" s="9" t="s">
        <v>144</v>
      </c>
      <c r="O1105" s="9">
        <v>32.1</v>
      </c>
      <c r="P1105" s="9" t="s">
        <v>40</v>
      </c>
      <c r="Q1105" s="9" t="b">
        <v>0</v>
      </c>
      <c r="R1105" s="9" t="b">
        <v>0</v>
      </c>
      <c r="S1105" s="9" t="b">
        <v>0</v>
      </c>
      <c r="U1105" s="9">
        <v>1</v>
      </c>
      <c r="V1105" s="9" t="b">
        <v>1</v>
      </c>
      <c r="W1105" s="9" t="s">
        <v>3551</v>
      </c>
    </row>
    <row r="1106" spans="1:23" ht="29" customHeight="1" x14ac:dyDescent="0.2">
      <c r="A1106" s="9" t="s">
        <v>3552</v>
      </c>
      <c r="B1106" s="10" t="s">
        <v>3553</v>
      </c>
      <c r="C1106" s="9" t="s">
        <v>1741</v>
      </c>
      <c r="D1106" s="9" t="s">
        <v>1741</v>
      </c>
      <c r="E1106" s="9" t="s">
        <v>2918</v>
      </c>
      <c r="F1106" s="9" t="s">
        <v>2919</v>
      </c>
      <c r="G1106" s="9">
        <v>1529</v>
      </c>
      <c r="H1106" s="9">
        <v>2999</v>
      </c>
      <c r="I1106" s="9">
        <v>49</v>
      </c>
      <c r="J1106" s="11">
        <v>3.3</v>
      </c>
      <c r="K1106" s="9">
        <v>29</v>
      </c>
      <c r="L1106" s="9">
        <v>4.0786335465332497</v>
      </c>
      <c r="M1106" s="9" t="s">
        <v>204</v>
      </c>
      <c r="N1106" s="9" t="s">
        <v>179</v>
      </c>
      <c r="O1106" s="9">
        <v>44.2</v>
      </c>
      <c r="P1106" s="9" t="s">
        <v>30</v>
      </c>
      <c r="Q1106" s="9" t="b">
        <v>0</v>
      </c>
      <c r="R1106" s="9" t="b">
        <v>0</v>
      </c>
      <c r="S1106" s="9" t="b">
        <v>1</v>
      </c>
      <c r="T1106" s="9">
        <v>1.1599999999999999</v>
      </c>
      <c r="U1106" s="9">
        <v>1</v>
      </c>
      <c r="V1106" s="9" t="b">
        <v>1</v>
      </c>
      <c r="W1106" s="9" t="s">
        <v>3554</v>
      </c>
    </row>
    <row r="1107" spans="1:23" ht="29" customHeight="1" x14ac:dyDescent="0.2">
      <c r="A1107" s="9" t="s">
        <v>3555</v>
      </c>
      <c r="B1107" s="10" t="s">
        <v>3556</v>
      </c>
      <c r="C1107" s="9" t="s">
        <v>1741</v>
      </c>
      <c r="D1107" s="9" t="s">
        <v>1741</v>
      </c>
      <c r="E1107" s="9" t="s">
        <v>2913</v>
      </c>
      <c r="F1107" s="9" t="s">
        <v>2969</v>
      </c>
      <c r="G1107" s="9">
        <v>1199</v>
      </c>
      <c r="H1107" s="9">
        <v>1690</v>
      </c>
      <c r="I1107" s="9">
        <v>29</v>
      </c>
      <c r="J1107" s="11">
        <v>4.2</v>
      </c>
      <c r="K1107" s="9">
        <v>4580</v>
      </c>
      <c r="L1107" s="9">
        <v>4.1479699240852046</v>
      </c>
      <c r="M1107" s="9" t="s">
        <v>28</v>
      </c>
      <c r="N1107" s="9" t="s">
        <v>179</v>
      </c>
      <c r="O1107" s="9">
        <v>50</v>
      </c>
      <c r="P1107" s="9" t="s">
        <v>30</v>
      </c>
      <c r="Q1107" s="9" t="b">
        <v>0</v>
      </c>
      <c r="R1107" s="9" t="b">
        <v>0</v>
      </c>
      <c r="S1107" s="9" t="b">
        <v>0</v>
      </c>
      <c r="T1107" s="9">
        <v>1.76</v>
      </c>
      <c r="U1107" s="9">
        <v>1</v>
      </c>
      <c r="V1107" s="9" t="b">
        <v>1</v>
      </c>
      <c r="W1107" s="9" t="s">
        <v>3557</v>
      </c>
    </row>
    <row r="1108" spans="1:23" ht="29" customHeight="1" x14ac:dyDescent="0.2">
      <c r="A1108" s="9" t="s">
        <v>3558</v>
      </c>
      <c r="B1108" s="10" t="s">
        <v>3559</v>
      </c>
      <c r="C1108" s="9" t="s">
        <v>1741</v>
      </c>
      <c r="D1108" s="9" t="s">
        <v>1741</v>
      </c>
      <c r="E1108" s="9" t="s">
        <v>2913</v>
      </c>
      <c r="F1108" s="9" t="s">
        <v>3078</v>
      </c>
      <c r="G1108" s="9">
        <v>1052</v>
      </c>
      <c r="H1108" s="9">
        <v>1790</v>
      </c>
      <c r="I1108" s="9">
        <v>41</v>
      </c>
      <c r="J1108" s="11">
        <v>4.3</v>
      </c>
      <c r="K1108" s="9">
        <v>1404</v>
      </c>
      <c r="L1108" s="9">
        <v>4.1431605713114914</v>
      </c>
      <c r="M1108" s="9" t="s">
        <v>28</v>
      </c>
      <c r="N1108" s="9" t="s">
        <v>179</v>
      </c>
      <c r="O1108" s="9">
        <v>55.2</v>
      </c>
      <c r="P1108" s="9" t="s">
        <v>53</v>
      </c>
      <c r="Q1108" s="9" t="b">
        <v>0</v>
      </c>
      <c r="R1108" s="9" t="b">
        <v>0</v>
      </c>
      <c r="S1108" s="9" t="b">
        <v>0</v>
      </c>
      <c r="T1108" s="9">
        <v>1.51</v>
      </c>
      <c r="U1108" s="9">
        <v>1</v>
      </c>
      <c r="V1108" s="9" t="b">
        <v>1</v>
      </c>
      <c r="W1108" s="9" t="s">
        <v>3560</v>
      </c>
    </row>
    <row r="1109" spans="1:23" ht="29" customHeight="1" x14ac:dyDescent="0.2">
      <c r="A1109" s="9" t="s">
        <v>3561</v>
      </c>
      <c r="B1109" s="10" t="s">
        <v>3562</v>
      </c>
      <c r="C1109" s="9" t="s">
        <v>1741</v>
      </c>
      <c r="D1109" s="9" t="s">
        <v>1741</v>
      </c>
      <c r="E1109" s="9" t="s">
        <v>2913</v>
      </c>
      <c r="F1109" s="9" t="s">
        <v>3563</v>
      </c>
      <c r="G1109" s="9">
        <v>6499</v>
      </c>
      <c r="H1109" s="9">
        <v>8995</v>
      </c>
      <c r="I1109" s="9">
        <v>28</v>
      </c>
      <c r="J1109" s="11">
        <v>4.3</v>
      </c>
      <c r="K1109" s="9">
        <v>2810</v>
      </c>
      <c r="L1109" s="9">
        <v>4.1767119196167082</v>
      </c>
      <c r="M1109" s="9" t="s">
        <v>28</v>
      </c>
      <c r="N1109" s="9" t="s">
        <v>144</v>
      </c>
      <c r="O1109" s="9">
        <v>45</v>
      </c>
      <c r="P1109" s="9" t="s">
        <v>30</v>
      </c>
      <c r="Q1109" s="9" t="b">
        <v>0</v>
      </c>
      <c r="R1109" s="9" t="b">
        <v>0</v>
      </c>
      <c r="S1109" s="9" t="b">
        <v>0</v>
      </c>
      <c r="U1109" s="9">
        <v>1</v>
      </c>
      <c r="V1109" s="9" t="b">
        <v>1</v>
      </c>
      <c r="W1109" s="9" t="s">
        <v>3564</v>
      </c>
    </row>
    <row r="1110" spans="1:23" ht="29" customHeight="1" x14ac:dyDescent="0.2">
      <c r="A1110" s="9" t="s">
        <v>3565</v>
      </c>
      <c r="B1110" s="10" t="s">
        <v>3566</v>
      </c>
      <c r="C1110" s="9" t="s">
        <v>1741</v>
      </c>
      <c r="D1110" s="9" t="s">
        <v>1741</v>
      </c>
      <c r="E1110" s="9" t="s">
        <v>2913</v>
      </c>
      <c r="F1110" s="9" t="s">
        <v>3144</v>
      </c>
      <c r="G1110" s="9">
        <v>239</v>
      </c>
      <c r="H1110" s="9">
        <v>239</v>
      </c>
      <c r="I1110" s="9">
        <v>0</v>
      </c>
      <c r="J1110" s="11">
        <v>4.3</v>
      </c>
      <c r="K1110" s="9">
        <v>7</v>
      </c>
      <c r="L1110" s="9">
        <v>4.0850349095850413</v>
      </c>
      <c r="M1110" s="9" t="s">
        <v>204</v>
      </c>
      <c r="N1110" s="9" t="s">
        <v>29</v>
      </c>
      <c r="O1110" s="9">
        <v>37.700000000000003</v>
      </c>
      <c r="P1110" s="9" t="s">
        <v>40</v>
      </c>
      <c r="Q1110" s="9" t="b">
        <v>0</v>
      </c>
      <c r="R1110" s="9" t="b">
        <v>0</v>
      </c>
      <c r="S1110" s="9" t="b">
        <v>0</v>
      </c>
      <c r="U1110" s="9">
        <v>1</v>
      </c>
      <c r="V1110" s="9" t="b">
        <v>1</v>
      </c>
      <c r="W1110" s="9" t="s">
        <v>3567</v>
      </c>
    </row>
    <row r="1111" spans="1:23" ht="29" customHeight="1" x14ac:dyDescent="0.2">
      <c r="A1111" s="9" t="s">
        <v>3568</v>
      </c>
      <c r="B1111" s="10" t="s">
        <v>3569</v>
      </c>
      <c r="C1111" s="9" t="s">
        <v>1741</v>
      </c>
      <c r="D1111" s="9" t="s">
        <v>1741</v>
      </c>
      <c r="E1111" s="9" t="s">
        <v>2913</v>
      </c>
      <c r="F1111" s="9" t="s">
        <v>2965</v>
      </c>
      <c r="G1111" s="9">
        <v>699</v>
      </c>
      <c r="H1111" s="9">
        <v>1599</v>
      </c>
      <c r="I1111" s="9">
        <v>56</v>
      </c>
      <c r="J1111" s="11">
        <v>4.7</v>
      </c>
      <c r="K1111" s="9">
        <v>1729</v>
      </c>
      <c r="L1111" s="9">
        <v>4.2783827900720777</v>
      </c>
      <c r="M1111" s="9" t="s">
        <v>28</v>
      </c>
      <c r="N1111" s="9" t="s">
        <v>93</v>
      </c>
      <c r="O1111" s="9">
        <v>77.599999999999994</v>
      </c>
      <c r="P1111" s="9" t="s">
        <v>36</v>
      </c>
      <c r="Q1111" s="9" t="b">
        <v>0</v>
      </c>
      <c r="R1111" s="9" t="b">
        <v>0</v>
      </c>
      <c r="S1111" s="9" t="b">
        <v>0</v>
      </c>
      <c r="T1111" s="9">
        <v>1</v>
      </c>
      <c r="U1111" s="9">
        <v>1</v>
      </c>
      <c r="V1111" s="9" t="b">
        <v>1</v>
      </c>
      <c r="W1111" s="9" t="s">
        <v>3570</v>
      </c>
    </row>
    <row r="1112" spans="1:23" ht="29" customHeight="1" x14ac:dyDescent="0.2">
      <c r="A1112" s="9" t="s">
        <v>3571</v>
      </c>
      <c r="B1112" s="10" t="s">
        <v>3572</v>
      </c>
      <c r="C1112" s="9" t="s">
        <v>1741</v>
      </c>
      <c r="D1112" s="9" t="s">
        <v>1741</v>
      </c>
      <c r="E1112" s="9" t="s">
        <v>2913</v>
      </c>
      <c r="F1112" s="9" t="s">
        <v>3573</v>
      </c>
      <c r="G1112" s="9">
        <v>2599</v>
      </c>
      <c r="H1112" s="9">
        <v>4290</v>
      </c>
      <c r="I1112" s="9">
        <v>39</v>
      </c>
      <c r="J1112" s="11">
        <v>4.4000000000000004</v>
      </c>
      <c r="K1112" s="9">
        <v>2116</v>
      </c>
      <c r="L1112" s="9">
        <v>4.1981524354309459</v>
      </c>
      <c r="M1112" s="9" t="s">
        <v>28</v>
      </c>
      <c r="N1112" s="9" t="s">
        <v>144</v>
      </c>
      <c r="O1112" s="9">
        <v>55.3</v>
      </c>
      <c r="P1112" s="9" t="s">
        <v>53</v>
      </c>
      <c r="Q1112" s="9" t="b">
        <v>0</v>
      </c>
      <c r="R1112" s="9" t="b">
        <v>0</v>
      </c>
      <c r="S1112" s="9" t="b">
        <v>0</v>
      </c>
      <c r="U1112" s="9">
        <v>1</v>
      </c>
      <c r="V1112" s="9" t="b">
        <v>1</v>
      </c>
      <c r="W1112" s="9" t="s">
        <v>3574</v>
      </c>
    </row>
    <row r="1113" spans="1:23" ht="29" customHeight="1" x14ac:dyDescent="0.2">
      <c r="A1113" s="9" t="s">
        <v>3575</v>
      </c>
      <c r="B1113" s="10" t="s">
        <v>3576</v>
      </c>
      <c r="C1113" s="9" t="s">
        <v>1741</v>
      </c>
      <c r="D1113" s="9" t="s">
        <v>1741</v>
      </c>
      <c r="E1113" s="9" t="s">
        <v>2913</v>
      </c>
      <c r="F1113" s="9" t="s">
        <v>3059</v>
      </c>
      <c r="G1113" s="9">
        <v>1547</v>
      </c>
      <c r="H1113" s="9">
        <v>2890</v>
      </c>
      <c r="I1113" s="9">
        <v>46</v>
      </c>
      <c r="J1113" s="11">
        <v>3.9</v>
      </c>
      <c r="K1113" s="9">
        <v>463</v>
      </c>
      <c r="L1113" s="9">
        <v>4.0644039975578794</v>
      </c>
      <c r="M1113" s="9" t="s">
        <v>89</v>
      </c>
      <c r="N1113" s="9" t="s">
        <v>179</v>
      </c>
      <c r="O1113" s="9">
        <v>36.200000000000003</v>
      </c>
      <c r="P1113" s="9" t="s">
        <v>40</v>
      </c>
      <c r="Q1113" s="9" t="b">
        <v>0</v>
      </c>
      <c r="R1113" s="9" t="b">
        <v>0</v>
      </c>
      <c r="S1113" s="9" t="b">
        <v>0</v>
      </c>
      <c r="U1113" s="9">
        <v>1</v>
      </c>
      <c r="V1113" s="9" t="b">
        <v>1</v>
      </c>
      <c r="W1113" s="9" t="s">
        <v>3577</v>
      </c>
    </row>
    <row r="1114" spans="1:23" ht="29" customHeight="1" x14ac:dyDescent="0.2">
      <c r="A1114" s="9" t="s">
        <v>3578</v>
      </c>
      <c r="B1114" s="10" t="s">
        <v>3579</v>
      </c>
      <c r="C1114" s="9" t="s">
        <v>1741</v>
      </c>
      <c r="D1114" s="9" t="s">
        <v>1741</v>
      </c>
      <c r="E1114" s="9" t="s">
        <v>2913</v>
      </c>
      <c r="F1114" s="9" t="s">
        <v>2965</v>
      </c>
      <c r="G1114" s="9">
        <v>499</v>
      </c>
      <c r="H1114" s="9">
        <v>1299</v>
      </c>
      <c r="I1114" s="9">
        <v>62</v>
      </c>
      <c r="J1114" s="11">
        <v>4.7</v>
      </c>
      <c r="K1114" s="9">
        <v>54</v>
      </c>
      <c r="L1114" s="9">
        <v>4.0933418293412327</v>
      </c>
      <c r="M1114" s="9" t="s">
        <v>204</v>
      </c>
      <c r="N1114" s="9" t="s">
        <v>29</v>
      </c>
      <c r="O1114" s="9">
        <v>62.3</v>
      </c>
      <c r="P1114" s="9" t="s">
        <v>36</v>
      </c>
      <c r="Q1114" s="9" t="b">
        <v>0</v>
      </c>
      <c r="R1114" s="9" t="b">
        <v>0</v>
      </c>
      <c r="S1114" s="9" t="b">
        <v>0</v>
      </c>
      <c r="T1114" s="9">
        <v>0.71</v>
      </c>
      <c r="U1114" s="9">
        <v>1</v>
      </c>
      <c r="V1114" s="9" t="b">
        <v>1</v>
      </c>
      <c r="W1114" s="9" t="s">
        <v>3580</v>
      </c>
    </row>
    <row r="1115" spans="1:23" ht="29" customHeight="1" x14ac:dyDescent="0.2">
      <c r="A1115" s="9" t="s">
        <v>3581</v>
      </c>
      <c r="B1115" s="10" t="s">
        <v>3582</v>
      </c>
      <c r="C1115" s="9" t="s">
        <v>1741</v>
      </c>
      <c r="D1115" s="9" t="s">
        <v>1741</v>
      </c>
      <c r="E1115" s="9" t="s">
        <v>2918</v>
      </c>
      <c r="F1115" s="9" t="s">
        <v>3017</v>
      </c>
      <c r="G1115" s="9">
        <v>510</v>
      </c>
      <c r="H1115" s="9">
        <v>640</v>
      </c>
      <c r="I1115" s="9">
        <v>20</v>
      </c>
      <c r="J1115" s="11">
        <v>4.0999999999999996</v>
      </c>
      <c r="K1115" s="9">
        <v>7229</v>
      </c>
      <c r="L1115" s="9">
        <v>4.0947403986426618</v>
      </c>
      <c r="M1115" s="9" t="s">
        <v>28</v>
      </c>
      <c r="N1115" s="9" t="s">
        <v>93</v>
      </c>
      <c r="O1115" s="9">
        <v>46.1</v>
      </c>
      <c r="P1115" s="9" t="s">
        <v>30</v>
      </c>
      <c r="Q1115" s="9" t="b">
        <v>0</v>
      </c>
      <c r="R1115" s="9" t="b">
        <v>0</v>
      </c>
      <c r="S1115" s="9" t="b">
        <v>0</v>
      </c>
      <c r="U1115" s="9">
        <v>1</v>
      </c>
      <c r="V1115" s="9" t="b">
        <v>1</v>
      </c>
      <c r="W1115" s="9" t="s">
        <v>3583</v>
      </c>
    </row>
    <row r="1116" spans="1:23" ht="29" customHeight="1" x14ac:dyDescent="0.2">
      <c r="A1116" s="9" t="s">
        <v>3584</v>
      </c>
      <c r="B1116" s="10" t="s">
        <v>3585</v>
      </c>
      <c r="C1116" s="9" t="s">
        <v>1741</v>
      </c>
      <c r="D1116" s="9" t="s">
        <v>1741</v>
      </c>
      <c r="E1116" s="9" t="s">
        <v>2918</v>
      </c>
      <c r="F1116" s="9" t="s">
        <v>2977</v>
      </c>
      <c r="G1116" s="9">
        <v>1899</v>
      </c>
      <c r="H1116" s="9">
        <v>3790</v>
      </c>
      <c r="I1116" s="9">
        <v>50</v>
      </c>
      <c r="J1116" s="11">
        <v>3.8</v>
      </c>
      <c r="K1116" s="9">
        <v>3842</v>
      </c>
      <c r="L1116" s="9">
        <v>3.9408296524006592</v>
      </c>
      <c r="M1116" s="9" t="s">
        <v>28</v>
      </c>
      <c r="N1116" s="9" t="s">
        <v>179</v>
      </c>
      <c r="O1116" s="9">
        <v>30.9</v>
      </c>
      <c r="P1116" s="9" t="s">
        <v>40</v>
      </c>
      <c r="Q1116" s="9" t="b">
        <v>0</v>
      </c>
      <c r="R1116" s="9" t="b">
        <v>0</v>
      </c>
      <c r="S1116" s="9" t="b">
        <v>1</v>
      </c>
      <c r="T1116" s="9">
        <v>0.73</v>
      </c>
      <c r="U1116" s="9">
        <v>1</v>
      </c>
      <c r="V1116" s="9" t="b">
        <v>1</v>
      </c>
      <c r="W1116" s="9" t="s">
        <v>3586</v>
      </c>
    </row>
    <row r="1117" spans="1:23" ht="29" customHeight="1" x14ac:dyDescent="0.2">
      <c r="A1117" s="9" t="s">
        <v>3587</v>
      </c>
      <c r="B1117" s="10" t="s">
        <v>3588</v>
      </c>
      <c r="C1117" s="9" t="s">
        <v>1741</v>
      </c>
      <c r="D1117" s="9" t="s">
        <v>1741</v>
      </c>
      <c r="E1117" s="9" t="s">
        <v>2918</v>
      </c>
      <c r="F1117" s="9" t="s">
        <v>2977</v>
      </c>
      <c r="G1117" s="12">
        <v>2599</v>
      </c>
      <c r="H1117" s="9">
        <v>4560</v>
      </c>
      <c r="I1117" s="9">
        <v>43</v>
      </c>
      <c r="J1117" s="11">
        <v>4.4000000000000004</v>
      </c>
      <c r="K1117" s="9">
        <v>646</v>
      </c>
      <c r="L1117" s="9">
        <v>4.1308470209097914</v>
      </c>
      <c r="M1117" s="9" t="s">
        <v>89</v>
      </c>
      <c r="N1117" s="9" t="s">
        <v>144</v>
      </c>
      <c r="O1117" s="9">
        <v>51.3</v>
      </c>
      <c r="P1117" s="9" t="s">
        <v>53</v>
      </c>
      <c r="Q1117" s="9" t="b">
        <v>0</v>
      </c>
      <c r="R1117" s="9" t="b">
        <v>0</v>
      </c>
      <c r="S1117" s="9" t="b">
        <v>0</v>
      </c>
      <c r="T1117" s="9">
        <v>1</v>
      </c>
      <c r="U1117" s="9">
        <v>1</v>
      </c>
      <c r="V1117" s="9" t="b">
        <v>1</v>
      </c>
      <c r="W1117" s="9" t="s">
        <v>3589</v>
      </c>
    </row>
    <row r="1118" spans="1:23" ht="29" customHeight="1" x14ac:dyDescent="0.2">
      <c r="A1118" s="9" t="s">
        <v>3590</v>
      </c>
      <c r="B1118" s="10" t="s">
        <v>3591</v>
      </c>
      <c r="C1118" s="9" t="s">
        <v>1741</v>
      </c>
      <c r="D1118" s="9" t="s">
        <v>1741</v>
      </c>
      <c r="E1118" s="9" t="s">
        <v>2913</v>
      </c>
      <c r="F1118" s="9" t="s">
        <v>3078</v>
      </c>
      <c r="G1118" s="12">
        <v>1199</v>
      </c>
      <c r="H1118" s="9">
        <v>3500</v>
      </c>
      <c r="I1118" s="9">
        <v>66</v>
      </c>
      <c r="J1118" s="11">
        <v>4.3</v>
      </c>
      <c r="K1118" s="9">
        <v>1802</v>
      </c>
      <c r="L1118" s="9">
        <v>4.1543784871382554</v>
      </c>
      <c r="M1118" s="9" t="s">
        <v>28</v>
      </c>
      <c r="N1118" s="9" t="s">
        <v>179</v>
      </c>
      <c r="O1118" s="9">
        <v>67.900000000000006</v>
      </c>
      <c r="P1118" s="9" t="s">
        <v>36</v>
      </c>
      <c r="Q1118" s="9" t="b">
        <v>0</v>
      </c>
      <c r="R1118" s="9" t="b">
        <v>0</v>
      </c>
      <c r="S1118" s="9" t="b">
        <v>0</v>
      </c>
      <c r="T1118" s="9">
        <v>1.72</v>
      </c>
      <c r="U1118" s="9">
        <v>1</v>
      </c>
      <c r="V1118" s="9" t="b">
        <v>1</v>
      </c>
      <c r="W1118" s="9" t="s">
        <v>3592</v>
      </c>
    </row>
    <row r="1119" spans="1:23" ht="29" customHeight="1" x14ac:dyDescent="0.2">
      <c r="A1119" s="9" t="s">
        <v>3593</v>
      </c>
      <c r="B1119" s="10" t="s">
        <v>3594</v>
      </c>
      <c r="C1119" s="9" t="s">
        <v>1741</v>
      </c>
      <c r="D1119" s="9" t="s">
        <v>1741</v>
      </c>
      <c r="E1119" s="9" t="s">
        <v>2918</v>
      </c>
      <c r="F1119" s="9" t="s">
        <v>2977</v>
      </c>
      <c r="G1119" s="12">
        <v>999</v>
      </c>
      <c r="H1119" s="9">
        <v>2600</v>
      </c>
      <c r="I1119" s="9">
        <v>62</v>
      </c>
      <c r="J1119" s="11">
        <v>3.4</v>
      </c>
      <c r="K1119" s="9">
        <v>252</v>
      </c>
      <c r="L1119" s="9">
        <v>4.04165875991551</v>
      </c>
      <c r="M1119" s="9" t="s">
        <v>89</v>
      </c>
      <c r="N1119" s="9" t="s">
        <v>93</v>
      </c>
      <c r="O1119" s="9">
        <v>49.2</v>
      </c>
      <c r="P1119" s="9" t="s">
        <v>30</v>
      </c>
      <c r="Q1119" s="9" t="b">
        <v>0</v>
      </c>
      <c r="R1119" s="9" t="b">
        <v>0</v>
      </c>
      <c r="S1119" s="9" t="b">
        <v>1</v>
      </c>
      <c r="T1119" s="9">
        <v>0.38</v>
      </c>
      <c r="U1119" s="9">
        <v>1</v>
      </c>
      <c r="V1119" s="9" t="b">
        <v>1</v>
      </c>
      <c r="W1119" s="9" t="s">
        <v>3595</v>
      </c>
    </row>
    <row r="1120" spans="1:23" ht="29" customHeight="1" x14ac:dyDescent="0.2">
      <c r="A1120" s="9" t="s">
        <v>3596</v>
      </c>
      <c r="B1120" s="10" t="s">
        <v>3597</v>
      </c>
      <c r="C1120" s="9" t="s">
        <v>1741</v>
      </c>
      <c r="D1120" s="9" t="s">
        <v>1741</v>
      </c>
      <c r="E1120" s="9" t="s">
        <v>2913</v>
      </c>
      <c r="F1120" s="9" t="s">
        <v>2952</v>
      </c>
      <c r="G1120" s="12">
        <v>1999</v>
      </c>
      <c r="H1120" s="9">
        <v>3300</v>
      </c>
      <c r="I1120" s="9">
        <v>39</v>
      </c>
      <c r="J1120" s="11">
        <v>4.2</v>
      </c>
      <c r="K1120" s="9">
        <v>780</v>
      </c>
      <c r="L1120" s="9">
        <v>4.1044444890876868</v>
      </c>
      <c r="M1120" s="9" t="s">
        <v>89</v>
      </c>
      <c r="N1120" s="9" t="s">
        <v>179</v>
      </c>
      <c r="O1120" s="9">
        <v>45.9</v>
      </c>
      <c r="P1120" s="9" t="s">
        <v>30</v>
      </c>
      <c r="Q1120" s="9" t="b">
        <v>0</v>
      </c>
      <c r="R1120" s="9" t="b">
        <v>0</v>
      </c>
      <c r="S1120" s="9" t="b">
        <v>0</v>
      </c>
      <c r="T1120" s="9">
        <v>0.98</v>
      </c>
      <c r="U1120" s="9">
        <v>1</v>
      </c>
      <c r="V1120" s="9" t="b">
        <v>1</v>
      </c>
      <c r="W1120" s="9" t="s">
        <v>3598</v>
      </c>
    </row>
    <row r="1121" spans="1:23" ht="29" customHeight="1" x14ac:dyDescent="0.2">
      <c r="A1121" s="9" t="s">
        <v>3599</v>
      </c>
      <c r="B1121" s="10" t="s">
        <v>3600</v>
      </c>
      <c r="C1121" s="9" t="s">
        <v>1741</v>
      </c>
      <c r="D1121" s="9" t="s">
        <v>1741</v>
      </c>
      <c r="E1121" s="9" t="s">
        <v>2913</v>
      </c>
      <c r="F1121" s="9" t="s">
        <v>2965</v>
      </c>
      <c r="G1121" s="12">
        <v>210</v>
      </c>
      <c r="H1121" s="9">
        <v>699</v>
      </c>
      <c r="I1121" s="9">
        <v>70</v>
      </c>
      <c r="J1121" s="11">
        <v>3.7</v>
      </c>
      <c r="K1121" s="9">
        <v>74</v>
      </c>
      <c r="L1121" s="9">
        <v>4.0772159759366131</v>
      </c>
      <c r="M1121" s="9" t="s">
        <v>204</v>
      </c>
      <c r="N1121" s="9" t="s">
        <v>29</v>
      </c>
      <c r="O1121" s="9">
        <v>61</v>
      </c>
      <c r="P1121" s="9" t="s">
        <v>36</v>
      </c>
      <c r="Q1121" s="9" t="b">
        <v>0</v>
      </c>
      <c r="R1121" s="9" t="b">
        <v>0</v>
      </c>
      <c r="S1121" s="9" t="b">
        <v>1</v>
      </c>
      <c r="T1121" s="9">
        <v>0.3</v>
      </c>
      <c r="U1121" s="9">
        <v>1</v>
      </c>
      <c r="V1121" s="9" t="b">
        <v>1</v>
      </c>
      <c r="W1121" s="9" t="s">
        <v>3601</v>
      </c>
    </row>
    <row r="1122" spans="1:23" ht="29" customHeight="1" x14ac:dyDescent="0.2">
      <c r="A1122" s="9" t="s">
        <v>3602</v>
      </c>
      <c r="B1122" s="10" t="s">
        <v>3603</v>
      </c>
      <c r="C1122" s="9" t="s">
        <v>1741</v>
      </c>
      <c r="D1122" s="9" t="s">
        <v>1741</v>
      </c>
      <c r="E1122" s="9" t="s">
        <v>2918</v>
      </c>
      <c r="F1122" s="9" t="s">
        <v>3411</v>
      </c>
      <c r="G1122" s="12">
        <v>14499</v>
      </c>
      <c r="H1122" s="9">
        <v>23559</v>
      </c>
      <c r="I1122" s="9">
        <v>38</v>
      </c>
      <c r="J1122" s="11">
        <v>4.3</v>
      </c>
      <c r="K1122" s="9">
        <v>2026</v>
      </c>
      <c r="L1122" s="9">
        <v>4.1600136635882894</v>
      </c>
      <c r="M1122" s="9" t="s">
        <v>28</v>
      </c>
      <c r="N1122" s="9" t="s">
        <v>58</v>
      </c>
      <c r="O1122" s="9">
        <v>45.8</v>
      </c>
      <c r="P1122" s="9" t="s">
        <v>30</v>
      </c>
      <c r="Q1122" s="9" t="b">
        <v>0</v>
      </c>
      <c r="R1122" s="9" t="b">
        <v>0</v>
      </c>
      <c r="S1122" s="9" t="b">
        <v>0</v>
      </c>
      <c r="U1122" s="9">
        <v>1</v>
      </c>
      <c r="V1122" s="9" t="b">
        <v>1</v>
      </c>
      <c r="W1122" s="9" t="s">
        <v>3604</v>
      </c>
    </row>
    <row r="1123" spans="1:23" ht="29" customHeight="1" x14ac:dyDescent="0.2">
      <c r="A1123" s="9" t="s">
        <v>3605</v>
      </c>
      <c r="B1123" s="10" t="s">
        <v>3606</v>
      </c>
      <c r="C1123" s="9" t="s">
        <v>1741</v>
      </c>
      <c r="D1123" s="9" t="s">
        <v>1741</v>
      </c>
      <c r="E1123" s="9" t="s">
        <v>3031</v>
      </c>
      <c r="F1123" s="9" t="s">
        <v>3032</v>
      </c>
      <c r="G1123" s="12">
        <v>950</v>
      </c>
      <c r="H1123" s="9">
        <v>1599</v>
      </c>
      <c r="I1123" s="9">
        <v>41</v>
      </c>
      <c r="J1123" s="11">
        <v>4.3</v>
      </c>
      <c r="K1123" s="9">
        <v>5911</v>
      </c>
      <c r="L1123" s="9">
        <v>4.2162339475557777</v>
      </c>
      <c r="M1123" s="9" t="s">
        <v>28</v>
      </c>
      <c r="N1123" s="9" t="s">
        <v>93</v>
      </c>
      <c r="O1123" s="9">
        <v>56.2</v>
      </c>
      <c r="P1123" s="9" t="s">
        <v>53</v>
      </c>
      <c r="Q1123" s="9" t="b">
        <v>0</v>
      </c>
      <c r="R1123" s="9" t="b">
        <v>0</v>
      </c>
      <c r="S1123" s="9" t="b">
        <v>0</v>
      </c>
      <c r="T1123" s="9">
        <v>2.71</v>
      </c>
      <c r="U1123" s="9">
        <v>1</v>
      </c>
      <c r="V1123" s="9" t="b">
        <v>1</v>
      </c>
      <c r="W1123" s="9" t="s">
        <v>3607</v>
      </c>
    </row>
    <row r="1124" spans="1:23" ht="29" customHeight="1" x14ac:dyDescent="0.2">
      <c r="A1124" s="9" t="s">
        <v>3608</v>
      </c>
      <c r="B1124" s="10" t="s">
        <v>3609</v>
      </c>
      <c r="C1124" s="9" t="s">
        <v>1741</v>
      </c>
      <c r="D1124" s="9" t="s">
        <v>1741</v>
      </c>
      <c r="E1124" s="9" t="s">
        <v>2913</v>
      </c>
      <c r="F1124" s="9" t="s">
        <v>3027</v>
      </c>
      <c r="G1124" s="12">
        <v>7199</v>
      </c>
      <c r="H1124" s="9">
        <v>9995</v>
      </c>
      <c r="I1124" s="9">
        <v>28</v>
      </c>
      <c r="J1124" s="11">
        <v>4.4000000000000004</v>
      </c>
      <c r="K1124" s="9">
        <v>1964</v>
      </c>
      <c r="L1124" s="9">
        <v>4.1927947422825138</v>
      </c>
      <c r="M1124" s="9" t="s">
        <v>28</v>
      </c>
      <c r="N1124" s="9" t="s">
        <v>144</v>
      </c>
      <c r="O1124" s="9">
        <v>47.7</v>
      </c>
      <c r="P1124" s="9" t="s">
        <v>30</v>
      </c>
      <c r="Q1124" s="9" t="b">
        <v>0</v>
      </c>
      <c r="R1124" s="9" t="b">
        <v>0</v>
      </c>
      <c r="S1124" s="9" t="b">
        <v>0</v>
      </c>
      <c r="U1124" s="9">
        <v>1</v>
      </c>
      <c r="V1124" s="9" t="b">
        <v>1</v>
      </c>
      <c r="W1124" s="9" t="s">
        <v>3610</v>
      </c>
    </row>
    <row r="1125" spans="1:23" ht="29" customHeight="1" x14ac:dyDescent="0.2">
      <c r="A1125" s="9" t="s">
        <v>3611</v>
      </c>
      <c r="B1125" s="10" t="s">
        <v>3612</v>
      </c>
      <c r="C1125" s="9" t="s">
        <v>1741</v>
      </c>
      <c r="D1125" s="9" t="s">
        <v>1741</v>
      </c>
      <c r="E1125" s="9" t="s">
        <v>2918</v>
      </c>
      <c r="F1125" s="9" t="s">
        <v>2919</v>
      </c>
      <c r="G1125" s="12">
        <v>2439</v>
      </c>
      <c r="H1125" s="9">
        <v>2545</v>
      </c>
      <c r="I1125" s="9">
        <v>4</v>
      </c>
      <c r="J1125" s="11">
        <v>4.0999999999999996</v>
      </c>
      <c r="K1125" s="9">
        <v>25</v>
      </c>
      <c r="L1125" s="9">
        <v>4.0847363938431194</v>
      </c>
      <c r="M1125" s="9" t="s">
        <v>204</v>
      </c>
      <c r="N1125" s="9" t="s">
        <v>179</v>
      </c>
      <c r="O1125" s="9">
        <v>27.8</v>
      </c>
      <c r="P1125" s="9" t="s">
        <v>40</v>
      </c>
      <c r="Q1125" s="9" t="b">
        <v>0</v>
      </c>
      <c r="R1125" s="9" t="b">
        <v>0</v>
      </c>
      <c r="S1125" s="9" t="b">
        <v>0</v>
      </c>
      <c r="T1125" s="9">
        <v>1.85</v>
      </c>
      <c r="U1125" s="9">
        <v>1</v>
      </c>
      <c r="V1125" s="9" t="b">
        <v>1</v>
      </c>
      <c r="W1125" s="9" t="s">
        <v>3613</v>
      </c>
    </row>
    <row r="1126" spans="1:23" ht="29" customHeight="1" x14ac:dyDescent="0.2">
      <c r="A1126" s="9" t="s">
        <v>3614</v>
      </c>
      <c r="B1126" s="10" t="s">
        <v>3615</v>
      </c>
      <c r="C1126" s="9" t="s">
        <v>1741</v>
      </c>
      <c r="D1126" s="9" t="s">
        <v>1741</v>
      </c>
      <c r="E1126" s="9" t="s">
        <v>2913</v>
      </c>
      <c r="F1126" s="9" t="s">
        <v>3036</v>
      </c>
      <c r="G1126" s="12">
        <v>7799</v>
      </c>
      <c r="H1126" s="9">
        <v>8995</v>
      </c>
      <c r="I1126" s="9">
        <v>13</v>
      </c>
      <c r="J1126" s="11">
        <v>4</v>
      </c>
      <c r="K1126" s="9">
        <v>3160</v>
      </c>
      <c r="L1126" s="9">
        <v>4.0460005910698174</v>
      </c>
      <c r="M1126" s="9" t="s">
        <v>28</v>
      </c>
      <c r="N1126" s="9" t="s">
        <v>144</v>
      </c>
      <c r="O1126" s="9">
        <v>16.8</v>
      </c>
      <c r="P1126" s="9" t="s">
        <v>40</v>
      </c>
      <c r="Q1126" s="9" t="b">
        <v>0</v>
      </c>
      <c r="R1126" s="9" t="b">
        <v>1</v>
      </c>
      <c r="S1126" s="9" t="b">
        <v>0</v>
      </c>
      <c r="T1126" s="9">
        <v>2.56</v>
      </c>
      <c r="U1126" s="9">
        <v>1</v>
      </c>
      <c r="V1126" s="9" t="b">
        <v>1</v>
      </c>
      <c r="W1126" s="9" t="s">
        <v>3616</v>
      </c>
    </row>
    <row r="1127" spans="1:23" ht="29" customHeight="1" x14ac:dyDescent="0.2">
      <c r="A1127" s="9" t="s">
        <v>3617</v>
      </c>
      <c r="B1127" s="10" t="s">
        <v>3618</v>
      </c>
      <c r="C1127" s="9" t="s">
        <v>1741</v>
      </c>
      <c r="D1127" s="9" t="s">
        <v>1741</v>
      </c>
      <c r="E1127" s="9" t="s">
        <v>2913</v>
      </c>
      <c r="F1127" s="9" t="s">
        <v>3128</v>
      </c>
      <c r="G1127" s="12">
        <v>1599</v>
      </c>
      <c r="H1127" s="9">
        <v>1999</v>
      </c>
      <c r="I1127" s="9">
        <v>20</v>
      </c>
      <c r="J1127" s="11">
        <v>4.4000000000000004</v>
      </c>
      <c r="K1127" s="9">
        <v>1558</v>
      </c>
      <c r="L1127" s="9">
        <v>4.1769831955043353</v>
      </c>
      <c r="M1127" s="9" t="s">
        <v>28</v>
      </c>
      <c r="N1127" s="9" t="s">
        <v>179</v>
      </c>
      <c r="O1127" s="9">
        <v>47.4</v>
      </c>
      <c r="P1127" s="9" t="s">
        <v>30</v>
      </c>
      <c r="Q1127" s="9" t="b">
        <v>0</v>
      </c>
      <c r="R1127" s="9" t="b">
        <v>0</v>
      </c>
      <c r="S1127" s="9" t="b">
        <v>0</v>
      </c>
      <c r="U1127" s="9">
        <v>1</v>
      </c>
      <c r="V1127" s="9" t="b">
        <v>1</v>
      </c>
      <c r="W1127" s="9" t="s">
        <v>3619</v>
      </c>
    </row>
    <row r="1128" spans="1:23" ht="29" customHeight="1" x14ac:dyDescent="0.2">
      <c r="A1128" s="9" t="s">
        <v>3620</v>
      </c>
      <c r="B1128" s="10" t="s">
        <v>3621</v>
      </c>
      <c r="C1128" s="9" t="s">
        <v>1741</v>
      </c>
      <c r="D1128" s="9" t="s">
        <v>1741</v>
      </c>
      <c r="E1128" s="9" t="s">
        <v>2913</v>
      </c>
      <c r="F1128" s="9" t="s">
        <v>2973</v>
      </c>
      <c r="G1128" s="12">
        <v>2899</v>
      </c>
      <c r="H1128" s="9">
        <v>5500</v>
      </c>
      <c r="I1128" s="9">
        <v>47</v>
      </c>
      <c r="J1128" s="11">
        <v>3.8</v>
      </c>
      <c r="K1128" s="9">
        <v>8958</v>
      </c>
      <c r="L1128" s="9">
        <v>3.8841900154617202</v>
      </c>
      <c r="M1128" s="9" t="s">
        <v>28</v>
      </c>
      <c r="N1128" s="9" t="s">
        <v>144</v>
      </c>
      <c r="O1128" s="9">
        <v>21.3</v>
      </c>
      <c r="P1128" s="9" t="s">
        <v>40</v>
      </c>
      <c r="Q1128" s="9" t="b">
        <v>0</v>
      </c>
      <c r="R1128" s="9" t="b">
        <v>0</v>
      </c>
      <c r="S1128" s="9" t="b">
        <v>1</v>
      </c>
      <c r="T1128" s="9">
        <v>1</v>
      </c>
      <c r="U1128" s="9">
        <v>1</v>
      </c>
      <c r="V1128" s="9" t="b">
        <v>1</v>
      </c>
      <c r="W1128" s="9" t="s">
        <v>3622</v>
      </c>
    </row>
    <row r="1129" spans="1:23" ht="29" customHeight="1" x14ac:dyDescent="0.2">
      <c r="A1129" s="9" t="s">
        <v>3623</v>
      </c>
      <c r="B1129" s="10" t="s">
        <v>3624</v>
      </c>
      <c r="C1129" s="9" t="s">
        <v>1741</v>
      </c>
      <c r="D1129" s="9" t="s">
        <v>1741</v>
      </c>
      <c r="E1129" s="9" t="s">
        <v>2913</v>
      </c>
      <c r="F1129" s="9" t="s">
        <v>3468</v>
      </c>
      <c r="G1129" s="12">
        <v>9799</v>
      </c>
      <c r="H1129" s="9">
        <v>12150</v>
      </c>
      <c r="I1129" s="9">
        <v>19</v>
      </c>
      <c r="J1129" s="11">
        <v>4.3</v>
      </c>
      <c r="K1129" s="9">
        <v>13251</v>
      </c>
      <c r="L1129" s="9">
        <v>4.2523724743104481</v>
      </c>
      <c r="M1129" s="9" t="s">
        <v>28</v>
      </c>
      <c r="N1129" s="9" t="s">
        <v>144</v>
      </c>
      <c r="O1129" s="9">
        <v>47.4</v>
      </c>
      <c r="P1129" s="9" t="s">
        <v>30</v>
      </c>
      <c r="Q1129" s="9" t="b">
        <v>0</v>
      </c>
      <c r="R1129" s="9" t="b">
        <v>0</v>
      </c>
      <c r="S1129" s="9" t="b">
        <v>0</v>
      </c>
      <c r="U1129" s="9">
        <v>1</v>
      </c>
      <c r="V1129" s="9" t="b">
        <v>1</v>
      </c>
      <c r="W1129" s="9" t="s">
        <v>3625</v>
      </c>
    </row>
    <row r="1130" spans="1:23" ht="29" customHeight="1" x14ac:dyDescent="0.2">
      <c r="A1130" s="9" t="s">
        <v>3626</v>
      </c>
      <c r="B1130" s="10" t="s">
        <v>3627</v>
      </c>
      <c r="C1130" s="9" t="s">
        <v>1741</v>
      </c>
      <c r="D1130" s="9" t="s">
        <v>1741</v>
      </c>
      <c r="E1130" s="9" t="s">
        <v>2913</v>
      </c>
      <c r="F1130" s="9" t="s">
        <v>3036</v>
      </c>
      <c r="G1130" s="12">
        <v>3299</v>
      </c>
      <c r="H1130" s="9">
        <v>4995</v>
      </c>
      <c r="I1130" s="9">
        <v>34</v>
      </c>
      <c r="J1130" s="11">
        <v>3.8</v>
      </c>
      <c r="K1130" s="9">
        <v>1393</v>
      </c>
      <c r="L1130" s="9">
        <v>4.0077274932946976</v>
      </c>
      <c r="M1130" s="9" t="s">
        <v>28</v>
      </c>
      <c r="N1130" s="9" t="s">
        <v>144</v>
      </c>
      <c r="O1130" s="9">
        <v>20.100000000000001</v>
      </c>
      <c r="P1130" s="9" t="s">
        <v>40</v>
      </c>
      <c r="Q1130" s="9" t="b">
        <v>0</v>
      </c>
      <c r="R1130" s="9" t="b">
        <v>0</v>
      </c>
      <c r="S1130" s="9" t="b">
        <v>1</v>
      </c>
      <c r="T1130" s="9">
        <v>1.08</v>
      </c>
      <c r="U1130" s="9">
        <v>1</v>
      </c>
      <c r="V1130" s="9" t="b">
        <v>1</v>
      </c>
      <c r="W1130" s="9" t="s">
        <v>3628</v>
      </c>
    </row>
    <row r="1131" spans="1:23" ht="29" customHeight="1" x14ac:dyDescent="0.2">
      <c r="A1131" s="9" t="s">
        <v>3629</v>
      </c>
      <c r="B1131" s="10" t="s">
        <v>3630</v>
      </c>
      <c r="C1131" s="9" t="s">
        <v>1741</v>
      </c>
      <c r="D1131" s="9" t="s">
        <v>1741</v>
      </c>
      <c r="E1131" s="9" t="s">
        <v>2913</v>
      </c>
      <c r="F1131" s="9" t="s">
        <v>2965</v>
      </c>
      <c r="G1131" s="12">
        <v>669</v>
      </c>
      <c r="H1131" s="9">
        <v>1499</v>
      </c>
      <c r="I1131" s="9">
        <v>55</v>
      </c>
      <c r="J1131" s="11">
        <v>2.2999999999999998</v>
      </c>
      <c r="K1131" s="9">
        <v>13</v>
      </c>
      <c r="L1131" s="9">
        <v>4.0784900256074206</v>
      </c>
      <c r="M1131" s="9" t="s">
        <v>204</v>
      </c>
      <c r="N1131" s="9" t="s">
        <v>93</v>
      </c>
      <c r="O1131" s="9">
        <v>50.1</v>
      </c>
      <c r="P1131" s="9" t="s">
        <v>30</v>
      </c>
      <c r="Q1131" s="9" t="b">
        <v>0</v>
      </c>
      <c r="R1131" s="9" t="b">
        <v>0</v>
      </c>
      <c r="S1131" s="9" t="b">
        <v>1</v>
      </c>
      <c r="T1131" s="9">
        <v>0.96</v>
      </c>
      <c r="U1131" s="9">
        <v>1</v>
      </c>
      <c r="V1131" s="9" t="b">
        <v>1</v>
      </c>
      <c r="W1131" s="9" t="s">
        <v>3631</v>
      </c>
    </row>
    <row r="1132" spans="1:23" ht="29" customHeight="1" x14ac:dyDescent="0.2">
      <c r="A1132" s="9" t="s">
        <v>3632</v>
      </c>
      <c r="B1132" s="10" t="s">
        <v>3633</v>
      </c>
      <c r="C1132" s="9" t="s">
        <v>1741</v>
      </c>
      <c r="D1132" s="9" t="s">
        <v>1741</v>
      </c>
      <c r="E1132" s="9" t="s">
        <v>2913</v>
      </c>
      <c r="F1132" s="9" t="s">
        <v>3049</v>
      </c>
      <c r="G1132" s="12">
        <v>5890</v>
      </c>
      <c r="H1132" s="9">
        <v>7506</v>
      </c>
      <c r="I1132" s="9">
        <v>22</v>
      </c>
      <c r="J1132" s="11">
        <v>4.5</v>
      </c>
      <c r="K1132" s="9">
        <v>7241</v>
      </c>
      <c r="L1132" s="9">
        <v>4.3579714719571783</v>
      </c>
      <c r="M1132" s="9" t="s">
        <v>28</v>
      </c>
      <c r="N1132" s="9" t="s">
        <v>144</v>
      </c>
      <c r="O1132" s="9">
        <v>54.4</v>
      </c>
      <c r="P1132" s="9" t="s">
        <v>53</v>
      </c>
      <c r="Q1132" s="9" t="b">
        <v>0</v>
      </c>
      <c r="R1132" s="9" t="b">
        <v>0</v>
      </c>
      <c r="S1132" s="9" t="b">
        <v>0</v>
      </c>
      <c r="T1132" s="9">
        <v>2.52</v>
      </c>
      <c r="U1132" s="9">
        <v>1</v>
      </c>
      <c r="V1132" s="9" t="b">
        <v>1</v>
      </c>
      <c r="W1132" s="9" t="s">
        <v>3634</v>
      </c>
    </row>
    <row r="1133" spans="1:23" ht="29" customHeight="1" x14ac:dyDescent="0.2">
      <c r="A1133" s="9" t="s">
        <v>3635</v>
      </c>
      <c r="B1133" s="10" t="s">
        <v>3636</v>
      </c>
      <c r="C1133" s="9" t="s">
        <v>1741</v>
      </c>
      <c r="D1133" s="9" t="s">
        <v>1741</v>
      </c>
      <c r="E1133" s="9" t="s">
        <v>2913</v>
      </c>
      <c r="F1133" s="9" t="s">
        <v>3415</v>
      </c>
      <c r="G1133" s="12">
        <v>9199</v>
      </c>
      <c r="H1133" s="9">
        <v>18000</v>
      </c>
      <c r="I1133" s="9">
        <v>49</v>
      </c>
      <c r="J1133" s="11">
        <v>4</v>
      </c>
      <c r="K1133" s="9">
        <v>16020</v>
      </c>
      <c r="L1133" s="9">
        <v>4.0160970095630386</v>
      </c>
      <c r="M1133" s="9" t="s">
        <v>28</v>
      </c>
      <c r="N1133" s="9" t="s">
        <v>144</v>
      </c>
      <c r="O1133" s="9">
        <v>24.8</v>
      </c>
      <c r="P1133" s="9" t="s">
        <v>40</v>
      </c>
      <c r="Q1133" s="9" t="b">
        <v>0</v>
      </c>
      <c r="R1133" s="9" t="b">
        <v>0</v>
      </c>
      <c r="S1133" s="9" t="b">
        <v>0</v>
      </c>
      <c r="T1133" s="9">
        <v>1.35</v>
      </c>
      <c r="U1133" s="9">
        <v>1</v>
      </c>
      <c r="V1133" s="9" t="b">
        <v>1</v>
      </c>
      <c r="W1133" s="9" t="s">
        <v>3637</v>
      </c>
    </row>
    <row r="1134" spans="1:23" ht="29" customHeight="1" x14ac:dyDescent="0.2">
      <c r="A1134" s="9" t="s">
        <v>3638</v>
      </c>
      <c r="B1134" s="10" t="s">
        <v>3639</v>
      </c>
      <c r="C1134" s="9" t="s">
        <v>1741</v>
      </c>
      <c r="D1134" s="9" t="s">
        <v>1741</v>
      </c>
      <c r="E1134" s="9" t="s">
        <v>3031</v>
      </c>
      <c r="F1134" s="9" t="s">
        <v>3032</v>
      </c>
      <c r="G1134" s="12">
        <v>351</v>
      </c>
      <c r="H1134" s="9">
        <v>1099</v>
      </c>
      <c r="I1134" s="9">
        <v>68</v>
      </c>
      <c r="J1134" s="11">
        <v>3.7</v>
      </c>
      <c r="K1134" s="9">
        <v>1470</v>
      </c>
      <c r="L1134" s="9">
        <v>3.9765769883766491</v>
      </c>
      <c r="M1134" s="9" t="s">
        <v>28</v>
      </c>
      <c r="N1134" s="9" t="s">
        <v>29</v>
      </c>
      <c r="O1134" s="9">
        <v>40.200000000000003</v>
      </c>
      <c r="P1134" s="9" t="s">
        <v>30</v>
      </c>
      <c r="Q1134" s="9" t="b">
        <v>0</v>
      </c>
      <c r="R1134" s="9" t="b">
        <v>0</v>
      </c>
      <c r="S1134" s="9" t="b">
        <v>1</v>
      </c>
      <c r="T1134" s="9">
        <v>1</v>
      </c>
      <c r="U1134" s="9">
        <v>1</v>
      </c>
      <c r="V1134" s="9" t="b">
        <v>1</v>
      </c>
      <c r="W1134" s="9" t="s">
        <v>3640</v>
      </c>
    </row>
    <row r="1135" spans="1:23" ht="29" customHeight="1" x14ac:dyDescent="0.2">
      <c r="A1135" s="9" t="s">
        <v>3641</v>
      </c>
      <c r="B1135" s="10" t="s">
        <v>3642</v>
      </c>
      <c r="C1135" s="9" t="s">
        <v>3643</v>
      </c>
      <c r="D1135" s="9" t="s">
        <v>1724</v>
      </c>
      <c r="E1135" s="9" t="s">
        <v>3644</v>
      </c>
      <c r="F1135" s="9" t="s">
        <v>3645</v>
      </c>
      <c r="G1135" s="12">
        <v>899</v>
      </c>
      <c r="H1135" s="9">
        <v>1900</v>
      </c>
      <c r="I1135" s="9">
        <v>53</v>
      </c>
      <c r="J1135" s="11">
        <v>4</v>
      </c>
      <c r="K1135" s="9">
        <v>3663</v>
      </c>
      <c r="L1135" s="9">
        <v>4.0428845319077258</v>
      </c>
      <c r="M1135" s="9" t="s">
        <v>28</v>
      </c>
      <c r="N1135" s="9" t="s">
        <v>93</v>
      </c>
      <c r="O1135" s="9">
        <v>39.200000000000003</v>
      </c>
      <c r="P1135" s="9" t="s">
        <v>30</v>
      </c>
      <c r="Q1135" s="9" t="b">
        <v>0</v>
      </c>
      <c r="R1135" s="9" t="b">
        <v>0</v>
      </c>
      <c r="S1135" s="9" t="b">
        <v>0</v>
      </c>
      <c r="U1135" s="9">
        <v>1</v>
      </c>
      <c r="V1135" s="9" t="b">
        <v>1</v>
      </c>
      <c r="W1135" s="9" t="s">
        <v>3646</v>
      </c>
    </row>
    <row r="1136" spans="1:23" ht="29" customHeight="1" x14ac:dyDescent="0.2">
      <c r="A1136" s="9" t="s">
        <v>3647</v>
      </c>
      <c r="B1136" s="10" t="s">
        <v>3648</v>
      </c>
      <c r="C1136" s="9" t="s">
        <v>1741</v>
      </c>
      <c r="D1136" s="9" t="s">
        <v>1741</v>
      </c>
      <c r="E1136" s="9" t="s">
        <v>2913</v>
      </c>
      <c r="F1136" s="9" t="s">
        <v>2991</v>
      </c>
      <c r="G1136" s="12">
        <v>1349</v>
      </c>
      <c r="H1136" s="9">
        <v>1850</v>
      </c>
      <c r="I1136" s="9">
        <v>27</v>
      </c>
      <c r="J1136" s="11">
        <v>4.4000000000000004</v>
      </c>
      <c r="K1136" s="9">
        <v>638</v>
      </c>
      <c r="L1136" s="9">
        <v>4.1303577074607007</v>
      </c>
      <c r="M1136" s="9" t="s">
        <v>89</v>
      </c>
      <c r="N1136" s="9" t="s">
        <v>179</v>
      </c>
      <c r="O1136" s="9">
        <v>46.1</v>
      </c>
      <c r="P1136" s="9" t="s">
        <v>30</v>
      </c>
      <c r="Q1136" s="9" t="b">
        <v>0</v>
      </c>
      <c r="R1136" s="9" t="b">
        <v>0</v>
      </c>
      <c r="S1136" s="9" t="b">
        <v>0</v>
      </c>
      <c r="T1136" s="9">
        <v>1.1399999999999999</v>
      </c>
      <c r="U1136" s="9">
        <v>1</v>
      </c>
      <c r="V1136" s="9" t="b">
        <v>1</v>
      </c>
      <c r="W1136" s="9" t="s">
        <v>3649</v>
      </c>
    </row>
    <row r="1137" spans="1:23" ht="29" customHeight="1" x14ac:dyDescent="0.2">
      <c r="A1137" s="9" t="s">
        <v>3650</v>
      </c>
      <c r="B1137" s="10" t="s">
        <v>3651</v>
      </c>
      <c r="C1137" s="9" t="s">
        <v>1741</v>
      </c>
      <c r="D1137" s="9" t="s">
        <v>1741</v>
      </c>
      <c r="E1137" s="9" t="s">
        <v>2913</v>
      </c>
      <c r="F1137" s="9" t="s">
        <v>3368</v>
      </c>
      <c r="G1137" s="12">
        <v>6236</v>
      </c>
      <c r="H1137" s="9">
        <v>9999</v>
      </c>
      <c r="I1137" s="9">
        <v>38</v>
      </c>
      <c r="J1137" s="11">
        <v>4.0999999999999996</v>
      </c>
      <c r="K1137" s="9">
        <v>3552</v>
      </c>
      <c r="L1137" s="9">
        <v>4.0920963964291222</v>
      </c>
      <c r="M1137" s="9" t="s">
        <v>28</v>
      </c>
      <c r="N1137" s="9" t="s">
        <v>144</v>
      </c>
      <c r="O1137" s="9">
        <v>35.5</v>
      </c>
      <c r="P1137" s="9" t="s">
        <v>40</v>
      </c>
      <c r="Q1137" s="9" t="b">
        <v>0</v>
      </c>
      <c r="R1137" s="9" t="b">
        <v>0</v>
      </c>
      <c r="S1137" s="9" t="b">
        <v>0</v>
      </c>
      <c r="U1137" s="9">
        <v>1</v>
      </c>
      <c r="V1137" s="9" t="b">
        <v>1</v>
      </c>
      <c r="W1137" s="9" t="s">
        <v>3652</v>
      </c>
    </row>
    <row r="1138" spans="1:23" ht="29" customHeight="1" x14ac:dyDescent="0.2">
      <c r="A1138" s="9" t="s">
        <v>3653</v>
      </c>
      <c r="B1138" s="10" t="s">
        <v>3654</v>
      </c>
      <c r="C1138" s="9" t="s">
        <v>1741</v>
      </c>
      <c r="D1138" s="9" t="s">
        <v>1741</v>
      </c>
      <c r="E1138" s="9" t="s">
        <v>2913</v>
      </c>
      <c r="F1138" s="9" t="s">
        <v>2965</v>
      </c>
      <c r="G1138" s="12">
        <v>2742</v>
      </c>
      <c r="H1138" s="9">
        <v>3995</v>
      </c>
      <c r="I1138" s="9">
        <v>31</v>
      </c>
      <c r="J1138" s="11">
        <v>4.4000000000000004</v>
      </c>
      <c r="K1138" s="9">
        <v>11148</v>
      </c>
      <c r="L1138" s="9">
        <v>4.3204211187874861</v>
      </c>
      <c r="M1138" s="9" t="s">
        <v>28</v>
      </c>
      <c r="N1138" s="9" t="s">
        <v>144</v>
      </c>
      <c r="O1138" s="9">
        <v>58.8</v>
      </c>
      <c r="P1138" s="9" t="s">
        <v>53</v>
      </c>
      <c r="Q1138" s="9" t="b">
        <v>0</v>
      </c>
      <c r="R1138" s="9" t="b">
        <v>0</v>
      </c>
      <c r="S1138" s="9" t="b">
        <v>0</v>
      </c>
      <c r="T1138" s="9">
        <v>3.92</v>
      </c>
      <c r="U1138" s="9">
        <v>1</v>
      </c>
      <c r="V1138" s="9" t="b">
        <v>1</v>
      </c>
      <c r="W1138" s="9" t="s">
        <v>3655</v>
      </c>
    </row>
    <row r="1139" spans="1:23" ht="29" customHeight="1" x14ac:dyDescent="0.2">
      <c r="A1139" s="9" t="s">
        <v>3656</v>
      </c>
      <c r="B1139" s="10" t="s">
        <v>3657</v>
      </c>
      <c r="C1139" s="9" t="s">
        <v>1741</v>
      </c>
      <c r="D1139" s="9" t="s">
        <v>1741</v>
      </c>
      <c r="E1139" s="9" t="s">
        <v>2913</v>
      </c>
      <c r="F1139" s="9" t="s">
        <v>3468</v>
      </c>
      <c r="G1139" s="12">
        <v>721</v>
      </c>
      <c r="H1139" s="9">
        <v>1499</v>
      </c>
      <c r="I1139" s="9">
        <v>52</v>
      </c>
      <c r="J1139" s="11">
        <v>3.1</v>
      </c>
      <c r="K1139" s="9">
        <v>2449</v>
      </c>
      <c r="L1139" s="9">
        <v>3.6964242279128738</v>
      </c>
      <c r="M1139" s="9" t="s">
        <v>28</v>
      </c>
      <c r="N1139" s="9" t="s">
        <v>93</v>
      </c>
      <c r="O1139" s="9">
        <v>31.6</v>
      </c>
      <c r="P1139" s="9" t="s">
        <v>40</v>
      </c>
      <c r="Q1139" s="9" t="b">
        <v>0</v>
      </c>
      <c r="R1139" s="9" t="b">
        <v>0</v>
      </c>
      <c r="S1139" s="9" t="b">
        <v>1</v>
      </c>
      <c r="U1139" s="9">
        <v>1</v>
      </c>
      <c r="V1139" s="9" t="b">
        <v>1</v>
      </c>
      <c r="W1139" s="9" t="s">
        <v>3658</v>
      </c>
    </row>
    <row r="1140" spans="1:23" ht="29" customHeight="1" x14ac:dyDescent="0.2">
      <c r="A1140" s="9" t="s">
        <v>3659</v>
      </c>
      <c r="B1140" s="10" t="s">
        <v>3660</v>
      </c>
      <c r="C1140" s="9" t="s">
        <v>1741</v>
      </c>
      <c r="D1140" s="9" t="s">
        <v>1741</v>
      </c>
      <c r="E1140" s="9" t="s">
        <v>2913</v>
      </c>
      <c r="F1140" s="9" t="s">
        <v>3036</v>
      </c>
      <c r="G1140" s="12">
        <v>2903</v>
      </c>
      <c r="H1140" s="9">
        <v>3295</v>
      </c>
      <c r="I1140" s="9">
        <v>12</v>
      </c>
      <c r="J1140" s="11">
        <v>4.3</v>
      </c>
      <c r="K1140" s="9">
        <v>2299</v>
      </c>
      <c r="L1140" s="9">
        <v>4.166318418160655</v>
      </c>
      <c r="M1140" s="9" t="s">
        <v>28</v>
      </c>
      <c r="N1140" s="9" t="s">
        <v>144</v>
      </c>
      <c r="O1140" s="9">
        <v>41.3</v>
      </c>
      <c r="P1140" s="9" t="s">
        <v>30</v>
      </c>
      <c r="Q1140" s="9" t="b">
        <v>0</v>
      </c>
      <c r="R1140" s="9" t="b">
        <v>0</v>
      </c>
      <c r="S1140" s="9" t="b">
        <v>0</v>
      </c>
      <c r="T1140" s="9">
        <v>0.95</v>
      </c>
      <c r="U1140" s="9">
        <v>1</v>
      </c>
      <c r="V1140" s="9" t="b">
        <v>1</v>
      </c>
      <c r="W1140" s="9" t="s">
        <v>3661</v>
      </c>
    </row>
    <row r="1141" spans="1:23" ht="29" customHeight="1" x14ac:dyDescent="0.2">
      <c r="A1141" s="9" t="s">
        <v>3662</v>
      </c>
      <c r="B1141" s="10" t="s">
        <v>3663</v>
      </c>
      <c r="C1141" s="9" t="s">
        <v>1741</v>
      </c>
      <c r="D1141" s="9" t="s">
        <v>1741</v>
      </c>
      <c r="E1141" s="9" t="s">
        <v>2913</v>
      </c>
      <c r="F1141" s="9" t="s">
        <v>3128</v>
      </c>
      <c r="G1141" s="12">
        <v>1656</v>
      </c>
      <c r="H1141" s="9">
        <v>2695</v>
      </c>
      <c r="I1141" s="9">
        <v>39</v>
      </c>
      <c r="J1141" s="11">
        <v>4.4000000000000004</v>
      </c>
      <c r="K1141" s="9">
        <v>6027</v>
      </c>
      <c r="L1141" s="9">
        <v>4.2787924911058601</v>
      </c>
      <c r="M1141" s="9" t="s">
        <v>28</v>
      </c>
      <c r="N1141" s="9" t="s">
        <v>179</v>
      </c>
      <c r="O1141" s="9">
        <v>62.4</v>
      </c>
      <c r="P1141" s="9" t="s">
        <v>36</v>
      </c>
      <c r="Q1141" s="9" t="b">
        <v>0</v>
      </c>
      <c r="R1141" s="9" t="b">
        <v>0</v>
      </c>
      <c r="S1141" s="9" t="b">
        <v>0</v>
      </c>
      <c r="U1141" s="9">
        <v>1</v>
      </c>
      <c r="V1141" s="9" t="b">
        <v>1</v>
      </c>
      <c r="W1141" s="9" t="s">
        <v>3664</v>
      </c>
    </row>
    <row r="1142" spans="1:23" ht="29" customHeight="1" x14ac:dyDescent="0.2">
      <c r="A1142" s="9" t="s">
        <v>3665</v>
      </c>
      <c r="B1142" s="10" t="s">
        <v>3666</v>
      </c>
      <c r="C1142" s="9" t="s">
        <v>1741</v>
      </c>
      <c r="D1142" s="9" t="s">
        <v>1741</v>
      </c>
      <c r="E1142" s="9" t="s">
        <v>2913</v>
      </c>
      <c r="F1142" s="9" t="s">
        <v>3078</v>
      </c>
      <c r="G1142" s="12">
        <v>1399</v>
      </c>
      <c r="H1142" s="9">
        <v>2290</v>
      </c>
      <c r="I1142" s="9">
        <v>39</v>
      </c>
      <c r="J1142" s="11">
        <v>4.4000000000000004</v>
      </c>
      <c r="K1142" s="9">
        <v>461</v>
      </c>
      <c r="L1142" s="9">
        <v>4.1190574385416872</v>
      </c>
      <c r="M1142" s="9" t="s">
        <v>89</v>
      </c>
      <c r="N1142" s="9" t="s">
        <v>179</v>
      </c>
      <c r="O1142" s="9">
        <v>49.4</v>
      </c>
      <c r="P1142" s="9" t="s">
        <v>30</v>
      </c>
      <c r="Q1142" s="9" t="b">
        <v>0</v>
      </c>
      <c r="R1142" s="9" t="b">
        <v>1</v>
      </c>
      <c r="S1142" s="9" t="b">
        <v>0</v>
      </c>
      <c r="T1142" s="9">
        <v>2</v>
      </c>
      <c r="U1142" s="9">
        <v>1</v>
      </c>
      <c r="V1142" s="9" t="b">
        <v>1</v>
      </c>
      <c r="W1142" s="9" t="s">
        <v>3667</v>
      </c>
    </row>
    <row r="1143" spans="1:23" ht="29" customHeight="1" x14ac:dyDescent="0.2">
      <c r="A1143" s="9" t="s">
        <v>3668</v>
      </c>
      <c r="B1143" s="10" t="s">
        <v>3669</v>
      </c>
      <c r="C1143" s="9" t="s">
        <v>1741</v>
      </c>
      <c r="D1143" s="9" t="s">
        <v>1741</v>
      </c>
      <c r="E1143" s="9" t="s">
        <v>2913</v>
      </c>
      <c r="F1143" s="9" t="s">
        <v>3088</v>
      </c>
      <c r="G1143" s="12">
        <v>2079</v>
      </c>
      <c r="H1143" s="9">
        <v>3099</v>
      </c>
      <c r="I1143" s="9">
        <v>33</v>
      </c>
      <c r="J1143" s="11">
        <v>4.0999999999999996</v>
      </c>
      <c r="K1143" s="9">
        <v>282</v>
      </c>
      <c r="L1143" s="9">
        <v>4.0857062904390693</v>
      </c>
      <c r="M1143" s="9" t="s">
        <v>89</v>
      </c>
      <c r="N1143" s="9" t="s">
        <v>179</v>
      </c>
      <c r="O1143" s="9">
        <v>33.4</v>
      </c>
      <c r="P1143" s="9" t="s">
        <v>40</v>
      </c>
      <c r="Q1143" s="9" t="b">
        <v>0</v>
      </c>
      <c r="R1143" s="9" t="b">
        <v>0</v>
      </c>
      <c r="S1143" s="9" t="b">
        <v>0</v>
      </c>
      <c r="T1143" s="9">
        <v>1.41</v>
      </c>
      <c r="U1143" s="9">
        <v>1</v>
      </c>
      <c r="V1143" s="9" t="b">
        <v>1</v>
      </c>
      <c r="W1143" s="9" t="s">
        <v>3670</v>
      </c>
    </row>
    <row r="1144" spans="1:23" ht="29" customHeight="1" x14ac:dyDescent="0.2">
      <c r="A1144" s="9" t="s">
        <v>3671</v>
      </c>
      <c r="B1144" s="10" t="s">
        <v>3672</v>
      </c>
      <c r="C1144" s="9" t="s">
        <v>1741</v>
      </c>
      <c r="D1144" s="9" t="s">
        <v>1741</v>
      </c>
      <c r="E1144" s="9" t="s">
        <v>2918</v>
      </c>
      <c r="F1144" s="9" t="s">
        <v>3017</v>
      </c>
      <c r="G1144" s="12">
        <v>999</v>
      </c>
      <c r="H1144" s="9">
        <v>1075</v>
      </c>
      <c r="I1144" s="9">
        <v>7</v>
      </c>
      <c r="J1144" s="11">
        <v>4.0999999999999996</v>
      </c>
      <c r="K1144" s="9">
        <v>9275</v>
      </c>
      <c r="L1144" s="9">
        <v>4.0955657980196216</v>
      </c>
      <c r="M1144" s="9" t="s">
        <v>28</v>
      </c>
      <c r="N1144" s="9" t="s">
        <v>93</v>
      </c>
      <c r="O1144" s="9">
        <v>41.6</v>
      </c>
      <c r="P1144" s="9" t="s">
        <v>30</v>
      </c>
      <c r="Q1144" s="9" t="b">
        <v>0</v>
      </c>
      <c r="R1144" s="9" t="b">
        <v>0</v>
      </c>
      <c r="S1144" s="9" t="b">
        <v>0</v>
      </c>
      <c r="U1144" s="9">
        <v>1</v>
      </c>
      <c r="V1144" s="9" t="b">
        <v>1</v>
      </c>
      <c r="W1144" s="9" t="s">
        <v>3673</v>
      </c>
    </row>
    <row r="1145" spans="1:23" ht="29" customHeight="1" x14ac:dyDescent="0.2">
      <c r="A1145" s="9" t="s">
        <v>3674</v>
      </c>
      <c r="B1145" s="10" t="s">
        <v>3675</v>
      </c>
      <c r="C1145" s="9" t="s">
        <v>1741</v>
      </c>
      <c r="D1145" s="9" t="s">
        <v>1741</v>
      </c>
      <c r="E1145" s="9" t="s">
        <v>2913</v>
      </c>
      <c r="F1145" s="9" t="s">
        <v>3059</v>
      </c>
      <c r="G1145" s="12">
        <v>3179</v>
      </c>
      <c r="H1145" s="9">
        <v>6999</v>
      </c>
      <c r="I1145" s="9">
        <v>55</v>
      </c>
      <c r="J1145" s="11">
        <v>4</v>
      </c>
      <c r="K1145" s="9">
        <v>743</v>
      </c>
      <c r="L1145" s="9">
        <v>4.0706778585464019</v>
      </c>
      <c r="M1145" s="9" t="s">
        <v>89</v>
      </c>
      <c r="N1145" s="9" t="s">
        <v>144</v>
      </c>
      <c r="O1145" s="9">
        <v>38.5</v>
      </c>
      <c r="P1145" s="9" t="s">
        <v>40</v>
      </c>
      <c r="Q1145" s="9" t="b">
        <v>0</v>
      </c>
      <c r="R1145" s="9" t="b">
        <v>0</v>
      </c>
      <c r="S1145" s="9" t="b">
        <v>0</v>
      </c>
      <c r="U1145" s="9">
        <v>1</v>
      </c>
      <c r="V1145" s="9" t="b">
        <v>1</v>
      </c>
      <c r="W1145" s="9" t="s">
        <v>3676</v>
      </c>
    </row>
    <row r="1146" spans="1:23" ht="29" customHeight="1" x14ac:dyDescent="0.2">
      <c r="A1146" s="9" t="s">
        <v>3677</v>
      </c>
      <c r="B1146" s="10" t="s">
        <v>3678</v>
      </c>
      <c r="C1146" s="9" t="s">
        <v>1741</v>
      </c>
      <c r="D1146" s="9" t="s">
        <v>1741</v>
      </c>
      <c r="E1146" s="9" t="s">
        <v>2918</v>
      </c>
      <c r="F1146" s="9" t="s">
        <v>2977</v>
      </c>
      <c r="G1146" s="12">
        <v>1049</v>
      </c>
      <c r="H1146" s="9">
        <v>2499</v>
      </c>
      <c r="I1146" s="9">
        <v>58</v>
      </c>
      <c r="J1146" s="11">
        <v>3.6</v>
      </c>
      <c r="K1146" s="9">
        <v>328</v>
      </c>
      <c r="L1146" s="9">
        <v>4.045774133157515</v>
      </c>
      <c r="M1146" s="9" t="s">
        <v>89</v>
      </c>
      <c r="N1146" s="9" t="s">
        <v>179</v>
      </c>
      <c r="O1146" s="9">
        <v>47.4</v>
      </c>
      <c r="P1146" s="9" t="s">
        <v>30</v>
      </c>
      <c r="Q1146" s="9" t="b">
        <v>0</v>
      </c>
      <c r="R1146" s="9" t="b">
        <v>0</v>
      </c>
      <c r="S1146" s="9" t="b">
        <v>1</v>
      </c>
      <c r="T1146" s="9">
        <v>0.4</v>
      </c>
      <c r="U1146" s="9">
        <v>1</v>
      </c>
      <c r="V1146" s="9" t="b">
        <v>1</v>
      </c>
      <c r="W1146" s="9" t="s">
        <v>3679</v>
      </c>
    </row>
    <row r="1147" spans="1:23" ht="29" customHeight="1" x14ac:dyDescent="0.2">
      <c r="A1147" s="9" t="s">
        <v>3680</v>
      </c>
      <c r="B1147" s="10" t="s">
        <v>3681</v>
      </c>
      <c r="C1147" s="9" t="s">
        <v>1741</v>
      </c>
      <c r="D1147" s="9" t="s">
        <v>1741</v>
      </c>
      <c r="E1147" s="9" t="s">
        <v>2918</v>
      </c>
      <c r="F1147" s="9" t="s">
        <v>2977</v>
      </c>
      <c r="G1147" s="12">
        <v>3599</v>
      </c>
      <c r="H1147" s="9">
        <v>7290</v>
      </c>
      <c r="I1147" s="9">
        <v>51</v>
      </c>
      <c r="J1147" s="11">
        <v>3.9</v>
      </c>
      <c r="K1147" s="9">
        <v>942</v>
      </c>
      <c r="L1147" s="9">
        <v>4.0476648085196754</v>
      </c>
      <c r="M1147" s="9" t="s">
        <v>89</v>
      </c>
      <c r="N1147" s="9" t="s">
        <v>144</v>
      </c>
      <c r="O1147" s="9">
        <v>35.299999999999997</v>
      </c>
      <c r="P1147" s="9" t="s">
        <v>40</v>
      </c>
      <c r="Q1147" s="9" t="b">
        <v>0</v>
      </c>
      <c r="R1147" s="9" t="b">
        <v>0</v>
      </c>
      <c r="S1147" s="9" t="b">
        <v>0</v>
      </c>
      <c r="T1147" s="9">
        <v>1.38</v>
      </c>
      <c r="U1147" s="9">
        <v>1</v>
      </c>
      <c r="V1147" s="9" t="b">
        <v>1</v>
      </c>
      <c r="W1147" s="9" t="s">
        <v>3682</v>
      </c>
    </row>
    <row r="1148" spans="1:23" ht="29" customHeight="1" x14ac:dyDescent="0.2">
      <c r="A1148" s="9" t="s">
        <v>3683</v>
      </c>
      <c r="B1148" s="10" t="s">
        <v>3684</v>
      </c>
      <c r="C1148" s="9" t="s">
        <v>1741</v>
      </c>
      <c r="D1148" s="9" t="s">
        <v>1741</v>
      </c>
      <c r="E1148" s="9" t="s">
        <v>2913</v>
      </c>
      <c r="F1148" s="9" t="s">
        <v>3685</v>
      </c>
      <c r="G1148" s="12">
        <v>4799</v>
      </c>
      <c r="H1148" s="9">
        <v>5795</v>
      </c>
      <c r="I1148" s="9">
        <v>17</v>
      </c>
      <c r="J1148" s="11">
        <v>3.9</v>
      </c>
      <c r="K1148" s="9">
        <v>3815</v>
      </c>
      <c r="L1148" s="9">
        <v>3.991677874190803</v>
      </c>
      <c r="M1148" s="9" t="s">
        <v>28</v>
      </c>
      <c r="N1148" s="9" t="s">
        <v>144</v>
      </c>
      <c r="O1148" s="9">
        <v>12.6</v>
      </c>
      <c r="P1148" s="9" t="s">
        <v>40</v>
      </c>
      <c r="Q1148" s="9" t="b">
        <v>0</v>
      </c>
      <c r="R1148" s="9" t="b">
        <v>0</v>
      </c>
      <c r="S1148" s="9" t="b">
        <v>0</v>
      </c>
      <c r="U1148" s="9">
        <v>1</v>
      </c>
      <c r="V1148" s="9" t="b">
        <v>1</v>
      </c>
      <c r="W1148" s="9" t="s">
        <v>3686</v>
      </c>
    </row>
    <row r="1149" spans="1:23" ht="29" customHeight="1" x14ac:dyDescent="0.2">
      <c r="A1149" s="9" t="s">
        <v>3687</v>
      </c>
      <c r="B1149" s="10" t="s">
        <v>3688</v>
      </c>
      <c r="C1149" s="9" t="s">
        <v>1741</v>
      </c>
      <c r="D1149" s="9" t="s">
        <v>1741</v>
      </c>
      <c r="E1149" s="9" t="s">
        <v>2913</v>
      </c>
      <c r="F1149" s="9" t="s">
        <v>2973</v>
      </c>
      <c r="G1149" s="12">
        <v>1699</v>
      </c>
      <c r="H1149" s="9">
        <v>3398</v>
      </c>
      <c r="I1149" s="9">
        <v>50</v>
      </c>
      <c r="J1149" s="11">
        <v>3.8</v>
      </c>
      <c r="K1149" s="9">
        <v>7988</v>
      </c>
      <c r="L1149" s="9">
        <v>3.8911398741909551</v>
      </c>
      <c r="M1149" s="9" t="s">
        <v>28</v>
      </c>
      <c r="N1149" s="9" t="s">
        <v>179</v>
      </c>
      <c r="O1149" s="9">
        <v>25.6</v>
      </c>
      <c r="P1149" s="9" t="s">
        <v>40</v>
      </c>
      <c r="Q1149" s="9" t="b">
        <v>0</v>
      </c>
      <c r="R1149" s="9" t="b">
        <v>0</v>
      </c>
      <c r="S1149" s="9" t="b">
        <v>1</v>
      </c>
      <c r="T1149" s="9">
        <v>0.59</v>
      </c>
      <c r="U1149" s="9">
        <v>1</v>
      </c>
      <c r="V1149" s="9" t="b">
        <v>1</v>
      </c>
      <c r="W1149" s="9" t="s">
        <v>3689</v>
      </c>
    </row>
    <row r="1150" spans="1:23" ht="29" customHeight="1" x14ac:dyDescent="0.2">
      <c r="A1150" s="9" t="s">
        <v>3690</v>
      </c>
      <c r="B1150" s="10" t="s">
        <v>3691</v>
      </c>
      <c r="C1150" s="9" t="s">
        <v>1741</v>
      </c>
      <c r="D1150" s="9" t="s">
        <v>1741</v>
      </c>
      <c r="E1150" s="9" t="s">
        <v>2913</v>
      </c>
      <c r="F1150" s="9" t="s">
        <v>2991</v>
      </c>
      <c r="G1150" s="12">
        <v>664</v>
      </c>
      <c r="H1150" s="9">
        <v>1490</v>
      </c>
      <c r="I1150" s="9">
        <v>55</v>
      </c>
      <c r="J1150" s="11">
        <v>4.0999999999999996</v>
      </c>
      <c r="K1150" s="9">
        <v>925</v>
      </c>
      <c r="L1150" s="9">
        <v>4.0876670062252396</v>
      </c>
      <c r="M1150" s="9" t="s">
        <v>89</v>
      </c>
      <c r="N1150" s="9" t="s">
        <v>93</v>
      </c>
      <c r="O1150" s="9">
        <v>53.5</v>
      </c>
      <c r="P1150" s="9" t="s">
        <v>53</v>
      </c>
      <c r="Q1150" s="9" t="b">
        <v>0</v>
      </c>
      <c r="R1150" s="9" t="b">
        <v>0</v>
      </c>
      <c r="S1150" s="9" t="b">
        <v>0</v>
      </c>
      <c r="T1150" s="9">
        <v>0.56000000000000005</v>
      </c>
      <c r="U1150" s="9">
        <v>1</v>
      </c>
      <c r="V1150" s="9" t="b">
        <v>1</v>
      </c>
      <c r="W1150" s="9" t="s">
        <v>3692</v>
      </c>
    </row>
    <row r="1151" spans="1:23" ht="29" customHeight="1" x14ac:dyDescent="0.2">
      <c r="A1151" s="9" t="s">
        <v>3693</v>
      </c>
      <c r="B1151" s="10" t="s">
        <v>3694</v>
      </c>
      <c r="C1151" s="9" t="s">
        <v>1741</v>
      </c>
      <c r="D1151" s="9" t="s">
        <v>1741</v>
      </c>
      <c r="E1151" s="9" t="s">
        <v>2918</v>
      </c>
      <c r="F1151" s="9" t="s">
        <v>3695</v>
      </c>
      <c r="G1151" s="12">
        <v>948</v>
      </c>
      <c r="H1151" s="9">
        <v>1620</v>
      </c>
      <c r="I1151" s="9">
        <v>41</v>
      </c>
      <c r="J1151" s="11">
        <v>4.0999999999999996</v>
      </c>
      <c r="K1151" s="9">
        <v>4370</v>
      </c>
      <c r="L1151" s="9">
        <v>4.092891373093245</v>
      </c>
      <c r="M1151" s="9" t="s">
        <v>28</v>
      </c>
      <c r="N1151" s="9" t="s">
        <v>93</v>
      </c>
      <c r="O1151" s="9">
        <v>50.5</v>
      </c>
      <c r="P1151" s="9" t="s">
        <v>30</v>
      </c>
      <c r="Q1151" s="9" t="b">
        <v>0</v>
      </c>
      <c r="R1151" s="9" t="b">
        <v>0</v>
      </c>
      <c r="S1151" s="9" t="b">
        <v>0</v>
      </c>
      <c r="U1151" s="9">
        <v>1</v>
      </c>
      <c r="V1151" s="9" t="b">
        <v>1</v>
      </c>
      <c r="W1151" s="9" t="s">
        <v>3696</v>
      </c>
    </row>
    <row r="1152" spans="1:23" ht="29" customHeight="1" x14ac:dyDescent="0.2">
      <c r="A1152" s="9" t="s">
        <v>3697</v>
      </c>
      <c r="B1152" s="10" t="s">
        <v>3698</v>
      </c>
      <c r="C1152" s="9" t="s">
        <v>1741</v>
      </c>
      <c r="D1152" s="9" t="s">
        <v>1741</v>
      </c>
      <c r="E1152" s="9" t="s">
        <v>2913</v>
      </c>
      <c r="F1152" s="9" t="s">
        <v>2969</v>
      </c>
      <c r="G1152" s="12">
        <v>850</v>
      </c>
      <c r="H1152" s="9">
        <v>1000</v>
      </c>
      <c r="I1152" s="9">
        <v>15</v>
      </c>
      <c r="J1152" s="11">
        <v>4.0999999999999996</v>
      </c>
      <c r="K1152" s="9">
        <v>7619</v>
      </c>
      <c r="L1152" s="9">
        <v>4.0949206248456536</v>
      </c>
      <c r="M1152" s="9" t="s">
        <v>28</v>
      </c>
      <c r="N1152" s="9" t="s">
        <v>93</v>
      </c>
      <c r="O1152" s="9">
        <v>40.1</v>
      </c>
      <c r="P1152" s="9" t="s">
        <v>30</v>
      </c>
      <c r="Q1152" s="9" t="b">
        <v>0</v>
      </c>
      <c r="R1152" s="9" t="b">
        <v>0</v>
      </c>
      <c r="S1152" s="9" t="b">
        <v>0</v>
      </c>
      <c r="T1152" s="9">
        <v>1.25</v>
      </c>
      <c r="U1152" s="9">
        <v>1</v>
      </c>
      <c r="V1152" s="9" t="b">
        <v>1</v>
      </c>
      <c r="W1152" s="9" t="s">
        <v>3699</v>
      </c>
    </row>
    <row r="1153" spans="1:23" ht="29" customHeight="1" x14ac:dyDescent="0.2">
      <c r="A1153" s="9" t="s">
        <v>3700</v>
      </c>
      <c r="B1153" s="10" t="s">
        <v>3701</v>
      </c>
      <c r="C1153" s="9" t="s">
        <v>1741</v>
      </c>
      <c r="D1153" s="9" t="s">
        <v>1741</v>
      </c>
      <c r="E1153" s="9" t="s">
        <v>2913</v>
      </c>
      <c r="F1153" s="9" t="s">
        <v>3273</v>
      </c>
      <c r="G1153" s="12">
        <v>600</v>
      </c>
      <c r="H1153" s="9">
        <v>640</v>
      </c>
      <c r="I1153" s="9">
        <v>6</v>
      </c>
      <c r="J1153" s="11">
        <v>3.8</v>
      </c>
      <c r="K1153" s="9">
        <v>2593</v>
      </c>
      <c r="L1153" s="9">
        <v>3.968505875490647</v>
      </c>
      <c r="M1153" s="9" t="s">
        <v>28</v>
      </c>
      <c r="N1153" s="9" t="s">
        <v>93</v>
      </c>
      <c r="O1153" s="9">
        <v>22.5</v>
      </c>
      <c r="P1153" s="9" t="s">
        <v>40</v>
      </c>
      <c r="Q1153" s="9" t="b">
        <v>0</v>
      </c>
      <c r="R1153" s="9" t="b">
        <v>0</v>
      </c>
      <c r="S1153" s="9" t="b">
        <v>1</v>
      </c>
      <c r="U1153" s="9">
        <v>1</v>
      </c>
      <c r="V1153" s="9" t="b">
        <v>1</v>
      </c>
      <c r="W1153" s="9" t="s">
        <v>3702</v>
      </c>
    </row>
    <row r="1154" spans="1:23" ht="29" customHeight="1" x14ac:dyDescent="0.2">
      <c r="A1154" s="9" t="s">
        <v>3703</v>
      </c>
      <c r="B1154" s="10" t="s">
        <v>3704</v>
      </c>
      <c r="C1154" s="9" t="s">
        <v>1741</v>
      </c>
      <c r="D1154" s="9" t="s">
        <v>1741</v>
      </c>
      <c r="E1154" s="9" t="s">
        <v>2918</v>
      </c>
      <c r="F1154" s="9" t="s">
        <v>2919</v>
      </c>
      <c r="G1154" s="12">
        <v>3711</v>
      </c>
      <c r="H1154" s="9">
        <v>4495</v>
      </c>
      <c r="I1154" s="9">
        <v>17</v>
      </c>
      <c r="J1154" s="11">
        <v>4.3</v>
      </c>
      <c r="K1154" s="9">
        <v>356</v>
      </c>
      <c r="L1154" s="9">
        <v>4.1032509631372616</v>
      </c>
      <c r="M1154" s="9" t="s">
        <v>89</v>
      </c>
      <c r="N1154" s="9" t="s">
        <v>144</v>
      </c>
      <c r="O1154" s="9">
        <v>37.6</v>
      </c>
      <c r="P1154" s="9" t="s">
        <v>40</v>
      </c>
      <c r="Q1154" s="9" t="b">
        <v>0</v>
      </c>
      <c r="R1154" s="9" t="b">
        <v>0</v>
      </c>
      <c r="S1154" s="9" t="b">
        <v>0</v>
      </c>
      <c r="T1154" s="9">
        <v>2.82</v>
      </c>
      <c r="U1154" s="9">
        <v>1</v>
      </c>
      <c r="V1154" s="9" t="b">
        <v>1</v>
      </c>
      <c r="W1154" s="9" t="s">
        <v>3705</v>
      </c>
    </row>
    <row r="1155" spans="1:23" ht="29" customHeight="1" x14ac:dyDescent="0.2">
      <c r="A1155" s="9" t="s">
        <v>3706</v>
      </c>
      <c r="B1155" s="10" t="s">
        <v>3707</v>
      </c>
      <c r="C1155" s="9" t="s">
        <v>1741</v>
      </c>
      <c r="D1155" s="9" t="s">
        <v>1741</v>
      </c>
      <c r="E1155" s="9" t="s">
        <v>2913</v>
      </c>
      <c r="F1155" s="9" t="s">
        <v>2931</v>
      </c>
      <c r="G1155" s="12">
        <v>799</v>
      </c>
      <c r="H1155" s="9">
        <v>2999</v>
      </c>
      <c r="I1155" s="9">
        <v>73</v>
      </c>
      <c r="J1155" s="11">
        <v>4.5</v>
      </c>
      <c r="K1155" s="9">
        <v>63</v>
      </c>
      <c r="L1155" s="9">
        <v>4.0914753866633946</v>
      </c>
      <c r="M1155" s="9" t="s">
        <v>204</v>
      </c>
      <c r="N1155" s="9" t="s">
        <v>93</v>
      </c>
      <c r="O1155" s="9">
        <v>62.3</v>
      </c>
      <c r="P1155" s="9" t="s">
        <v>36</v>
      </c>
      <c r="Q1155" s="9" t="b">
        <v>0</v>
      </c>
      <c r="R1155" s="9" t="b">
        <v>0</v>
      </c>
      <c r="S1155" s="9" t="b">
        <v>0</v>
      </c>
      <c r="T1155" s="9">
        <v>1.63</v>
      </c>
      <c r="U1155" s="9">
        <v>1</v>
      </c>
      <c r="V1155" s="9" t="b">
        <v>1</v>
      </c>
      <c r="W1155" s="9" t="s">
        <v>3708</v>
      </c>
    </row>
    <row r="1156" spans="1:23" ht="29" customHeight="1" x14ac:dyDescent="0.2">
      <c r="A1156" s="9" t="s">
        <v>3709</v>
      </c>
      <c r="B1156" s="10" t="s">
        <v>3710</v>
      </c>
      <c r="C1156" s="9" t="s">
        <v>1741</v>
      </c>
      <c r="D1156" s="9" t="s">
        <v>1741</v>
      </c>
      <c r="E1156" s="9" t="s">
        <v>2913</v>
      </c>
      <c r="F1156" s="9" t="s">
        <v>3269</v>
      </c>
      <c r="G1156" s="12">
        <v>980</v>
      </c>
      <c r="H1156" s="9">
        <v>980</v>
      </c>
      <c r="I1156" s="9">
        <v>0</v>
      </c>
      <c r="J1156" s="11">
        <v>4.2</v>
      </c>
      <c r="K1156" s="9">
        <v>4740</v>
      </c>
      <c r="L1156" s="9">
        <v>4.1489490257783963</v>
      </c>
      <c r="M1156" s="9" t="s">
        <v>28</v>
      </c>
      <c r="N1156" s="9" t="s">
        <v>93</v>
      </c>
      <c r="O1156" s="9">
        <v>45.5</v>
      </c>
      <c r="P1156" s="9" t="s">
        <v>30</v>
      </c>
      <c r="Q1156" s="9" t="b">
        <v>0</v>
      </c>
      <c r="R1156" s="9" t="b">
        <v>0</v>
      </c>
      <c r="S1156" s="9" t="b">
        <v>0</v>
      </c>
      <c r="T1156" s="9">
        <v>4.24</v>
      </c>
      <c r="U1156" s="9">
        <v>1</v>
      </c>
      <c r="V1156" s="9" t="b">
        <v>1</v>
      </c>
      <c r="W1156" s="9" t="s">
        <v>3711</v>
      </c>
    </row>
    <row r="1157" spans="1:23" ht="29" customHeight="1" x14ac:dyDescent="0.2">
      <c r="A1157" s="9" t="s">
        <v>3712</v>
      </c>
      <c r="B1157" s="10" t="s">
        <v>3713</v>
      </c>
      <c r="C1157" s="9" t="s">
        <v>1741</v>
      </c>
      <c r="D1157" s="9" t="s">
        <v>1741</v>
      </c>
      <c r="E1157" s="9" t="s">
        <v>3031</v>
      </c>
      <c r="F1157" s="9" t="s">
        <v>3032</v>
      </c>
      <c r="G1157" s="12">
        <v>351</v>
      </c>
      <c r="H1157" s="9">
        <v>899</v>
      </c>
      <c r="I1157" s="9">
        <v>61</v>
      </c>
      <c r="J1157" s="11">
        <v>3.9</v>
      </c>
      <c r="K1157" s="9">
        <v>296</v>
      </c>
      <c r="L1157" s="9">
        <v>4.0711689273575988</v>
      </c>
      <c r="M1157" s="9" t="s">
        <v>89</v>
      </c>
      <c r="N1157" s="9" t="s">
        <v>29</v>
      </c>
      <c r="O1157" s="9">
        <v>46.8</v>
      </c>
      <c r="P1157" s="9" t="s">
        <v>30</v>
      </c>
      <c r="Q1157" s="9" t="b">
        <v>0</v>
      </c>
      <c r="R1157" s="9" t="b">
        <v>0</v>
      </c>
      <c r="S1157" s="9" t="b">
        <v>0</v>
      </c>
      <c r="T1157" s="9">
        <v>1</v>
      </c>
      <c r="U1157" s="9">
        <v>1</v>
      </c>
      <c r="V1157" s="9" t="b">
        <v>1</v>
      </c>
      <c r="W1157" s="9" t="s">
        <v>3714</v>
      </c>
    </row>
    <row r="1158" spans="1:23" ht="29" customHeight="1" x14ac:dyDescent="0.2">
      <c r="A1158" s="9" t="s">
        <v>3715</v>
      </c>
      <c r="B1158" s="10" t="s">
        <v>3716</v>
      </c>
      <c r="C1158" s="9" t="s">
        <v>1741</v>
      </c>
      <c r="D1158" s="9" t="s">
        <v>1741</v>
      </c>
      <c r="E1158" s="9" t="s">
        <v>2913</v>
      </c>
      <c r="F1158" s="9" t="s">
        <v>3717</v>
      </c>
      <c r="G1158" s="12">
        <v>229</v>
      </c>
      <c r="H1158" s="9">
        <v>499</v>
      </c>
      <c r="I1158" s="9">
        <v>54</v>
      </c>
      <c r="J1158" s="11">
        <v>3.5</v>
      </c>
      <c r="K1158" s="9">
        <v>185</v>
      </c>
      <c r="L1158" s="9">
        <v>4.057235995359294</v>
      </c>
      <c r="M1158" s="9" t="s">
        <v>89</v>
      </c>
      <c r="N1158" s="9" t="s">
        <v>29</v>
      </c>
      <c r="O1158" s="9">
        <v>50.3</v>
      </c>
      <c r="P1158" s="9" t="s">
        <v>30</v>
      </c>
      <c r="Q1158" s="9" t="b">
        <v>0</v>
      </c>
      <c r="R1158" s="9" t="b">
        <v>0</v>
      </c>
      <c r="S1158" s="9" t="b">
        <v>1</v>
      </c>
      <c r="U1158" s="9">
        <v>1</v>
      </c>
      <c r="V1158" s="9" t="b">
        <v>1</v>
      </c>
      <c r="W1158" s="9" t="s">
        <v>3718</v>
      </c>
    </row>
    <row r="1159" spans="1:23" ht="29" customHeight="1" x14ac:dyDescent="0.2">
      <c r="A1159" s="9" t="s">
        <v>3719</v>
      </c>
      <c r="B1159" s="10" t="s">
        <v>3720</v>
      </c>
      <c r="C1159" s="9" t="s">
        <v>1741</v>
      </c>
      <c r="D1159" s="9" t="s">
        <v>1741</v>
      </c>
      <c r="E1159" s="9" t="s">
        <v>2913</v>
      </c>
      <c r="F1159" s="9" t="s">
        <v>3036</v>
      </c>
      <c r="G1159" s="12">
        <v>3349</v>
      </c>
      <c r="H1159" s="9">
        <v>3995</v>
      </c>
      <c r="I1159" s="9">
        <v>16</v>
      </c>
      <c r="J1159" s="11">
        <v>4.3</v>
      </c>
      <c r="K1159" s="9">
        <v>1954</v>
      </c>
      <c r="L1159" s="9">
        <v>4.1582505189680434</v>
      </c>
      <c r="M1159" s="9" t="s">
        <v>28</v>
      </c>
      <c r="N1159" s="9" t="s">
        <v>144</v>
      </c>
      <c r="O1159" s="9">
        <v>40.9</v>
      </c>
      <c r="P1159" s="9" t="s">
        <v>30</v>
      </c>
      <c r="Q1159" s="9" t="b">
        <v>0</v>
      </c>
      <c r="R1159" s="9" t="b">
        <v>0</v>
      </c>
      <c r="S1159" s="9" t="b">
        <v>0</v>
      </c>
      <c r="T1159" s="9">
        <v>1.1000000000000001</v>
      </c>
      <c r="U1159" s="9">
        <v>1</v>
      </c>
      <c r="V1159" s="9" t="b">
        <v>1</v>
      </c>
      <c r="W1159" s="9" t="s">
        <v>3721</v>
      </c>
    </row>
    <row r="1160" spans="1:23" ht="29" customHeight="1" x14ac:dyDescent="0.2">
      <c r="A1160" s="9" t="s">
        <v>3722</v>
      </c>
      <c r="B1160" s="10" t="s">
        <v>3723</v>
      </c>
      <c r="C1160" s="9" t="s">
        <v>1741</v>
      </c>
      <c r="D1160" s="9" t="s">
        <v>1741</v>
      </c>
      <c r="E1160" s="9" t="s">
        <v>2918</v>
      </c>
      <c r="F1160" s="9" t="s">
        <v>2995</v>
      </c>
      <c r="G1160" s="12">
        <v>5499</v>
      </c>
      <c r="H1160" s="9">
        <v>11500</v>
      </c>
      <c r="I1160" s="9">
        <v>52</v>
      </c>
      <c r="J1160" s="11">
        <v>3.9</v>
      </c>
      <c r="K1160" s="9">
        <v>959</v>
      </c>
      <c r="L1160" s="9">
        <v>4.0471331338940626</v>
      </c>
      <c r="M1160" s="9" t="s">
        <v>89</v>
      </c>
      <c r="N1160" s="9" t="s">
        <v>144</v>
      </c>
      <c r="O1160" s="9">
        <v>33.9</v>
      </c>
      <c r="P1160" s="9" t="s">
        <v>40</v>
      </c>
      <c r="Q1160" s="9" t="b">
        <v>0</v>
      </c>
      <c r="R1160" s="9" t="b">
        <v>0</v>
      </c>
      <c r="S1160" s="9" t="b">
        <v>0</v>
      </c>
      <c r="T1160" s="9">
        <v>0.86</v>
      </c>
      <c r="U1160" s="9">
        <v>1</v>
      </c>
      <c r="V1160" s="9" t="b">
        <v>1</v>
      </c>
      <c r="W1160" s="9" t="s">
        <v>3724</v>
      </c>
    </row>
    <row r="1161" spans="1:23" ht="29" customHeight="1" x14ac:dyDescent="0.2">
      <c r="A1161" s="9" t="s">
        <v>3725</v>
      </c>
      <c r="B1161" s="10" t="s">
        <v>3726</v>
      </c>
      <c r="C1161" s="9" t="s">
        <v>1741</v>
      </c>
      <c r="D1161" s="9" t="s">
        <v>1741</v>
      </c>
      <c r="E1161" s="9" t="s">
        <v>2913</v>
      </c>
      <c r="F1161" s="9" t="s">
        <v>2927</v>
      </c>
      <c r="G1161" s="12">
        <v>299</v>
      </c>
      <c r="H1161" s="9">
        <v>499</v>
      </c>
      <c r="I1161" s="9">
        <v>40</v>
      </c>
      <c r="J1161" s="11">
        <v>3.9</v>
      </c>
      <c r="K1161" s="9">
        <v>1015</v>
      </c>
      <c r="L1161" s="9">
        <v>4.0454084964271724</v>
      </c>
      <c r="M1161" s="9" t="s">
        <v>28</v>
      </c>
      <c r="N1161" s="9" t="s">
        <v>29</v>
      </c>
      <c r="O1161" s="9">
        <v>41.3</v>
      </c>
      <c r="P1161" s="9" t="s">
        <v>30</v>
      </c>
      <c r="Q1161" s="9" t="b">
        <v>0</v>
      </c>
      <c r="R1161" s="9" t="b">
        <v>0</v>
      </c>
      <c r="S1161" s="9" t="b">
        <v>0</v>
      </c>
      <c r="T1161" s="9">
        <v>0.67</v>
      </c>
      <c r="U1161" s="9">
        <v>1</v>
      </c>
      <c r="V1161" s="9" t="b">
        <v>1</v>
      </c>
      <c r="W1161" s="9" t="s">
        <v>3727</v>
      </c>
    </row>
    <row r="1162" spans="1:23" ht="29" customHeight="1" x14ac:dyDescent="0.2">
      <c r="A1162" s="9" t="s">
        <v>3728</v>
      </c>
      <c r="B1162" s="10" t="s">
        <v>3729</v>
      </c>
      <c r="C1162" s="9" t="s">
        <v>1741</v>
      </c>
      <c r="D1162" s="9" t="s">
        <v>1741</v>
      </c>
      <c r="E1162" s="9" t="s">
        <v>2918</v>
      </c>
      <c r="F1162" s="9" t="s">
        <v>3730</v>
      </c>
      <c r="G1162" s="12">
        <v>2249</v>
      </c>
      <c r="H1162" s="9">
        <v>3550</v>
      </c>
      <c r="I1162" s="9">
        <v>37</v>
      </c>
      <c r="J1162" s="11">
        <v>4</v>
      </c>
      <c r="K1162" s="9">
        <v>3973</v>
      </c>
      <c r="L1162" s="9">
        <v>4.0411659351924003</v>
      </c>
      <c r="M1162" s="9" t="s">
        <v>28</v>
      </c>
      <c r="N1162" s="9" t="s">
        <v>179</v>
      </c>
      <c r="O1162" s="9">
        <v>29.8</v>
      </c>
      <c r="P1162" s="9" t="s">
        <v>40</v>
      </c>
      <c r="Q1162" s="9" t="b">
        <v>0</v>
      </c>
      <c r="R1162" s="9" t="b">
        <v>0</v>
      </c>
      <c r="S1162" s="9" t="b">
        <v>0</v>
      </c>
      <c r="U1162" s="9">
        <v>1</v>
      </c>
      <c r="V1162" s="9" t="b">
        <v>1</v>
      </c>
      <c r="W1162" s="9" t="s">
        <v>3731</v>
      </c>
    </row>
    <row r="1163" spans="1:23" ht="29" customHeight="1" x14ac:dyDescent="0.2">
      <c r="A1163" s="9" t="s">
        <v>3732</v>
      </c>
      <c r="B1163" s="10" t="s">
        <v>3733</v>
      </c>
      <c r="C1163" s="9" t="s">
        <v>1741</v>
      </c>
      <c r="D1163" s="9" t="s">
        <v>1741</v>
      </c>
      <c r="E1163" s="9" t="s">
        <v>2913</v>
      </c>
      <c r="F1163" s="9" t="s">
        <v>3078</v>
      </c>
      <c r="G1163" s="12">
        <v>699</v>
      </c>
      <c r="H1163" s="9">
        <v>1599</v>
      </c>
      <c r="I1163" s="9">
        <v>56</v>
      </c>
      <c r="J1163" s="11">
        <v>4.7</v>
      </c>
      <c r="K1163" s="9">
        <v>2300</v>
      </c>
      <c r="L1163" s="9">
        <v>4.3180930460504436</v>
      </c>
      <c r="M1163" s="9" t="s">
        <v>28</v>
      </c>
      <c r="N1163" s="9" t="s">
        <v>93</v>
      </c>
      <c r="O1163" s="9">
        <v>79.400000000000006</v>
      </c>
      <c r="P1163" s="9" t="s">
        <v>36</v>
      </c>
      <c r="Q1163" s="9" t="b">
        <v>0</v>
      </c>
      <c r="R1163" s="9" t="b">
        <v>0</v>
      </c>
      <c r="S1163" s="9" t="b">
        <v>0</v>
      </c>
      <c r="T1163" s="9">
        <v>1</v>
      </c>
      <c r="U1163" s="9">
        <v>1</v>
      </c>
      <c r="V1163" s="9" t="b">
        <v>1</v>
      </c>
      <c r="W1163" s="9" t="s">
        <v>3734</v>
      </c>
    </row>
    <row r="1164" spans="1:23" ht="29" customHeight="1" x14ac:dyDescent="0.2">
      <c r="A1164" s="9" t="s">
        <v>3735</v>
      </c>
      <c r="B1164" s="10" t="s">
        <v>3736</v>
      </c>
      <c r="C1164" s="9" t="s">
        <v>1741</v>
      </c>
      <c r="D1164" s="9" t="s">
        <v>1741</v>
      </c>
      <c r="E1164" s="9" t="s">
        <v>2918</v>
      </c>
      <c r="F1164" s="9" t="s">
        <v>2919</v>
      </c>
      <c r="G1164" s="12">
        <v>1235</v>
      </c>
      <c r="H1164" s="9">
        <v>1499</v>
      </c>
      <c r="I1164" s="9">
        <v>18</v>
      </c>
      <c r="J1164" s="11">
        <v>4.0999999999999996</v>
      </c>
      <c r="K1164" s="9">
        <v>203</v>
      </c>
      <c r="L1164" s="9">
        <v>4.0854215336479172</v>
      </c>
      <c r="M1164" s="9" t="s">
        <v>89</v>
      </c>
      <c r="N1164" s="9" t="s">
        <v>179</v>
      </c>
      <c r="O1164" s="9">
        <v>35.799999999999997</v>
      </c>
      <c r="P1164" s="9" t="s">
        <v>40</v>
      </c>
      <c r="Q1164" s="9" t="b">
        <v>0</v>
      </c>
      <c r="R1164" s="9" t="b">
        <v>0</v>
      </c>
      <c r="S1164" s="9" t="b">
        <v>0</v>
      </c>
      <c r="T1164" s="9">
        <v>0.94</v>
      </c>
      <c r="U1164" s="9">
        <v>1</v>
      </c>
      <c r="V1164" s="9" t="b">
        <v>1</v>
      </c>
      <c r="W1164" s="9" t="s">
        <v>3737</v>
      </c>
    </row>
    <row r="1165" spans="1:23" ht="29" customHeight="1" x14ac:dyDescent="0.2">
      <c r="A1165" s="9" t="s">
        <v>3738</v>
      </c>
      <c r="B1165" s="10" t="s">
        <v>3739</v>
      </c>
      <c r="C1165" s="9" t="s">
        <v>1741</v>
      </c>
      <c r="D1165" s="9" t="s">
        <v>1741</v>
      </c>
      <c r="E1165" s="9" t="s">
        <v>2913</v>
      </c>
      <c r="F1165" s="9" t="s">
        <v>3128</v>
      </c>
      <c r="G1165" s="12">
        <v>1349</v>
      </c>
      <c r="H1165" s="9">
        <v>2999</v>
      </c>
      <c r="I1165" s="9">
        <v>55</v>
      </c>
      <c r="J1165" s="11">
        <v>3.8</v>
      </c>
      <c r="K1165" s="9">
        <v>441</v>
      </c>
      <c r="L1165" s="9">
        <v>4.0547731870300501</v>
      </c>
      <c r="M1165" s="9" t="s">
        <v>89</v>
      </c>
      <c r="N1165" s="9" t="s">
        <v>179</v>
      </c>
      <c r="O1165" s="9">
        <v>40.6</v>
      </c>
      <c r="P1165" s="9" t="s">
        <v>30</v>
      </c>
      <c r="Q1165" s="9" t="b">
        <v>0</v>
      </c>
      <c r="R1165" s="9" t="b">
        <v>0</v>
      </c>
      <c r="S1165" s="9" t="b">
        <v>1</v>
      </c>
      <c r="U1165" s="9">
        <v>1</v>
      </c>
      <c r="V1165" s="9" t="b">
        <v>1</v>
      </c>
      <c r="W1165" s="9" t="s">
        <v>3740</v>
      </c>
    </row>
    <row r="1166" spans="1:23" ht="29" customHeight="1" x14ac:dyDescent="0.2">
      <c r="A1166" s="9" t="s">
        <v>3741</v>
      </c>
      <c r="B1166" s="10" t="s">
        <v>3742</v>
      </c>
      <c r="C1166" s="9" t="s">
        <v>1741</v>
      </c>
      <c r="D1166" s="9" t="s">
        <v>1741</v>
      </c>
      <c r="E1166" s="9" t="s">
        <v>2918</v>
      </c>
      <c r="F1166" s="9" t="s">
        <v>2995</v>
      </c>
      <c r="G1166" s="12">
        <v>6800</v>
      </c>
      <c r="H1166" s="9">
        <v>11500</v>
      </c>
      <c r="I1166" s="9">
        <v>41</v>
      </c>
      <c r="J1166" s="11">
        <v>4.0999999999999996</v>
      </c>
      <c r="K1166" s="9">
        <v>10308</v>
      </c>
      <c r="L1166" s="9">
        <v>4.0958913394464176</v>
      </c>
      <c r="M1166" s="9" t="s">
        <v>28</v>
      </c>
      <c r="N1166" s="9" t="s">
        <v>144</v>
      </c>
      <c r="O1166" s="9">
        <v>40.1</v>
      </c>
      <c r="P1166" s="9" t="s">
        <v>30</v>
      </c>
      <c r="Q1166" s="9" t="b">
        <v>0</v>
      </c>
      <c r="R1166" s="9" t="b">
        <v>0</v>
      </c>
      <c r="S1166" s="9" t="b">
        <v>0</v>
      </c>
      <c r="T1166" s="9">
        <v>1.06</v>
      </c>
      <c r="U1166" s="9">
        <v>1</v>
      </c>
      <c r="V1166" s="9" t="b">
        <v>1</v>
      </c>
      <c r="W1166" s="9" t="s">
        <v>3743</v>
      </c>
    </row>
    <row r="1167" spans="1:23" ht="29" customHeight="1" x14ac:dyDescent="0.2">
      <c r="A1167" s="9" t="s">
        <v>3744</v>
      </c>
      <c r="B1167" s="10" t="s">
        <v>3745</v>
      </c>
      <c r="C1167" s="9" t="s">
        <v>1741</v>
      </c>
      <c r="D1167" s="9" t="s">
        <v>1741</v>
      </c>
      <c r="E1167" s="9" t="s">
        <v>2913</v>
      </c>
      <c r="F1167" s="9" t="s">
        <v>3059</v>
      </c>
      <c r="G1167" s="12">
        <v>2099</v>
      </c>
      <c r="H1167" s="9">
        <v>2499</v>
      </c>
      <c r="I1167" s="9">
        <v>16</v>
      </c>
      <c r="K1167" s="9">
        <v>992</v>
      </c>
      <c r="M1167" s="9" t="s">
        <v>89</v>
      </c>
      <c r="N1167" s="9" t="s">
        <v>179</v>
      </c>
      <c r="Q1167" s="9" t="b">
        <v>0</v>
      </c>
      <c r="R1167" s="9" t="b">
        <v>0</v>
      </c>
      <c r="S1167" s="9" t="b">
        <v>0</v>
      </c>
      <c r="U1167" s="9">
        <v>1</v>
      </c>
      <c r="V1167" s="9" t="b">
        <v>1</v>
      </c>
      <c r="W1167" s="9" t="s">
        <v>3746</v>
      </c>
    </row>
    <row r="1168" spans="1:23" ht="29" customHeight="1" x14ac:dyDescent="0.2">
      <c r="A1168" s="9" t="s">
        <v>3747</v>
      </c>
      <c r="B1168" s="10" t="s">
        <v>3748</v>
      </c>
      <c r="C1168" s="9" t="s">
        <v>1741</v>
      </c>
      <c r="D1168" s="9" t="s">
        <v>1741</v>
      </c>
      <c r="E1168" s="9" t="s">
        <v>2913</v>
      </c>
      <c r="F1168" s="9" t="s">
        <v>3088</v>
      </c>
      <c r="G1168" s="12">
        <v>1699</v>
      </c>
      <c r="H1168" s="9">
        <v>1975</v>
      </c>
      <c r="I1168" s="9">
        <v>14</v>
      </c>
      <c r="J1168" s="9">
        <v>4.0999999999999996</v>
      </c>
      <c r="K1168" s="9">
        <v>4716</v>
      </c>
      <c r="L1168" s="9">
        <v>4.0931814697978197</v>
      </c>
      <c r="M1168" s="9" t="s">
        <v>28</v>
      </c>
      <c r="N1168" s="9" t="s">
        <v>179</v>
      </c>
      <c r="O1168" s="9">
        <v>33.1</v>
      </c>
      <c r="P1168" s="9" t="s">
        <v>40</v>
      </c>
      <c r="Q1168" s="9" t="b">
        <v>0</v>
      </c>
      <c r="R1168" s="9" t="b">
        <v>0</v>
      </c>
      <c r="S1168" s="9" t="b">
        <v>0</v>
      </c>
      <c r="T1168" s="9">
        <v>1.1499999999999999</v>
      </c>
      <c r="U1168" s="9">
        <v>1</v>
      </c>
      <c r="V1168" s="9" t="b">
        <v>1</v>
      </c>
      <c r="W1168" s="9" t="s">
        <v>3749</v>
      </c>
    </row>
    <row r="1169" spans="1:23" ht="29" customHeight="1" x14ac:dyDescent="0.2">
      <c r="A1169" s="9" t="s">
        <v>3750</v>
      </c>
      <c r="B1169" s="10" t="s">
        <v>3751</v>
      </c>
      <c r="C1169" s="9" t="s">
        <v>1741</v>
      </c>
      <c r="D1169" s="9" t="s">
        <v>1741</v>
      </c>
      <c r="E1169" s="9" t="s">
        <v>2918</v>
      </c>
      <c r="F1169" s="9" t="s">
        <v>2923</v>
      </c>
      <c r="G1169" s="12">
        <v>1069</v>
      </c>
      <c r="H1169" s="9">
        <v>1699</v>
      </c>
      <c r="I1169" s="9">
        <v>37</v>
      </c>
      <c r="J1169" s="9">
        <v>3.9</v>
      </c>
      <c r="K1169" s="9">
        <v>313</v>
      </c>
      <c r="L1169" s="9">
        <v>4.0704549360031441</v>
      </c>
      <c r="M1169" s="9" t="s">
        <v>89</v>
      </c>
      <c r="N1169" s="9" t="s">
        <v>179</v>
      </c>
      <c r="O1169" s="9">
        <v>39.799999999999997</v>
      </c>
      <c r="P1169" s="9" t="s">
        <v>30</v>
      </c>
      <c r="Q1169" s="9" t="b">
        <v>0</v>
      </c>
      <c r="R1169" s="9" t="b">
        <v>0</v>
      </c>
      <c r="S1169" s="9" t="b">
        <v>0</v>
      </c>
      <c r="T1169" s="9">
        <v>0.99</v>
      </c>
      <c r="U1169" s="9">
        <v>1</v>
      </c>
      <c r="V1169" s="9" t="b">
        <v>1</v>
      </c>
      <c r="W1169" s="9" t="s">
        <v>3752</v>
      </c>
    </row>
    <row r="1170" spans="1:23" ht="29" customHeight="1" x14ac:dyDescent="0.2">
      <c r="A1170" s="9" t="s">
        <v>3753</v>
      </c>
      <c r="B1170" s="10" t="s">
        <v>3754</v>
      </c>
      <c r="C1170" s="9" t="s">
        <v>1741</v>
      </c>
      <c r="D1170" s="9" t="s">
        <v>1741</v>
      </c>
      <c r="E1170" s="9" t="s">
        <v>2918</v>
      </c>
      <c r="F1170" s="9" t="s">
        <v>2923</v>
      </c>
      <c r="G1170" s="12">
        <v>1349</v>
      </c>
      <c r="H1170" s="9">
        <v>2495</v>
      </c>
      <c r="I1170" s="9">
        <v>46</v>
      </c>
      <c r="J1170" s="9">
        <v>3.8</v>
      </c>
      <c r="K1170" s="9">
        <v>166</v>
      </c>
      <c r="L1170" s="9">
        <v>4.0726076343848332</v>
      </c>
      <c r="M1170" s="9" t="s">
        <v>89</v>
      </c>
      <c r="N1170" s="9" t="s">
        <v>179</v>
      </c>
      <c r="O1170" s="9">
        <v>42.9</v>
      </c>
      <c r="P1170" s="9" t="s">
        <v>30</v>
      </c>
      <c r="Q1170" s="9" t="b">
        <v>0</v>
      </c>
      <c r="R1170" s="9" t="b">
        <v>0</v>
      </c>
      <c r="S1170" s="9" t="b">
        <v>1</v>
      </c>
      <c r="T1170" s="9">
        <v>1.25</v>
      </c>
      <c r="U1170" s="9">
        <v>1</v>
      </c>
      <c r="V1170" s="9" t="b">
        <v>1</v>
      </c>
      <c r="W1170" s="9" t="s">
        <v>3755</v>
      </c>
    </row>
    <row r="1171" spans="1:23" ht="29" customHeight="1" x14ac:dyDescent="0.2">
      <c r="A1171" s="9" t="s">
        <v>3756</v>
      </c>
      <c r="B1171" s="10" t="s">
        <v>3757</v>
      </c>
      <c r="C1171" s="9" t="s">
        <v>1741</v>
      </c>
      <c r="D1171" s="9" t="s">
        <v>1741</v>
      </c>
      <c r="E1171" s="9" t="s">
        <v>2918</v>
      </c>
      <c r="F1171" s="9" t="s">
        <v>3017</v>
      </c>
      <c r="G1171" s="12">
        <v>1499</v>
      </c>
      <c r="H1171" s="9">
        <v>3500</v>
      </c>
      <c r="I1171" s="9">
        <v>57</v>
      </c>
      <c r="J1171" s="9">
        <v>4.0999999999999996</v>
      </c>
      <c r="K1171" s="9">
        <v>303</v>
      </c>
      <c r="L1171" s="9">
        <v>4.0857801233995366</v>
      </c>
      <c r="M1171" s="9" t="s">
        <v>89</v>
      </c>
      <c r="N1171" s="9" t="s">
        <v>179</v>
      </c>
      <c r="O1171" s="9">
        <v>50.8</v>
      </c>
      <c r="P1171" s="9" t="s">
        <v>53</v>
      </c>
      <c r="Q1171" s="9" t="b">
        <v>0</v>
      </c>
      <c r="R1171" s="9" t="b">
        <v>0</v>
      </c>
      <c r="S1171" s="9" t="b">
        <v>0</v>
      </c>
      <c r="U1171" s="9">
        <v>1</v>
      </c>
      <c r="V1171" s="9" t="b">
        <v>1</v>
      </c>
      <c r="W1171" s="9" t="s">
        <v>3758</v>
      </c>
    </row>
    <row r="1172" spans="1:23" ht="29" customHeight="1" x14ac:dyDescent="0.2">
      <c r="A1172" s="9" t="s">
        <v>3759</v>
      </c>
      <c r="B1172" s="10" t="s">
        <v>3760</v>
      </c>
      <c r="C1172" s="9" t="s">
        <v>1741</v>
      </c>
      <c r="D1172" s="9" t="s">
        <v>1741</v>
      </c>
      <c r="E1172" s="9" t="s">
        <v>2913</v>
      </c>
      <c r="F1172" s="9" t="s">
        <v>3088</v>
      </c>
      <c r="G1172" s="12">
        <v>2092</v>
      </c>
      <c r="H1172" s="9">
        <v>4600</v>
      </c>
      <c r="I1172" s="9">
        <v>55</v>
      </c>
      <c r="J1172" s="9">
        <v>4.3</v>
      </c>
      <c r="K1172" s="9">
        <v>562</v>
      </c>
      <c r="L1172" s="9">
        <v>4.1126232146330937</v>
      </c>
      <c r="M1172" s="9" t="s">
        <v>89</v>
      </c>
      <c r="N1172" s="9" t="s">
        <v>179</v>
      </c>
      <c r="O1172" s="9">
        <v>54.2</v>
      </c>
      <c r="P1172" s="9" t="s">
        <v>53</v>
      </c>
      <c r="Q1172" s="9" t="b">
        <v>0</v>
      </c>
      <c r="R1172" s="9" t="b">
        <v>0</v>
      </c>
      <c r="S1172" s="9" t="b">
        <v>0</v>
      </c>
      <c r="T1172" s="9">
        <v>1.42</v>
      </c>
      <c r="U1172" s="9">
        <v>1</v>
      </c>
      <c r="V1172" s="9" t="b">
        <v>1</v>
      </c>
      <c r="W1172" s="9" t="s">
        <v>3761</v>
      </c>
    </row>
    <row r="1173" spans="1:23" ht="29" customHeight="1" x14ac:dyDescent="0.2">
      <c r="A1173" s="9" t="s">
        <v>3762</v>
      </c>
      <c r="B1173" s="10" t="s">
        <v>3763</v>
      </c>
      <c r="C1173" s="9" t="s">
        <v>1741</v>
      </c>
      <c r="D1173" s="9" t="s">
        <v>1741</v>
      </c>
      <c r="E1173" s="9" t="s">
        <v>2913</v>
      </c>
      <c r="F1173" s="9" t="s">
        <v>3368</v>
      </c>
      <c r="G1173" s="12">
        <v>3859</v>
      </c>
      <c r="H1173" s="9">
        <v>10295</v>
      </c>
      <c r="I1173" s="9">
        <v>63</v>
      </c>
      <c r="J1173" s="9">
        <v>3.9</v>
      </c>
      <c r="K1173" s="9">
        <v>8095</v>
      </c>
      <c r="L1173" s="9">
        <v>3.9585864719950079</v>
      </c>
      <c r="M1173" s="9" t="s">
        <v>28</v>
      </c>
      <c r="N1173" s="9" t="s">
        <v>144</v>
      </c>
      <c r="O1173" s="9">
        <v>32</v>
      </c>
      <c r="P1173" s="9" t="s">
        <v>40</v>
      </c>
      <c r="Q1173" s="9" t="b">
        <v>0</v>
      </c>
      <c r="R1173" s="9" t="b">
        <v>0</v>
      </c>
      <c r="S1173" s="9" t="b">
        <v>0</v>
      </c>
      <c r="U1173" s="9">
        <v>1</v>
      </c>
      <c r="V1173" s="9" t="b">
        <v>1</v>
      </c>
      <c r="W1173" s="9" t="s">
        <v>3764</v>
      </c>
    </row>
    <row r="1174" spans="1:23" ht="29" customHeight="1" x14ac:dyDescent="0.2">
      <c r="A1174" s="9" t="s">
        <v>3765</v>
      </c>
      <c r="B1174" s="10" t="s">
        <v>3766</v>
      </c>
      <c r="C1174" s="9" t="s">
        <v>1741</v>
      </c>
      <c r="D1174" s="9" t="s">
        <v>1741</v>
      </c>
      <c r="E1174" s="9" t="s">
        <v>2913</v>
      </c>
      <c r="F1174" s="9" t="s">
        <v>3049</v>
      </c>
      <c r="G1174" s="12">
        <v>499</v>
      </c>
      <c r="H1174" s="9">
        <v>2199</v>
      </c>
      <c r="I1174" s="9">
        <v>77</v>
      </c>
      <c r="J1174" s="9">
        <v>2.8</v>
      </c>
      <c r="K1174" s="9">
        <v>109</v>
      </c>
      <c r="L1174" s="9">
        <v>4.0484667678369659</v>
      </c>
      <c r="M1174" s="9" t="s">
        <v>89</v>
      </c>
      <c r="N1174" s="9" t="s">
        <v>29</v>
      </c>
      <c r="O1174" s="9">
        <v>57</v>
      </c>
      <c r="P1174" s="9" t="s">
        <v>53</v>
      </c>
      <c r="Q1174" s="9" t="b">
        <v>0</v>
      </c>
      <c r="R1174" s="9" t="b">
        <v>0</v>
      </c>
      <c r="S1174" s="9" t="b">
        <v>1</v>
      </c>
      <c r="T1174" s="9">
        <v>0.21</v>
      </c>
      <c r="U1174" s="9">
        <v>1</v>
      </c>
      <c r="V1174" s="9" t="b">
        <v>1</v>
      </c>
      <c r="W1174" s="9" t="s">
        <v>3767</v>
      </c>
    </row>
    <row r="1175" spans="1:23" ht="29" customHeight="1" x14ac:dyDescent="0.2">
      <c r="A1175" s="9" t="s">
        <v>3768</v>
      </c>
      <c r="B1175" s="10" t="s">
        <v>3769</v>
      </c>
      <c r="C1175" s="9" t="s">
        <v>1741</v>
      </c>
      <c r="D1175" s="9" t="s">
        <v>1741</v>
      </c>
      <c r="E1175" s="9" t="s">
        <v>2918</v>
      </c>
      <c r="F1175" s="9" t="s">
        <v>3161</v>
      </c>
      <c r="G1175" s="12">
        <v>1804</v>
      </c>
      <c r="H1175" s="9">
        <v>2380</v>
      </c>
      <c r="I1175" s="9">
        <v>24</v>
      </c>
      <c r="J1175" s="9">
        <v>4</v>
      </c>
      <c r="K1175" s="9">
        <v>15382</v>
      </c>
      <c r="L1175" s="9">
        <v>4.0166334504260126</v>
      </c>
      <c r="M1175" s="9" t="s">
        <v>28</v>
      </c>
      <c r="N1175" s="9" t="s">
        <v>179</v>
      </c>
      <c r="O1175" s="9">
        <v>24.1</v>
      </c>
      <c r="P1175" s="9" t="s">
        <v>40</v>
      </c>
      <c r="Q1175" s="9" t="b">
        <v>0</v>
      </c>
      <c r="R1175" s="9" t="b">
        <v>0</v>
      </c>
      <c r="S1175" s="9" t="b">
        <v>0</v>
      </c>
      <c r="T1175" s="9">
        <v>0.9</v>
      </c>
      <c r="U1175" s="9">
        <v>1</v>
      </c>
      <c r="V1175" s="9" t="b">
        <v>1</v>
      </c>
      <c r="W1175" s="9" t="s">
        <v>3770</v>
      </c>
    </row>
    <row r="1176" spans="1:23" ht="29" customHeight="1" x14ac:dyDescent="0.2">
      <c r="A1176" s="9" t="s">
        <v>3771</v>
      </c>
      <c r="B1176" s="10" t="s">
        <v>3772</v>
      </c>
      <c r="C1176" s="9" t="s">
        <v>1741</v>
      </c>
      <c r="D1176" s="9" t="s">
        <v>1741</v>
      </c>
      <c r="E1176" s="9" t="s">
        <v>2913</v>
      </c>
      <c r="F1176" s="9" t="s">
        <v>3049</v>
      </c>
      <c r="G1176" s="12">
        <v>6525</v>
      </c>
      <c r="H1176" s="9">
        <v>8820</v>
      </c>
      <c r="I1176" s="9">
        <v>26</v>
      </c>
      <c r="J1176" s="9">
        <v>4.5</v>
      </c>
      <c r="K1176" s="9">
        <v>5137</v>
      </c>
      <c r="L1176" s="9">
        <v>4.3243934031890348</v>
      </c>
      <c r="M1176" s="9" t="s">
        <v>28</v>
      </c>
      <c r="N1176" s="9" t="s">
        <v>144</v>
      </c>
      <c r="O1176" s="9">
        <v>54.6</v>
      </c>
      <c r="P1176" s="9" t="s">
        <v>53</v>
      </c>
      <c r="Q1176" s="9" t="b">
        <v>0</v>
      </c>
      <c r="R1176" s="9" t="b">
        <v>0</v>
      </c>
      <c r="S1176" s="9" t="b">
        <v>0</v>
      </c>
      <c r="T1176" s="9">
        <v>2.8</v>
      </c>
      <c r="U1176" s="9">
        <v>1</v>
      </c>
      <c r="V1176" s="9" t="b">
        <v>1</v>
      </c>
      <c r="W1176" s="9" t="s">
        <v>3773</v>
      </c>
    </row>
    <row r="1177" spans="1:23" ht="29" customHeight="1" x14ac:dyDescent="0.2">
      <c r="A1177" s="9" t="s">
        <v>3774</v>
      </c>
      <c r="B1177" s="10" t="s">
        <v>3775</v>
      </c>
      <c r="C1177" s="9" t="s">
        <v>1741</v>
      </c>
      <c r="D1177" s="9" t="s">
        <v>1741</v>
      </c>
      <c r="E1177" s="9" t="s">
        <v>2913</v>
      </c>
      <c r="F1177" s="9" t="s">
        <v>3415</v>
      </c>
      <c r="G1177" s="12">
        <v>4999</v>
      </c>
      <c r="H1177" s="9">
        <v>24999</v>
      </c>
      <c r="I1177" s="9">
        <v>80</v>
      </c>
      <c r="J1177" s="9">
        <v>4.5999999999999996</v>
      </c>
      <c r="K1177" s="9">
        <v>124</v>
      </c>
      <c r="L1177" s="9">
        <v>4.1010778571158664</v>
      </c>
      <c r="M1177" s="9" t="s">
        <v>89</v>
      </c>
      <c r="N1177" s="9" t="s">
        <v>144</v>
      </c>
      <c r="O1177" s="9">
        <v>60.6</v>
      </c>
      <c r="P1177" s="9" t="s">
        <v>36</v>
      </c>
      <c r="Q1177" s="9" t="b">
        <v>0</v>
      </c>
      <c r="R1177" s="9" t="b">
        <v>0</v>
      </c>
      <c r="S1177" s="9" t="b">
        <v>0</v>
      </c>
      <c r="T1177" s="9">
        <v>0.74</v>
      </c>
      <c r="U1177" s="9">
        <v>1</v>
      </c>
      <c r="V1177" s="9" t="b">
        <v>1</v>
      </c>
      <c r="W1177" s="9" t="s">
        <v>3776</v>
      </c>
    </row>
    <row r="1178" spans="1:23" ht="29" customHeight="1" x14ac:dyDescent="0.2">
      <c r="A1178" s="9" t="s">
        <v>3777</v>
      </c>
      <c r="B1178" s="10" t="s">
        <v>3778</v>
      </c>
      <c r="C1178" s="9" t="s">
        <v>1741</v>
      </c>
      <c r="D1178" s="9" t="s">
        <v>1741</v>
      </c>
      <c r="E1178" s="9" t="s">
        <v>2913</v>
      </c>
      <c r="F1178" s="9" t="s">
        <v>3262</v>
      </c>
      <c r="G1178" s="12">
        <v>1189</v>
      </c>
      <c r="H1178" s="9">
        <v>2400</v>
      </c>
      <c r="I1178" s="9">
        <v>50</v>
      </c>
      <c r="J1178" s="9">
        <v>4.0999999999999996</v>
      </c>
      <c r="K1178" s="9">
        <v>618</v>
      </c>
      <c r="L1178" s="9">
        <v>4.0868026690288346</v>
      </c>
      <c r="M1178" s="9" t="s">
        <v>89</v>
      </c>
      <c r="N1178" s="9" t="s">
        <v>179</v>
      </c>
      <c r="O1178" s="9">
        <v>46.4</v>
      </c>
      <c r="P1178" s="9" t="s">
        <v>30</v>
      </c>
      <c r="Q1178" s="9" t="b">
        <v>0</v>
      </c>
      <c r="R1178" s="9" t="b">
        <v>0</v>
      </c>
      <c r="S1178" s="9" t="b">
        <v>0</v>
      </c>
      <c r="U1178" s="9">
        <v>1</v>
      </c>
      <c r="V1178" s="9" t="b">
        <v>1</v>
      </c>
      <c r="W1178" s="9" t="s">
        <v>3779</v>
      </c>
    </row>
    <row r="1179" spans="1:23" ht="29" customHeight="1" x14ac:dyDescent="0.2">
      <c r="A1179" s="9" t="s">
        <v>3780</v>
      </c>
      <c r="B1179" s="10" t="s">
        <v>3781</v>
      </c>
      <c r="C1179" s="9" t="s">
        <v>1741</v>
      </c>
      <c r="D1179" s="9" t="s">
        <v>1741</v>
      </c>
      <c r="E1179" s="9" t="s">
        <v>2918</v>
      </c>
      <c r="F1179" s="9" t="s">
        <v>2923</v>
      </c>
      <c r="G1179" s="12">
        <v>2590</v>
      </c>
      <c r="H1179" s="9">
        <v>4200</v>
      </c>
      <c r="I1179" s="9">
        <v>38</v>
      </c>
      <c r="J1179" s="9">
        <v>4.0999999999999996</v>
      </c>
      <c r="K1179" s="9">
        <v>63</v>
      </c>
      <c r="L1179" s="9">
        <v>4.0848880124639431</v>
      </c>
      <c r="M1179" s="9" t="s">
        <v>204</v>
      </c>
      <c r="N1179" s="9" t="s">
        <v>144</v>
      </c>
      <c r="O1179" s="9">
        <v>36.200000000000003</v>
      </c>
      <c r="P1179" s="9" t="s">
        <v>40</v>
      </c>
      <c r="Q1179" s="9" t="b">
        <v>0</v>
      </c>
      <c r="R1179" s="9" t="b">
        <v>0</v>
      </c>
      <c r="S1179" s="9" t="b">
        <v>0</v>
      </c>
      <c r="T1179" s="9">
        <v>2.4</v>
      </c>
      <c r="U1179" s="9">
        <v>1</v>
      </c>
      <c r="V1179" s="9" t="b">
        <v>1</v>
      </c>
      <c r="W1179" s="9" t="s">
        <v>3782</v>
      </c>
    </row>
    <row r="1180" spans="1:23" ht="29" customHeight="1" x14ac:dyDescent="0.2">
      <c r="A1180" s="9" t="s">
        <v>3783</v>
      </c>
      <c r="B1180" s="10" t="s">
        <v>3784</v>
      </c>
      <c r="C1180" s="9" t="s">
        <v>1741</v>
      </c>
      <c r="D1180" s="9" t="s">
        <v>1741</v>
      </c>
      <c r="E1180" s="9" t="s">
        <v>2918</v>
      </c>
      <c r="F1180" s="9" t="s">
        <v>2923</v>
      </c>
      <c r="G1180" s="12">
        <v>899</v>
      </c>
      <c r="H1180" s="9">
        <v>1599</v>
      </c>
      <c r="I1180" s="9">
        <v>44</v>
      </c>
      <c r="J1180" s="9">
        <v>3.4</v>
      </c>
      <c r="K1180" s="9">
        <v>15</v>
      </c>
      <c r="L1180" s="9">
        <v>4.0819163710604416</v>
      </c>
      <c r="M1180" s="9" t="s">
        <v>204</v>
      </c>
      <c r="N1180" s="9" t="s">
        <v>93</v>
      </c>
      <c r="O1180" s="9">
        <v>46.6</v>
      </c>
      <c r="P1180" s="9" t="s">
        <v>30</v>
      </c>
      <c r="Q1180" s="9" t="b">
        <v>0</v>
      </c>
      <c r="R1180" s="9" t="b">
        <v>0</v>
      </c>
      <c r="S1180" s="9" t="b">
        <v>1</v>
      </c>
      <c r="T1180" s="9">
        <v>0.83</v>
      </c>
      <c r="U1180" s="9">
        <v>1</v>
      </c>
      <c r="V1180" s="9" t="b">
        <v>1</v>
      </c>
      <c r="W1180" s="9" t="s">
        <v>3785</v>
      </c>
    </row>
    <row r="1181" spans="1:23" ht="29" customHeight="1" x14ac:dyDescent="0.2">
      <c r="A1181" s="9" t="s">
        <v>3786</v>
      </c>
      <c r="B1181" s="10" t="s">
        <v>3787</v>
      </c>
      <c r="C1181" s="9" t="s">
        <v>1741</v>
      </c>
      <c r="D1181" s="9" t="s">
        <v>1741</v>
      </c>
      <c r="E1181" s="9" t="s">
        <v>2918</v>
      </c>
      <c r="F1181" s="9" t="s">
        <v>2923</v>
      </c>
      <c r="G1181" s="12">
        <v>998</v>
      </c>
      <c r="H1181" s="9">
        <v>2999</v>
      </c>
      <c r="I1181" s="9">
        <v>67</v>
      </c>
      <c r="J1181" s="9">
        <v>4.5999999999999996</v>
      </c>
      <c r="K1181" s="9">
        <v>9</v>
      </c>
      <c r="L1181" s="9">
        <v>4.0858647995971928</v>
      </c>
      <c r="M1181" s="9" t="s">
        <v>204</v>
      </c>
      <c r="N1181" s="9" t="s">
        <v>93</v>
      </c>
      <c r="O1181" s="9">
        <v>59.3</v>
      </c>
      <c r="P1181" s="9" t="s">
        <v>53</v>
      </c>
      <c r="Q1181" s="9" t="b">
        <v>0</v>
      </c>
      <c r="R1181" s="9" t="b">
        <v>0</v>
      </c>
      <c r="S1181" s="9" t="b">
        <v>0</v>
      </c>
      <c r="T1181" s="9">
        <v>0.92</v>
      </c>
      <c r="U1181" s="9">
        <v>1</v>
      </c>
      <c r="V1181" s="9" t="b">
        <v>1</v>
      </c>
      <c r="W1181" s="9" t="s">
        <v>3788</v>
      </c>
    </row>
    <row r="1182" spans="1:23" ht="29" customHeight="1" x14ac:dyDescent="0.2">
      <c r="A1182" s="9" t="s">
        <v>3789</v>
      </c>
      <c r="B1182" s="10" t="s">
        <v>3790</v>
      </c>
      <c r="C1182" s="9" t="s">
        <v>1741</v>
      </c>
      <c r="D1182" s="9" t="s">
        <v>1741</v>
      </c>
      <c r="E1182" s="9" t="s">
        <v>3031</v>
      </c>
      <c r="F1182" s="9" t="s">
        <v>3032</v>
      </c>
      <c r="G1182" s="12">
        <v>998.06</v>
      </c>
      <c r="H1182" s="9">
        <v>1282</v>
      </c>
      <c r="I1182" s="9">
        <v>22</v>
      </c>
      <c r="J1182" s="9">
        <v>4.2</v>
      </c>
      <c r="K1182" s="9">
        <v>7274</v>
      </c>
      <c r="L1182" s="9">
        <v>4.1606704201223952</v>
      </c>
      <c r="M1182" s="9" t="s">
        <v>28</v>
      </c>
      <c r="N1182" s="9" t="s">
        <v>93</v>
      </c>
      <c r="O1182" s="9">
        <v>42.6</v>
      </c>
      <c r="P1182" s="9" t="s">
        <v>30</v>
      </c>
      <c r="Q1182" s="9" t="b">
        <v>0</v>
      </c>
      <c r="R1182" s="9" t="b">
        <v>0</v>
      </c>
      <c r="S1182" s="9" t="b">
        <v>0</v>
      </c>
      <c r="T1182" s="9">
        <v>2.84</v>
      </c>
      <c r="U1182" s="9">
        <v>1</v>
      </c>
      <c r="V1182" s="9" t="b">
        <v>1</v>
      </c>
      <c r="W1182" s="9" t="s">
        <v>3791</v>
      </c>
    </row>
    <row r="1183" spans="1:23" ht="29" customHeight="1" x14ac:dyDescent="0.2">
      <c r="A1183" s="9" t="s">
        <v>3792</v>
      </c>
      <c r="B1183" s="10" t="s">
        <v>3793</v>
      </c>
      <c r="C1183" s="9" t="s">
        <v>1741</v>
      </c>
      <c r="D1183" s="9" t="s">
        <v>1741</v>
      </c>
      <c r="E1183" s="9" t="s">
        <v>2918</v>
      </c>
      <c r="F1183" s="9" t="s">
        <v>3161</v>
      </c>
      <c r="G1183" s="12">
        <v>1099</v>
      </c>
      <c r="H1183" s="9">
        <v>1990</v>
      </c>
      <c r="I1183" s="9">
        <v>45</v>
      </c>
      <c r="J1183" s="9">
        <v>3.9</v>
      </c>
      <c r="K1183" s="9">
        <v>5911</v>
      </c>
      <c r="L1183" s="9">
        <v>3.9718136239914008</v>
      </c>
      <c r="M1183" s="9" t="s">
        <v>28</v>
      </c>
      <c r="N1183" s="9" t="s">
        <v>179</v>
      </c>
      <c r="O1183" s="9">
        <v>33.799999999999997</v>
      </c>
      <c r="P1183" s="9" t="s">
        <v>40</v>
      </c>
      <c r="Q1183" s="9" t="b">
        <v>0</v>
      </c>
      <c r="R1183" s="9" t="b">
        <v>0</v>
      </c>
      <c r="S1183" s="9" t="b">
        <v>0</v>
      </c>
      <c r="T1183" s="9">
        <v>0.55000000000000004</v>
      </c>
      <c r="U1183" s="9">
        <v>1</v>
      </c>
      <c r="V1183" s="9" t="b">
        <v>1</v>
      </c>
      <c r="W1183" s="9" t="s">
        <v>3794</v>
      </c>
    </row>
    <row r="1184" spans="1:23" ht="29" customHeight="1" x14ac:dyDescent="0.2">
      <c r="A1184" s="9" t="s">
        <v>3795</v>
      </c>
      <c r="B1184" s="10" t="s">
        <v>3796</v>
      </c>
      <c r="C1184" s="9" t="s">
        <v>1741</v>
      </c>
      <c r="D1184" s="9" t="s">
        <v>1741</v>
      </c>
      <c r="E1184" s="9" t="s">
        <v>2913</v>
      </c>
      <c r="F1184" s="9" t="s">
        <v>3190</v>
      </c>
      <c r="G1184" s="12">
        <v>5999</v>
      </c>
      <c r="H1184" s="9">
        <v>9999</v>
      </c>
      <c r="I1184" s="9">
        <v>40</v>
      </c>
      <c r="J1184" s="9">
        <v>4.2</v>
      </c>
      <c r="K1184" s="9">
        <v>170</v>
      </c>
      <c r="L1184" s="9">
        <v>4.0896221466448353</v>
      </c>
      <c r="M1184" s="9" t="s">
        <v>89</v>
      </c>
      <c r="N1184" s="9" t="s">
        <v>144</v>
      </c>
      <c r="O1184" s="9">
        <v>35.4</v>
      </c>
      <c r="P1184" s="9" t="s">
        <v>40</v>
      </c>
      <c r="Q1184" s="9" t="b">
        <v>0</v>
      </c>
      <c r="R1184" s="9" t="b">
        <v>0</v>
      </c>
      <c r="S1184" s="9" t="b">
        <v>0</v>
      </c>
      <c r="U1184" s="9">
        <v>1</v>
      </c>
      <c r="V1184" s="9" t="b">
        <v>1</v>
      </c>
      <c r="W1184" s="9" t="s">
        <v>3797</v>
      </c>
    </row>
    <row r="1185" spans="1:23" ht="29" customHeight="1" x14ac:dyDescent="0.2">
      <c r="A1185" s="9" t="s">
        <v>3798</v>
      </c>
      <c r="B1185" s="10" t="s">
        <v>3799</v>
      </c>
      <c r="C1185" s="9" t="s">
        <v>1741</v>
      </c>
      <c r="D1185" s="9" t="s">
        <v>1741</v>
      </c>
      <c r="E1185" s="9" t="s">
        <v>2913</v>
      </c>
      <c r="F1185" s="9" t="s">
        <v>3368</v>
      </c>
      <c r="G1185" s="12">
        <v>8886</v>
      </c>
      <c r="H1185" s="9">
        <v>11850</v>
      </c>
      <c r="I1185" s="9">
        <v>25</v>
      </c>
      <c r="J1185" s="9">
        <v>4.2</v>
      </c>
      <c r="K1185" s="9">
        <v>3065</v>
      </c>
      <c r="L1185" s="9">
        <v>4.1364246197994596</v>
      </c>
      <c r="M1185" s="9" t="s">
        <v>28</v>
      </c>
      <c r="N1185" s="9" t="s">
        <v>144</v>
      </c>
      <c r="O1185" s="9">
        <v>38.799999999999997</v>
      </c>
      <c r="P1185" s="9" t="s">
        <v>30</v>
      </c>
      <c r="Q1185" s="9" t="b">
        <v>0</v>
      </c>
      <c r="R1185" s="9" t="b">
        <v>0</v>
      </c>
      <c r="S1185" s="9" t="b">
        <v>0</v>
      </c>
      <c r="U1185" s="9">
        <v>1</v>
      </c>
      <c r="V1185" s="9" t="b">
        <v>1</v>
      </c>
      <c r="W1185" s="9" t="s">
        <v>3800</v>
      </c>
    </row>
    <row r="1186" spans="1:23" ht="29" customHeight="1" x14ac:dyDescent="0.2">
      <c r="A1186" s="9" t="s">
        <v>3801</v>
      </c>
      <c r="B1186" s="10" t="s">
        <v>3802</v>
      </c>
      <c r="C1186" s="9" t="s">
        <v>1741</v>
      </c>
      <c r="D1186" s="9" t="s">
        <v>1741</v>
      </c>
      <c r="E1186" s="9" t="s">
        <v>2913</v>
      </c>
      <c r="F1186" s="9" t="s">
        <v>2927</v>
      </c>
      <c r="G1186" s="12">
        <v>475</v>
      </c>
      <c r="H1186" s="9">
        <v>999</v>
      </c>
      <c r="I1186" s="9">
        <v>52</v>
      </c>
      <c r="J1186" s="9">
        <v>4.0999999999999996</v>
      </c>
      <c r="K1186" s="9">
        <v>1021</v>
      </c>
      <c r="L1186" s="9">
        <v>4.0879145169187447</v>
      </c>
      <c r="M1186" s="9" t="s">
        <v>28</v>
      </c>
      <c r="N1186" s="9" t="s">
        <v>29</v>
      </c>
      <c r="O1186" s="9">
        <v>54</v>
      </c>
      <c r="P1186" s="9" t="s">
        <v>53</v>
      </c>
      <c r="Q1186" s="9" t="b">
        <v>0</v>
      </c>
      <c r="R1186" s="9" t="b">
        <v>0</v>
      </c>
      <c r="S1186" s="9" t="b">
        <v>0</v>
      </c>
      <c r="T1186" s="9">
        <v>1.06</v>
      </c>
      <c r="U1186" s="9">
        <v>1</v>
      </c>
      <c r="V1186" s="9" t="b">
        <v>1</v>
      </c>
      <c r="W1186" s="9" t="s">
        <v>3803</v>
      </c>
    </row>
    <row r="1187" spans="1:23" ht="29" customHeight="1" x14ac:dyDescent="0.2">
      <c r="A1187" s="9" t="s">
        <v>3804</v>
      </c>
      <c r="B1187" s="10" t="s">
        <v>3805</v>
      </c>
      <c r="C1187" s="9" t="s">
        <v>1741</v>
      </c>
      <c r="D1187" s="9" t="s">
        <v>1741</v>
      </c>
      <c r="E1187" s="9" t="s">
        <v>2913</v>
      </c>
      <c r="F1187" s="9" t="s">
        <v>3027</v>
      </c>
      <c r="G1187" s="12">
        <v>4995</v>
      </c>
      <c r="H1187" s="9">
        <v>20049</v>
      </c>
      <c r="I1187" s="9">
        <v>75</v>
      </c>
      <c r="J1187" s="9">
        <v>4.8</v>
      </c>
      <c r="K1187" s="9">
        <v>3964</v>
      </c>
      <c r="L1187" s="9">
        <v>4.451645517592806</v>
      </c>
      <c r="M1187" s="9" t="s">
        <v>28</v>
      </c>
      <c r="N1187" s="9" t="s">
        <v>144</v>
      </c>
      <c r="O1187" s="9">
        <v>79.2</v>
      </c>
      <c r="P1187" s="9" t="s">
        <v>36</v>
      </c>
      <c r="Q1187" s="9" t="b">
        <v>0</v>
      </c>
      <c r="R1187" s="9" t="b">
        <v>0</v>
      </c>
      <c r="S1187" s="9" t="b">
        <v>0</v>
      </c>
      <c r="U1187" s="9">
        <v>1</v>
      </c>
      <c r="V1187" s="9" t="b">
        <v>1</v>
      </c>
      <c r="W1187" s="9" t="s">
        <v>3806</v>
      </c>
    </row>
    <row r="1188" spans="1:23" ht="29" customHeight="1" x14ac:dyDescent="0.2">
      <c r="A1188" s="9" t="s">
        <v>3807</v>
      </c>
      <c r="B1188" s="10" t="s">
        <v>3808</v>
      </c>
      <c r="C1188" s="9" t="s">
        <v>1741</v>
      </c>
      <c r="D1188" s="9" t="s">
        <v>1741</v>
      </c>
      <c r="E1188" s="9" t="s">
        <v>2913</v>
      </c>
      <c r="F1188" s="9" t="s">
        <v>3415</v>
      </c>
      <c r="G1188" s="12">
        <v>13999</v>
      </c>
      <c r="H1188" s="9">
        <v>24850</v>
      </c>
      <c r="I1188" s="9">
        <v>44</v>
      </c>
      <c r="J1188" s="9">
        <v>4.4000000000000004</v>
      </c>
      <c r="K1188" s="9">
        <v>8948</v>
      </c>
      <c r="L1188" s="9">
        <v>4.3066471886771422</v>
      </c>
      <c r="M1188" s="9" t="s">
        <v>28</v>
      </c>
      <c r="N1188" s="9" t="s">
        <v>58</v>
      </c>
      <c r="O1188" s="9">
        <v>59.8</v>
      </c>
      <c r="P1188" s="9" t="s">
        <v>53</v>
      </c>
      <c r="Q1188" s="9" t="b">
        <v>0</v>
      </c>
      <c r="R1188" s="9" t="b">
        <v>0</v>
      </c>
      <c r="S1188" s="9" t="b">
        <v>0</v>
      </c>
      <c r="T1188" s="9">
        <v>2.06</v>
      </c>
      <c r="U1188" s="9">
        <v>1</v>
      </c>
      <c r="V1188" s="9" t="b">
        <v>1</v>
      </c>
      <c r="W1188" s="9" t="s">
        <v>3809</v>
      </c>
    </row>
    <row r="1189" spans="1:23" ht="29" customHeight="1" x14ac:dyDescent="0.2">
      <c r="A1189" s="9" t="s">
        <v>3810</v>
      </c>
      <c r="B1189" s="10" t="s">
        <v>3811</v>
      </c>
      <c r="C1189" s="9" t="s">
        <v>1741</v>
      </c>
      <c r="D1189" s="9" t="s">
        <v>1741</v>
      </c>
      <c r="E1189" s="9" t="s">
        <v>2913</v>
      </c>
      <c r="F1189" s="9" t="s">
        <v>3415</v>
      </c>
      <c r="G1189" s="12">
        <v>8499</v>
      </c>
      <c r="H1189" s="9">
        <v>16490</v>
      </c>
      <c r="I1189" s="9">
        <v>48</v>
      </c>
      <c r="J1189" s="9">
        <v>4.3</v>
      </c>
      <c r="K1189" s="9">
        <v>97</v>
      </c>
      <c r="L1189" s="9">
        <v>4.0900476983238283</v>
      </c>
      <c r="M1189" s="9" t="s">
        <v>204</v>
      </c>
      <c r="N1189" s="9" t="s">
        <v>144</v>
      </c>
      <c r="O1189" s="9">
        <v>38.5</v>
      </c>
      <c r="P1189" s="9" t="s">
        <v>40</v>
      </c>
      <c r="Q1189" s="9" t="b">
        <v>0</v>
      </c>
      <c r="R1189" s="9" t="b">
        <v>0</v>
      </c>
      <c r="S1189" s="9" t="b">
        <v>0</v>
      </c>
      <c r="T1189" s="9">
        <v>1.25</v>
      </c>
      <c r="U1189" s="9">
        <v>1</v>
      </c>
      <c r="V1189" s="9" t="b">
        <v>1</v>
      </c>
      <c r="W1189" s="9" t="s">
        <v>3812</v>
      </c>
    </row>
    <row r="1190" spans="1:23" ht="29" customHeight="1" x14ac:dyDescent="0.2">
      <c r="A1190" s="9" t="s">
        <v>3813</v>
      </c>
      <c r="B1190" s="10" t="s">
        <v>3814</v>
      </c>
      <c r="C1190" s="9" t="s">
        <v>1741</v>
      </c>
      <c r="D1190" s="9" t="s">
        <v>1741</v>
      </c>
      <c r="E1190" s="9" t="s">
        <v>2913</v>
      </c>
      <c r="F1190" s="9" t="s">
        <v>2969</v>
      </c>
      <c r="G1190" s="12">
        <v>949</v>
      </c>
      <c r="H1190" s="9">
        <v>975</v>
      </c>
      <c r="I1190" s="9">
        <v>3</v>
      </c>
      <c r="J1190" s="9">
        <v>4.3</v>
      </c>
      <c r="K1190" s="9">
        <v>7223</v>
      </c>
      <c r="L1190" s="9">
        <v>4.226238140428821</v>
      </c>
      <c r="M1190" s="9" t="s">
        <v>28</v>
      </c>
      <c r="N1190" s="9" t="s">
        <v>93</v>
      </c>
      <c r="O1190" s="9">
        <v>54.5</v>
      </c>
      <c r="P1190" s="9" t="s">
        <v>53</v>
      </c>
      <c r="Q1190" s="9" t="b">
        <v>0</v>
      </c>
      <c r="R1190" s="9" t="b">
        <v>0</v>
      </c>
      <c r="S1190" s="9" t="b">
        <v>0</v>
      </c>
      <c r="T1190" s="9">
        <v>1.4</v>
      </c>
      <c r="U1190" s="9">
        <v>1</v>
      </c>
      <c r="V1190" s="9" t="b">
        <v>1</v>
      </c>
      <c r="W1190" s="9" t="s">
        <v>3815</v>
      </c>
    </row>
    <row r="1191" spans="1:23" ht="29" customHeight="1" x14ac:dyDescent="0.2">
      <c r="A1191" s="9" t="s">
        <v>3816</v>
      </c>
      <c r="B1191" s="10" t="s">
        <v>3817</v>
      </c>
      <c r="C1191" s="9" t="s">
        <v>1741</v>
      </c>
      <c r="D1191" s="9" t="s">
        <v>1741</v>
      </c>
      <c r="E1191" s="9" t="s">
        <v>3031</v>
      </c>
      <c r="F1191" s="9" t="s">
        <v>3032</v>
      </c>
      <c r="G1191" s="12">
        <v>395</v>
      </c>
      <c r="H1191" s="9">
        <v>499</v>
      </c>
      <c r="I1191" s="9">
        <v>21</v>
      </c>
      <c r="J1191" s="9">
        <v>4</v>
      </c>
      <c r="K1191" s="9">
        <v>330</v>
      </c>
      <c r="L1191" s="9">
        <v>4.0778104072524899</v>
      </c>
      <c r="M1191" s="9" t="s">
        <v>89</v>
      </c>
      <c r="N1191" s="9" t="s">
        <v>29</v>
      </c>
      <c r="O1191" s="9">
        <v>29.2</v>
      </c>
      <c r="P1191" s="9" t="s">
        <v>40</v>
      </c>
      <c r="Q1191" s="9" t="b">
        <v>0</v>
      </c>
      <c r="R1191" s="9" t="b">
        <v>0</v>
      </c>
      <c r="S1191" s="9" t="b">
        <v>0</v>
      </c>
      <c r="T1191" s="9">
        <v>1.1299999999999999</v>
      </c>
      <c r="U1191" s="9">
        <v>1</v>
      </c>
      <c r="V1191" s="9" t="b">
        <v>1</v>
      </c>
      <c r="W1191" s="9" t="s">
        <v>3818</v>
      </c>
    </row>
    <row r="1192" spans="1:23" ht="29" customHeight="1" x14ac:dyDescent="0.2">
      <c r="A1192" s="9" t="s">
        <v>3819</v>
      </c>
      <c r="B1192" s="10" t="s">
        <v>3820</v>
      </c>
      <c r="C1192" s="9" t="s">
        <v>1741</v>
      </c>
      <c r="D1192" s="9" t="s">
        <v>1741</v>
      </c>
      <c r="E1192" s="9" t="s">
        <v>2913</v>
      </c>
      <c r="F1192" s="9" t="s">
        <v>3821</v>
      </c>
      <c r="G1192" s="12">
        <v>635</v>
      </c>
      <c r="H1192" s="9">
        <v>635</v>
      </c>
      <c r="I1192" s="9">
        <v>0</v>
      </c>
      <c r="J1192" s="9">
        <v>4.3</v>
      </c>
      <c r="K1192" s="9">
        <v>4570</v>
      </c>
      <c r="L1192" s="9">
        <v>4.202752966298327</v>
      </c>
      <c r="M1192" s="9" t="s">
        <v>28</v>
      </c>
      <c r="N1192" s="9" t="s">
        <v>93</v>
      </c>
      <c r="O1192" s="9">
        <v>55.4</v>
      </c>
      <c r="P1192" s="9" t="s">
        <v>53</v>
      </c>
      <c r="Q1192" s="9" t="b">
        <v>0</v>
      </c>
      <c r="R1192" s="9" t="b">
        <v>0</v>
      </c>
      <c r="S1192" s="9" t="b">
        <v>0</v>
      </c>
      <c r="U1192" s="9">
        <v>1</v>
      </c>
      <c r="V1192" s="9" t="b">
        <v>1</v>
      </c>
      <c r="W1192" s="9" t="s">
        <v>3822</v>
      </c>
    </row>
    <row r="1193" spans="1:23" ht="29" customHeight="1" x14ac:dyDescent="0.2">
      <c r="A1193" s="9" t="s">
        <v>3823</v>
      </c>
      <c r="B1193" s="10" t="s">
        <v>3824</v>
      </c>
      <c r="C1193" s="9" t="s">
        <v>1741</v>
      </c>
      <c r="D1193" s="9" t="s">
        <v>1741</v>
      </c>
      <c r="E1193" s="9" t="s">
        <v>2913</v>
      </c>
      <c r="F1193" s="9" t="s">
        <v>2969</v>
      </c>
      <c r="G1193" s="12">
        <v>717</v>
      </c>
      <c r="H1193" s="9">
        <v>1390</v>
      </c>
      <c r="I1193" s="9">
        <v>48</v>
      </c>
      <c r="J1193" s="9">
        <v>4</v>
      </c>
      <c r="K1193" s="9">
        <v>4867</v>
      </c>
      <c r="L1193" s="9">
        <v>4.036901221586513</v>
      </c>
      <c r="M1193" s="9" t="s">
        <v>28</v>
      </c>
      <c r="N1193" s="9" t="s">
        <v>93</v>
      </c>
      <c r="O1193" s="9">
        <v>39.9</v>
      </c>
      <c r="P1193" s="9" t="s">
        <v>30</v>
      </c>
      <c r="Q1193" s="9" t="b">
        <v>0</v>
      </c>
      <c r="R1193" s="9" t="b">
        <v>0</v>
      </c>
      <c r="S1193" s="9" t="b">
        <v>0</v>
      </c>
      <c r="T1193" s="9">
        <v>1.06</v>
      </c>
      <c r="U1193" s="9">
        <v>1</v>
      </c>
      <c r="V1193" s="9" t="b">
        <v>1</v>
      </c>
      <c r="W1193" s="9" t="s">
        <v>3825</v>
      </c>
    </row>
    <row r="1194" spans="1:23" ht="29" customHeight="1" x14ac:dyDescent="0.2">
      <c r="A1194" s="9" t="s">
        <v>3826</v>
      </c>
      <c r="B1194" s="10" t="s">
        <v>3827</v>
      </c>
      <c r="C1194" s="9" t="s">
        <v>1741</v>
      </c>
      <c r="D1194" s="9" t="s">
        <v>1741</v>
      </c>
      <c r="E1194" s="9" t="s">
        <v>2913</v>
      </c>
      <c r="F1194" s="9" t="s">
        <v>3828</v>
      </c>
      <c r="G1194" s="12">
        <v>27900</v>
      </c>
      <c r="H1194" s="9">
        <v>59900</v>
      </c>
      <c r="I1194" s="9">
        <v>53</v>
      </c>
      <c r="J1194" s="9">
        <v>4.4000000000000004</v>
      </c>
      <c r="K1194" s="9">
        <v>5298</v>
      </c>
      <c r="L1194" s="9">
        <v>4.2690402396866416</v>
      </c>
      <c r="M1194" s="9" t="s">
        <v>28</v>
      </c>
      <c r="N1194" s="9" t="s">
        <v>58</v>
      </c>
      <c r="O1194" s="9">
        <v>61.5</v>
      </c>
      <c r="P1194" s="9" t="s">
        <v>36</v>
      </c>
      <c r="Q1194" s="9" t="b">
        <v>0</v>
      </c>
      <c r="R1194" s="9" t="b">
        <v>0</v>
      </c>
      <c r="S1194" s="9" t="b">
        <v>0</v>
      </c>
      <c r="U1194" s="9">
        <v>1</v>
      </c>
      <c r="V1194" s="9" t="b">
        <v>1</v>
      </c>
      <c r="W1194" s="9" t="s">
        <v>3829</v>
      </c>
    </row>
    <row r="1195" spans="1:23" ht="29" customHeight="1" x14ac:dyDescent="0.2">
      <c r="A1195" s="9" t="s">
        <v>3830</v>
      </c>
      <c r="B1195" s="10" t="s">
        <v>3831</v>
      </c>
      <c r="C1195" s="9" t="s">
        <v>1741</v>
      </c>
      <c r="D1195" s="9" t="s">
        <v>1741</v>
      </c>
      <c r="E1195" s="9" t="s">
        <v>2913</v>
      </c>
      <c r="F1195" s="9" t="s">
        <v>3273</v>
      </c>
      <c r="G1195" s="12">
        <v>649</v>
      </c>
      <c r="H1195" s="9">
        <v>670</v>
      </c>
      <c r="I1195" s="9">
        <v>3</v>
      </c>
      <c r="J1195" s="9">
        <v>4.0999999999999996</v>
      </c>
      <c r="K1195" s="9">
        <v>7786</v>
      </c>
      <c r="L1195" s="9">
        <v>4.0949940764325081</v>
      </c>
      <c r="M1195" s="9" t="s">
        <v>28</v>
      </c>
      <c r="N1195" s="9" t="s">
        <v>93</v>
      </c>
      <c r="O1195" s="9">
        <v>40.5</v>
      </c>
      <c r="P1195" s="9" t="s">
        <v>30</v>
      </c>
      <c r="Q1195" s="9" t="b">
        <v>0</v>
      </c>
      <c r="R1195" s="9" t="b">
        <v>0</v>
      </c>
      <c r="S1195" s="9" t="b">
        <v>0</v>
      </c>
      <c r="U1195" s="9">
        <v>1</v>
      </c>
      <c r="V1195" s="9" t="b">
        <v>1</v>
      </c>
      <c r="W1195" s="9" t="s">
        <v>3832</v>
      </c>
    </row>
    <row r="1196" spans="1:23" ht="29" customHeight="1" x14ac:dyDescent="0.2">
      <c r="A1196" s="9" t="s">
        <v>3833</v>
      </c>
      <c r="B1196" s="10" t="s">
        <v>3834</v>
      </c>
      <c r="C1196" s="9" t="s">
        <v>1741</v>
      </c>
      <c r="D1196" s="9" t="s">
        <v>1741</v>
      </c>
      <c r="E1196" s="9" t="s">
        <v>2913</v>
      </c>
      <c r="F1196" s="9" t="s">
        <v>3269</v>
      </c>
      <c r="G1196" s="12">
        <v>193</v>
      </c>
      <c r="H1196" s="9">
        <v>399</v>
      </c>
      <c r="I1196" s="9">
        <v>52</v>
      </c>
      <c r="J1196" s="9">
        <v>3.6</v>
      </c>
      <c r="K1196" s="9">
        <v>37</v>
      </c>
      <c r="L1196" s="9">
        <v>4.0799155393290736</v>
      </c>
      <c r="M1196" s="9" t="s">
        <v>204</v>
      </c>
      <c r="N1196" s="9" t="s">
        <v>29</v>
      </c>
      <c r="O1196" s="9">
        <v>53.3</v>
      </c>
      <c r="P1196" s="9" t="s">
        <v>53</v>
      </c>
      <c r="Q1196" s="9" t="b">
        <v>0</v>
      </c>
      <c r="R1196" s="9" t="b">
        <v>0</v>
      </c>
      <c r="S1196" s="9" t="b">
        <v>1</v>
      </c>
      <c r="T1196" s="9">
        <v>0.84</v>
      </c>
      <c r="U1196" s="9">
        <v>1</v>
      </c>
      <c r="V1196" s="9" t="b">
        <v>1</v>
      </c>
      <c r="W1196" s="9" t="s">
        <v>3835</v>
      </c>
    </row>
    <row r="1197" spans="1:23" ht="29" customHeight="1" x14ac:dyDescent="0.2">
      <c r="A1197" s="9" t="s">
        <v>3836</v>
      </c>
      <c r="B1197" s="10" t="s">
        <v>3837</v>
      </c>
      <c r="C1197" s="9" t="s">
        <v>1741</v>
      </c>
      <c r="D1197" s="9" t="s">
        <v>1741</v>
      </c>
      <c r="E1197" s="9" t="s">
        <v>2918</v>
      </c>
      <c r="F1197" s="9" t="s">
        <v>2923</v>
      </c>
      <c r="G1197" s="12">
        <v>1299</v>
      </c>
      <c r="H1197" s="9">
        <v>2495</v>
      </c>
      <c r="I1197" s="9">
        <v>48</v>
      </c>
      <c r="J1197" s="9">
        <v>2</v>
      </c>
      <c r="K1197" s="9">
        <v>2</v>
      </c>
      <c r="L1197" s="9">
        <v>4.083527451635228</v>
      </c>
      <c r="M1197" s="9" t="s">
        <v>204</v>
      </c>
      <c r="N1197" s="9" t="s">
        <v>179</v>
      </c>
      <c r="O1197" s="9">
        <v>46.2</v>
      </c>
      <c r="P1197" s="9" t="s">
        <v>30</v>
      </c>
      <c r="Q1197" s="9" t="b">
        <v>0</v>
      </c>
      <c r="R1197" s="9" t="b">
        <v>0</v>
      </c>
      <c r="S1197" s="9" t="b">
        <v>1</v>
      </c>
      <c r="T1197" s="9">
        <v>1.2</v>
      </c>
      <c r="U1197" s="9">
        <v>1</v>
      </c>
      <c r="V1197" s="9" t="b">
        <v>1</v>
      </c>
      <c r="W1197" s="9" t="s">
        <v>3838</v>
      </c>
    </row>
    <row r="1198" spans="1:23" ht="29" customHeight="1" x14ac:dyDescent="0.2">
      <c r="A1198" s="9" t="s">
        <v>3839</v>
      </c>
      <c r="B1198" s="10" t="s">
        <v>3840</v>
      </c>
      <c r="C1198" s="9" t="s">
        <v>1741</v>
      </c>
      <c r="D1198" s="9" t="s">
        <v>1741</v>
      </c>
      <c r="E1198" s="9" t="s">
        <v>2913</v>
      </c>
      <c r="F1198" s="9" t="s">
        <v>2973</v>
      </c>
      <c r="G1198" s="12">
        <v>2449</v>
      </c>
      <c r="H1198" s="9">
        <v>3390</v>
      </c>
      <c r="I1198" s="9">
        <v>28</v>
      </c>
      <c r="J1198" s="9">
        <v>4</v>
      </c>
      <c r="K1198" s="9">
        <v>5206</v>
      </c>
      <c r="L1198" s="9">
        <v>4.0355063936757336</v>
      </c>
      <c r="M1198" s="9" t="s">
        <v>28</v>
      </c>
      <c r="N1198" s="9" t="s">
        <v>179</v>
      </c>
      <c r="O1198" s="9">
        <v>22.7</v>
      </c>
      <c r="P1198" s="9" t="s">
        <v>40</v>
      </c>
      <c r="Q1198" s="9" t="b">
        <v>0</v>
      </c>
      <c r="R1198" s="9" t="b">
        <v>0</v>
      </c>
      <c r="S1198" s="9" t="b">
        <v>0</v>
      </c>
      <c r="T1198" s="9">
        <v>0.84</v>
      </c>
      <c r="U1198" s="9">
        <v>1</v>
      </c>
      <c r="V1198" s="9" t="b">
        <v>1</v>
      </c>
      <c r="W1198" s="9" t="s">
        <v>3841</v>
      </c>
    </row>
    <row r="1199" spans="1:23" ht="29" customHeight="1" x14ac:dyDescent="0.2">
      <c r="A1199" s="9" t="s">
        <v>3842</v>
      </c>
      <c r="B1199" s="10" t="s">
        <v>3843</v>
      </c>
      <c r="C1199" s="9" t="s">
        <v>1741</v>
      </c>
      <c r="D1199" s="9" t="s">
        <v>1741</v>
      </c>
      <c r="E1199" s="9" t="s">
        <v>2918</v>
      </c>
      <c r="F1199" s="9" t="s">
        <v>2977</v>
      </c>
      <c r="G1199" s="12">
        <v>1049</v>
      </c>
      <c r="H1199" s="9">
        <v>2499</v>
      </c>
      <c r="I1199" s="9">
        <v>58</v>
      </c>
      <c r="J1199" s="9">
        <v>3.7</v>
      </c>
      <c r="K1199" s="9">
        <v>638</v>
      </c>
      <c r="L1199" s="9">
        <v>4.0288692402410664</v>
      </c>
      <c r="M1199" s="9" t="s">
        <v>89</v>
      </c>
      <c r="N1199" s="9" t="s">
        <v>179</v>
      </c>
      <c r="O1199" s="9">
        <v>45.2</v>
      </c>
      <c r="P1199" s="9" t="s">
        <v>30</v>
      </c>
      <c r="Q1199" s="9" t="b">
        <v>0</v>
      </c>
      <c r="R1199" s="9" t="b">
        <v>0</v>
      </c>
      <c r="S1199" s="9" t="b">
        <v>1</v>
      </c>
      <c r="T1199" s="9">
        <v>0.4</v>
      </c>
      <c r="U1199" s="9">
        <v>1</v>
      </c>
      <c r="V1199" s="9" t="b">
        <v>1</v>
      </c>
      <c r="W1199" s="9" t="s">
        <v>3844</v>
      </c>
    </row>
    <row r="1200" spans="1:23" ht="29" customHeight="1" x14ac:dyDescent="0.2">
      <c r="A1200" s="9" t="s">
        <v>3845</v>
      </c>
      <c r="B1200" s="10" t="s">
        <v>3846</v>
      </c>
      <c r="C1200" s="9" t="s">
        <v>1741</v>
      </c>
      <c r="D1200" s="9" t="s">
        <v>1741</v>
      </c>
      <c r="E1200" s="9" t="s">
        <v>2918</v>
      </c>
      <c r="F1200" s="9" t="s">
        <v>3695</v>
      </c>
      <c r="G1200" s="12">
        <v>2399</v>
      </c>
      <c r="H1200" s="9">
        <v>4200</v>
      </c>
      <c r="I1200" s="9">
        <v>43</v>
      </c>
      <c r="J1200" s="9">
        <v>3.8</v>
      </c>
      <c r="K1200" s="9">
        <v>397</v>
      </c>
      <c r="L1200" s="9">
        <v>4.0574682273544447</v>
      </c>
      <c r="M1200" s="9" t="s">
        <v>89</v>
      </c>
      <c r="N1200" s="9" t="s">
        <v>179</v>
      </c>
      <c r="O1200" s="9">
        <v>34.4</v>
      </c>
      <c r="P1200" s="9" t="s">
        <v>40</v>
      </c>
      <c r="Q1200" s="9" t="b">
        <v>0</v>
      </c>
      <c r="R1200" s="9" t="b">
        <v>0</v>
      </c>
      <c r="S1200" s="9" t="b">
        <v>1</v>
      </c>
      <c r="U1200" s="9">
        <v>1</v>
      </c>
      <c r="V1200" s="9" t="b">
        <v>1</v>
      </c>
      <c r="W1200" s="9" t="s">
        <v>3847</v>
      </c>
    </row>
    <row r="1201" spans="1:23" ht="29" customHeight="1" x14ac:dyDescent="0.2">
      <c r="A1201" s="9" t="s">
        <v>3848</v>
      </c>
      <c r="B1201" s="10" t="s">
        <v>3849</v>
      </c>
      <c r="C1201" s="9" t="s">
        <v>1741</v>
      </c>
      <c r="D1201" s="9" t="s">
        <v>1741</v>
      </c>
      <c r="E1201" s="9" t="s">
        <v>2913</v>
      </c>
      <c r="F1201" s="9" t="s">
        <v>3059</v>
      </c>
      <c r="G1201" s="12">
        <v>2286</v>
      </c>
      <c r="H1201" s="9">
        <v>4495</v>
      </c>
      <c r="I1201" s="9">
        <v>49</v>
      </c>
      <c r="J1201" s="9">
        <v>3.9</v>
      </c>
      <c r="K1201" s="9">
        <v>326</v>
      </c>
      <c r="L1201" s="9">
        <v>4.069912948925233</v>
      </c>
      <c r="M1201" s="9" t="s">
        <v>89</v>
      </c>
      <c r="N1201" s="9" t="s">
        <v>179</v>
      </c>
      <c r="O1201" s="9">
        <v>36</v>
      </c>
      <c r="P1201" s="9" t="s">
        <v>40</v>
      </c>
      <c r="Q1201" s="9" t="b">
        <v>0</v>
      </c>
      <c r="R1201" s="9" t="b">
        <v>0</v>
      </c>
      <c r="S1201" s="9" t="b">
        <v>0</v>
      </c>
      <c r="U1201" s="9">
        <v>1</v>
      </c>
      <c r="V1201" s="9" t="b">
        <v>1</v>
      </c>
      <c r="W1201" s="9" t="s">
        <v>3850</v>
      </c>
    </row>
    <row r="1202" spans="1:23" ht="29" customHeight="1" x14ac:dyDescent="0.2">
      <c r="A1202" s="9" t="s">
        <v>3851</v>
      </c>
      <c r="B1202" s="10" t="s">
        <v>3852</v>
      </c>
      <c r="C1202" s="9" t="s">
        <v>1741</v>
      </c>
      <c r="D1202" s="9" t="s">
        <v>1741</v>
      </c>
      <c r="E1202" s="9" t="s">
        <v>2913</v>
      </c>
      <c r="F1202" s="9" t="s">
        <v>3563</v>
      </c>
      <c r="G1202" s="12">
        <v>499</v>
      </c>
      <c r="H1202" s="9">
        <v>2199</v>
      </c>
      <c r="I1202" s="9">
        <v>77</v>
      </c>
      <c r="J1202" s="9">
        <v>3.1</v>
      </c>
      <c r="K1202" s="9">
        <v>3527</v>
      </c>
      <c r="L1202" s="9">
        <v>3.6082226615928139</v>
      </c>
      <c r="M1202" s="9" t="s">
        <v>28</v>
      </c>
      <c r="N1202" s="9" t="s">
        <v>29</v>
      </c>
      <c r="O1202" s="9">
        <v>44.2</v>
      </c>
      <c r="P1202" s="9" t="s">
        <v>30</v>
      </c>
      <c r="Q1202" s="9" t="b">
        <v>0</v>
      </c>
      <c r="R1202" s="9" t="b">
        <v>0</v>
      </c>
      <c r="S1202" s="9" t="b">
        <v>1</v>
      </c>
      <c r="U1202" s="9">
        <v>1</v>
      </c>
      <c r="V1202" s="9" t="b">
        <v>1</v>
      </c>
      <c r="W1202" s="9" t="s">
        <v>3853</v>
      </c>
    </row>
    <row r="1203" spans="1:23" ht="29" customHeight="1" x14ac:dyDescent="0.2">
      <c r="A1203" s="9" t="s">
        <v>3854</v>
      </c>
      <c r="B1203" s="10" t="s">
        <v>3855</v>
      </c>
      <c r="C1203" s="9" t="s">
        <v>1741</v>
      </c>
      <c r="D1203" s="9" t="s">
        <v>1741</v>
      </c>
      <c r="E1203" s="9" t="s">
        <v>2913</v>
      </c>
      <c r="F1203" s="9" t="s">
        <v>3157</v>
      </c>
      <c r="G1203" s="12">
        <v>429</v>
      </c>
      <c r="H1203" s="9">
        <v>999</v>
      </c>
      <c r="I1203" s="9">
        <v>57</v>
      </c>
      <c r="J1203" s="9">
        <v>3</v>
      </c>
      <c r="K1203" s="9">
        <v>617</v>
      </c>
      <c r="L1203" s="9">
        <v>3.9318276268251662</v>
      </c>
      <c r="M1203" s="9" t="s">
        <v>89</v>
      </c>
      <c r="N1203" s="9" t="s">
        <v>29</v>
      </c>
      <c r="O1203" s="9">
        <v>40.4</v>
      </c>
      <c r="P1203" s="9" t="s">
        <v>30</v>
      </c>
      <c r="Q1203" s="9" t="b">
        <v>0</v>
      </c>
      <c r="R1203" s="9" t="b">
        <v>0</v>
      </c>
      <c r="S1203" s="9" t="b">
        <v>1</v>
      </c>
      <c r="U1203" s="9">
        <v>1</v>
      </c>
      <c r="V1203" s="9" t="b">
        <v>1</v>
      </c>
      <c r="W1203" s="9" t="s">
        <v>3856</v>
      </c>
    </row>
    <row r="1204" spans="1:23" ht="29" customHeight="1" x14ac:dyDescent="0.2">
      <c r="A1204" s="9" t="s">
        <v>3857</v>
      </c>
      <c r="B1204" s="10" t="s">
        <v>3858</v>
      </c>
      <c r="C1204" s="9" t="s">
        <v>1741</v>
      </c>
      <c r="D1204" s="9" t="s">
        <v>1741</v>
      </c>
      <c r="E1204" s="9" t="s">
        <v>2913</v>
      </c>
      <c r="F1204" s="9" t="s">
        <v>3088</v>
      </c>
      <c r="G1204" s="12">
        <v>299</v>
      </c>
      <c r="H1204" s="9">
        <v>595</v>
      </c>
      <c r="I1204" s="9">
        <v>50</v>
      </c>
      <c r="J1204" s="9">
        <v>4</v>
      </c>
      <c r="K1204" s="9">
        <v>314</v>
      </c>
      <c r="L1204" s="9">
        <v>4.078115808090474</v>
      </c>
      <c r="M1204" s="9" t="s">
        <v>89</v>
      </c>
      <c r="N1204" s="9" t="s">
        <v>29</v>
      </c>
      <c r="O1204" s="9">
        <v>50.8</v>
      </c>
      <c r="P1204" s="9" t="s">
        <v>53</v>
      </c>
      <c r="Q1204" s="9" t="b">
        <v>0</v>
      </c>
      <c r="R1204" s="9" t="b">
        <v>0</v>
      </c>
      <c r="S1204" s="9" t="b">
        <v>0</v>
      </c>
      <c r="T1204" s="9">
        <v>0.2</v>
      </c>
      <c r="U1204" s="9">
        <v>1</v>
      </c>
      <c r="V1204" s="9" t="b">
        <v>1</v>
      </c>
      <c r="W1204" s="9" t="s">
        <v>3859</v>
      </c>
    </row>
    <row r="1205" spans="1:23" ht="29" customHeight="1" x14ac:dyDescent="0.2">
      <c r="A1205" s="9" t="s">
        <v>3860</v>
      </c>
      <c r="B1205" s="10" t="s">
        <v>3861</v>
      </c>
      <c r="C1205" s="9" t="s">
        <v>1741</v>
      </c>
      <c r="D1205" s="9" t="s">
        <v>1741</v>
      </c>
      <c r="E1205" s="9" t="s">
        <v>2913</v>
      </c>
      <c r="F1205" s="9" t="s">
        <v>3415</v>
      </c>
      <c r="G1205" s="12">
        <v>5395</v>
      </c>
      <c r="H1205" s="9">
        <v>19990</v>
      </c>
      <c r="I1205" s="9">
        <v>73</v>
      </c>
      <c r="J1205" s="9">
        <v>4.4000000000000004</v>
      </c>
      <c r="K1205" s="9">
        <v>535</v>
      </c>
      <c r="L1205" s="9">
        <v>4.1238950765982114</v>
      </c>
      <c r="M1205" s="9" t="s">
        <v>89</v>
      </c>
      <c r="N1205" s="9" t="s">
        <v>144</v>
      </c>
      <c r="O1205" s="9">
        <v>59.9</v>
      </c>
      <c r="P1205" s="9" t="s">
        <v>53</v>
      </c>
      <c r="Q1205" s="9" t="b">
        <v>0</v>
      </c>
      <c r="R1205" s="9" t="b">
        <v>0</v>
      </c>
      <c r="S1205" s="9" t="b">
        <v>0</v>
      </c>
      <c r="T1205" s="9">
        <v>0.79</v>
      </c>
      <c r="U1205" s="9">
        <v>1</v>
      </c>
      <c r="V1205" s="9" t="b">
        <v>1</v>
      </c>
      <c r="W1205" s="9" t="s">
        <v>3862</v>
      </c>
    </row>
    <row r="1206" spans="1:23" ht="29" customHeight="1" x14ac:dyDescent="0.2">
      <c r="A1206" s="9" t="s">
        <v>3863</v>
      </c>
      <c r="B1206" s="10" t="s">
        <v>3864</v>
      </c>
      <c r="C1206" s="9" t="s">
        <v>1741</v>
      </c>
      <c r="D1206" s="9" t="s">
        <v>1741</v>
      </c>
      <c r="E1206" s="9" t="s">
        <v>2913</v>
      </c>
      <c r="F1206" s="9" t="s">
        <v>2969</v>
      </c>
      <c r="G1206" s="12">
        <v>559</v>
      </c>
      <c r="H1206" s="9">
        <v>1010</v>
      </c>
      <c r="I1206" s="9">
        <v>45</v>
      </c>
      <c r="J1206" s="9">
        <v>4.0999999999999996</v>
      </c>
      <c r="K1206" s="9">
        <v>17325</v>
      </c>
      <c r="L1206" s="9">
        <v>4.0972585224270688</v>
      </c>
      <c r="M1206" s="9" t="s">
        <v>28</v>
      </c>
      <c r="N1206" s="9" t="s">
        <v>93</v>
      </c>
      <c r="O1206" s="9">
        <v>55</v>
      </c>
      <c r="P1206" s="9" t="s">
        <v>53</v>
      </c>
      <c r="Q1206" s="9" t="b">
        <v>0</v>
      </c>
      <c r="R1206" s="9" t="b">
        <v>0</v>
      </c>
      <c r="S1206" s="9" t="b">
        <v>0</v>
      </c>
      <c r="T1206" s="9">
        <v>0.82</v>
      </c>
      <c r="U1206" s="9">
        <v>1</v>
      </c>
      <c r="V1206" s="9" t="b">
        <v>1</v>
      </c>
      <c r="W1206" s="9" t="s">
        <v>3865</v>
      </c>
    </row>
    <row r="1207" spans="1:23" ht="29" customHeight="1" x14ac:dyDescent="0.2">
      <c r="A1207" s="9" t="s">
        <v>3866</v>
      </c>
      <c r="B1207" s="10" t="s">
        <v>3867</v>
      </c>
      <c r="C1207" s="9" t="s">
        <v>1741</v>
      </c>
      <c r="D1207" s="9" t="s">
        <v>1741</v>
      </c>
      <c r="E1207" s="9" t="s">
        <v>2913</v>
      </c>
      <c r="F1207" s="9" t="s">
        <v>2969</v>
      </c>
      <c r="G1207" s="12">
        <v>660</v>
      </c>
      <c r="H1207" s="9">
        <v>1100</v>
      </c>
      <c r="I1207" s="9">
        <v>40</v>
      </c>
      <c r="J1207" s="9">
        <v>3.6</v>
      </c>
      <c r="K1207" s="9">
        <v>91</v>
      </c>
      <c r="L1207" s="9">
        <v>4.0731903702298728</v>
      </c>
      <c r="M1207" s="9" t="s">
        <v>204</v>
      </c>
      <c r="N1207" s="9" t="s">
        <v>93</v>
      </c>
      <c r="O1207" s="9">
        <v>41.7</v>
      </c>
      <c r="P1207" s="9" t="s">
        <v>30</v>
      </c>
      <c r="Q1207" s="9" t="b">
        <v>0</v>
      </c>
      <c r="R1207" s="9" t="b">
        <v>0</v>
      </c>
      <c r="S1207" s="9" t="b">
        <v>1</v>
      </c>
      <c r="T1207" s="9">
        <v>0.97</v>
      </c>
      <c r="U1207" s="9">
        <v>1</v>
      </c>
      <c r="V1207" s="9" t="b">
        <v>1</v>
      </c>
      <c r="W1207" s="9" t="s">
        <v>3868</v>
      </c>
    </row>
    <row r="1208" spans="1:23" ht="29" customHeight="1" x14ac:dyDescent="0.2">
      <c r="A1208" s="9" t="s">
        <v>3869</v>
      </c>
      <c r="B1208" s="10" t="s">
        <v>3870</v>
      </c>
      <c r="C1208" s="9" t="s">
        <v>1741</v>
      </c>
      <c r="D1208" s="9" t="s">
        <v>1741</v>
      </c>
      <c r="E1208" s="9" t="s">
        <v>2913</v>
      </c>
      <c r="F1208" s="9" t="s">
        <v>3078</v>
      </c>
      <c r="G1208" s="12">
        <v>419</v>
      </c>
      <c r="H1208" s="9">
        <v>999</v>
      </c>
      <c r="I1208" s="9">
        <v>58</v>
      </c>
      <c r="J1208" s="9">
        <v>4.4000000000000004</v>
      </c>
      <c r="K1208" s="9">
        <v>227</v>
      </c>
      <c r="L1208" s="9">
        <v>4.1025790429078368</v>
      </c>
      <c r="M1208" s="9" t="s">
        <v>89</v>
      </c>
      <c r="N1208" s="9" t="s">
        <v>29</v>
      </c>
      <c r="O1208" s="9">
        <v>66</v>
      </c>
      <c r="P1208" s="9" t="s">
        <v>36</v>
      </c>
      <c r="Q1208" s="9" t="b">
        <v>0</v>
      </c>
      <c r="R1208" s="9" t="b">
        <v>0</v>
      </c>
      <c r="S1208" s="9" t="b">
        <v>0</v>
      </c>
      <c r="T1208" s="9">
        <v>0.6</v>
      </c>
      <c r="U1208" s="9">
        <v>1</v>
      </c>
      <c r="V1208" s="9" t="b">
        <v>1</v>
      </c>
      <c r="W1208" s="9" t="s">
        <v>3871</v>
      </c>
    </row>
    <row r="1209" spans="1:23" ht="29" customHeight="1" x14ac:dyDescent="0.2">
      <c r="A1209" s="9" t="s">
        <v>3872</v>
      </c>
      <c r="B1209" s="10" t="s">
        <v>3873</v>
      </c>
      <c r="C1209" s="9" t="s">
        <v>1741</v>
      </c>
      <c r="D1209" s="9" t="s">
        <v>1741</v>
      </c>
      <c r="E1209" s="9" t="s">
        <v>2918</v>
      </c>
      <c r="F1209" s="9" t="s">
        <v>2995</v>
      </c>
      <c r="G1209" s="12">
        <v>7349</v>
      </c>
      <c r="H1209" s="9">
        <v>10900</v>
      </c>
      <c r="I1209" s="9">
        <v>33</v>
      </c>
      <c r="J1209" s="9">
        <v>4.2</v>
      </c>
      <c r="K1209" s="9">
        <v>11957</v>
      </c>
      <c r="L1209" s="9">
        <v>4.172387104658597</v>
      </c>
      <c r="M1209" s="9" t="s">
        <v>28</v>
      </c>
      <c r="N1209" s="9" t="s">
        <v>144</v>
      </c>
      <c r="O1209" s="9">
        <v>46.8</v>
      </c>
      <c r="P1209" s="9" t="s">
        <v>30</v>
      </c>
      <c r="Q1209" s="9" t="b">
        <v>0</v>
      </c>
      <c r="R1209" s="9" t="b">
        <v>0</v>
      </c>
      <c r="S1209" s="9" t="b">
        <v>0</v>
      </c>
      <c r="T1209" s="9">
        <v>1.1499999999999999</v>
      </c>
      <c r="U1209" s="9">
        <v>1</v>
      </c>
      <c r="V1209" s="9" t="b">
        <v>1</v>
      </c>
      <c r="W1209" s="9" t="s">
        <v>3874</v>
      </c>
    </row>
    <row r="1210" spans="1:23" ht="29" customHeight="1" x14ac:dyDescent="0.2">
      <c r="A1210" s="9" t="s">
        <v>3875</v>
      </c>
      <c r="B1210" s="10" t="s">
        <v>3876</v>
      </c>
      <c r="C1210" s="9" t="s">
        <v>1741</v>
      </c>
      <c r="D1210" s="9" t="s">
        <v>1741</v>
      </c>
      <c r="E1210" s="9" t="s">
        <v>2918</v>
      </c>
      <c r="F1210" s="9" t="s">
        <v>3161</v>
      </c>
      <c r="G1210" s="12">
        <v>2899</v>
      </c>
      <c r="H1210" s="9">
        <v>4005</v>
      </c>
      <c r="I1210" s="9">
        <v>28</v>
      </c>
      <c r="J1210" s="9">
        <v>4.3</v>
      </c>
      <c r="K1210" s="9">
        <v>7140</v>
      </c>
      <c r="L1210" s="9">
        <v>4.225676596347701</v>
      </c>
      <c r="M1210" s="9" t="s">
        <v>28</v>
      </c>
      <c r="N1210" s="9" t="s">
        <v>144</v>
      </c>
      <c r="O1210" s="9">
        <v>54.7</v>
      </c>
      <c r="P1210" s="9" t="s">
        <v>53</v>
      </c>
      <c r="Q1210" s="9" t="b">
        <v>0</v>
      </c>
      <c r="R1210" s="9" t="b">
        <v>0</v>
      </c>
      <c r="S1210" s="9" t="b">
        <v>0</v>
      </c>
      <c r="T1210" s="9">
        <v>1.45</v>
      </c>
      <c r="U1210" s="9">
        <v>1</v>
      </c>
      <c r="V1210" s="9" t="b">
        <v>1</v>
      </c>
      <c r="W1210" s="9" t="s">
        <v>3877</v>
      </c>
    </row>
    <row r="1211" spans="1:23" ht="29" customHeight="1" x14ac:dyDescent="0.2">
      <c r="A1211" s="9" t="s">
        <v>3878</v>
      </c>
      <c r="B1211" s="10" t="s">
        <v>3879</v>
      </c>
      <c r="C1211" s="9" t="s">
        <v>1741</v>
      </c>
      <c r="D1211" s="9" t="s">
        <v>1741</v>
      </c>
      <c r="E1211" s="9" t="s">
        <v>2913</v>
      </c>
      <c r="F1211" s="9" t="s">
        <v>3059</v>
      </c>
      <c r="G1211" s="12">
        <v>1799</v>
      </c>
      <c r="H1211" s="9">
        <v>3295</v>
      </c>
      <c r="I1211" s="9">
        <v>45</v>
      </c>
      <c r="J1211" s="9">
        <v>3.8</v>
      </c>
      <c r="K1211" s="9">
        <v>687</v>
      </c>
      <c r="L1211" s="9">
        <v>4.0406875135814841</v>
      </c>
      <c r="M1211" s="9" t="s">
        <v>89</v>
      </c>
      <c r="N1211" s="9" t="s">
        <v>179</v>
      </c>
      <c r="O1211" s="9">
        <v>31.7</v>
      </c>
      <c r="P1211" s="9" t="s">
        <v>40</v>
      </c>
      <c r="Q1211" s="9" t="b">
        <v>0</v>
      </c>
      <c r="R1211" s="9" t="b">
        <v>0</v>
      </c>
      <c r="S1211" s="9" t="b">
        <v>1</v>
      </c>
      <c r="U1211" s="9">
        <v>1</v>
      </c>
      <c r="V1211" s="9" t="b">
        <v>1</v>
      </c>
      <c r="W1211" s="9" t="s">
        <v>3880</v>
      </c>
    </row>
    <row r="1212" spans="1:23" ht="29" customHeight="1" x14ac:dyDescent="0.2">
      <c r="A1212" s="9" t="s">
        <v>3881</v>
      </c>
      <c r="B1212" s="10" t="s">
        <v>3882</v>
      </c>
      <c r="C1212" s="9" t="s">
        <v>1741</v>
      </c>
      <c r="D1212" s="9" t="s">
        <v>1741</v>
      </c>
      <c r="E1212" s="9" t="s">
        <v>2913</v>
      </c>
      <c r="F1212" s="9" t="s">
        <v>3088</v>
      </c>
      <c r="G1212" s="12">
        <v>1474</v>
      </c>
      <c r="H1212" s="9">
        <v>4650</v>
      </c>
      <c r="I1212" s="9">
        <v>68</v>
      </c>
      <c r="J1212" s="9">
        <v>4.0999999999999996</v>
      </c>
      <c r="K1212" s="9">
        <v>1045</v>
      </c>
      <c r="L1212" s="9">
        <v>4.0879748500636124</v>
      </c>
      <c r="M1212" s="9" t="s">
        <v>28</v>
      </c>
      <c r="N1212" s="9" t="s">
        <v>179</v>
      </c>
      <c r="O1212" s="9">
        <v>53.7</v>
      </c>
      <c r="P1212" s="9" t="s">
        <v>53</v>
      </c>
      <c r="Q1212" s="9" t="b">
        <v>0</v>
      </c>
      <c r="R1212" s="9" t="b">
        <v>0</v>
      </c>
      <c r="S1212" s="9" t="b">
        <v>0</v>
      </c>
      <c r="T1212" s="9">
        <v>1</v>
      </c>
      <c r="U1212" s="9">
        <v>1</v>
      </c>
      <c r="V1212" s="9" t="b">
        <v>1</v>
      </c>
      <c r="W1212" s="9" t="s">
        <v>3883</v>
      </c>
    </row>
    <row r="1213" spans="1:23" ht="29" customHeight="1" x14ac:dyDescent="0.2">
      <c r="A1213" s="9" t="s">
        <v>3884</v>
      </c>
      <c r="B1213" s="10" t="s">
        <v>3885</v>
      </c>
      <c r="C1213" s="9" t="s">
        <v>1741</v>
      </c>
      <c r="D1213" s="9" t="s">
        <v>1741</v>
      </c>
      <c r="E1213" s="9" t="s">
        <v>2913</v>
      </c>
      <c r="F1213" s="9" t="s">
        <v>3415</v>
      </c>
      <c r="G1213" s="12">
        <v>15999</v>
      </c>
      <c r="H1213" s="9">
        <v>24500</v>
      </c>
      <c r="I1213" s="9">
        <v>35</v>
      </c>
      <c r="J1213" s="9">
        <v>4</v>
      </c>
      <c r="K1213" s="9">
        <v>11206</v>
      </c>
      <c r="L1213" s="9">
        <v>4.0212739480696671</v>
      </c>
      <c r="M1213" s="9" t="s">
        <v>28</v>
      </c>
      <c r="N1213" s="9" t="s">
        <v>58</v>
      </c>
      <c r="O1213" s="9">
        <v>18.899999999999999</v>
      </c>
      <c r="P1213" s="9" t="s">
        <v>40</v>
      </c>
      <c r="Q1213" s="9" t="b">
        <v>0</v>
      </c>
      <c r="R1213" s="9" t="b">
        <v>1</v>
      </c>
      <c r="S1213" s="9" t="b">
        <v>0</v>
      </c>
      <c r="T1213" s="9">
        <v>2.35</v>
      </c>
      <c r="U1213" s="9">
        <v>1</v>
      </c>
      <c r="V1213" s="9" t="b">
        <v>1</v>
      </c>
      <c r="W1213" s="9" t="s">
        <v>3886</v>
      </c>
    </row>
    <row r="1214" spans="1:23" ht="29" customHeight="1" x14ac:dyDescent="0.2">
      <c r="A1214" s="9" t="s">
        <v>3887</v>
      </c>
      <c r="B1214" s="10" t="s">
        <v>3888</v>
      </c>
      <c r="C1214" s="9" t="s">
        <v>1741</v>
      </c>
      <c r="D1214" s="9" t="s">
        <v>1741</v>
      </c>
      <c r="E1214" s="9" t="s">
        <v>2918</v>
      </c>
      <c r="F1214" s="9" t="s">
        <v>2977</v>
      </c>
      <c r="G1214" s="12">
        <v>3645</v>
      </c>
      <c r="H1214" s="9">
        <v>6070</v>
      </c>
      <c r="I1214" s="9">
        <v>40</v>
      </c>
      <c r="J1214" s="9">
        <v>4.2</v>
      </c>
      <c r="K1214" s="9">
        <v>561</v>
      </c>
      <c r="L1214" s="9">
        <v>4.0996042770164944</v>
      </c>
      <c r="M1214" s="9" t="s">
        <v>89</v>
      </c>
      <c r="N1214" s="9" t="s">
        <v>144</v>
      </c>
      <c r="O1214" s="9">
        <v>44.8</v>
      </c>
      <c r="P1214" s="9" t="s">
        <v>30</v>
      </c>
      <c r="Q1214" s="9" t="b">
        <v>0</v>
      </c>
      <c r="R1214" s="9" t="b">
        <v>0</v>
      </c>
      <c r="S1214" s="9" t="b">
        <v>0</v>
      </c>
      <c r="T1214" s="9">
        <v>1.4</v>
      </c>
      <c r="U1214" s="9">
        <v>1</v>
      </c>
      <c r="V1214" s="9" t="b">
        <v>1</v>
      </c>
      <c r="W1214" s="9" t="s">
        <v>3889</v>
      </c>
    </row>
    <row r="1215" spans="1:23" ht="29" customHeight="1" x14ac:dyDescent="0.2">
      <c r="A1215" s="9" t="s">
        <v>3890</v>
      </c>
      <c r="B1215" s="10" t="s">
        <v>3891</v>
      </c>
      <c r="C1215" s="9" t="s">
        <v>1741</v>
      </c>
      <c r="D1215" s="9" t="s">
        <v>1741</v>
      </c>
      <c r="E1215" s="9" t="s">
        <v>2913</v>
      </c>
      <c r="F1215" s="9" t="s">
        <v>2965</v>
      </c>
      <c r="G1215" s="12">
        <v>375</v>
      </c>
      <c r="H1215" s="9">
        <v>999</v>
      </c>
      <c r="I1215" s="9">
        <v>62</v>
      </c>
      <c r="J1215" s="9">
        <v>3.6</v>
      </c>
      <c r="K1215" s="9">
        <v>1988</v>
      </c>
      <c r="L1215" s="9">
        <v>3.917092268790682</v>
      </c>
      <c r="M1215" s="9" t="s">
        <v>28</v>
      </c>
      <c r="N1215" s="9" t="s">
        <v>29</v>
      </c>
      <c r="O1215" s="9">
        <v>43</v>
      </c>
      <c r="P1215" s="9" t="s">
        <v>30</v>
      </c>
      <c r="Q1215" s="9" t="b">
        <v>0</v>
      </c>
      <c r="R1215" s="9" t="b">
        <v>0</v>
      </c>
      <c r="S1215" s="9" t="b">
        <v>1</v>
      </c>
      <c r="T1215" s="9">
        <v>0.54</v>
      </c>
      <c r="U1215" s="9">
        <v>1</v>
      </c>
      <c r="V1215" s="9" t="b">
        <v>1</v>
      </c>
      <c r="W1215" s="9" t="s">
        <v>3892</v>
      </c>
    </row>
    <row r="1216" spans="1:23" ht="29" customHeight="1" x14ac:dyDescent="0.2">
      <c r="A1216" s="9" t="s">
        <v>3893</v>
      </c>
      <c r="B1216" s="10" t="s">
        <v>3894</v>
      </c>
      <c r="C1216" s="9" t="s">
        <v>1741</v>
      </c>
      <c r="D1216" s="9" t="s">
        <v>1741</v>
      </c>
      <c r="E1216" s="9" t="s">
        <v>2913</v>
      </c>
      <c r="F1216" s="9" t="s">
        <v>3289</v>
      </c>
      <c r="G1216" s="12">
        <v>2976</v>
      </c>
      <c r="H1216" s="9">
        <v>3945</v>
      </c>
      <c r="I1216" s="9">
        <v>25</v>
      </c>
      <c r="J1216" s="9">
        <v>4.2</v>
      </c>
      <c r="K1216" s="9">
        <v>3740</v>
      </c>
      <c r="L1216" s="9">
        <v>4.1421444973916444</v>
      </c>
      <c r="M1216" s="9" t="s">
        <v>28</v>
      </c>
      <c r="N1216" s="9" t="s">
        <v>144</v>
      </c>
      <c r="O1216" s="9">
        <v>42.3</v>
      </c>
      <c r="P1216" s="9" t="s">
        <v>30</v>
      </c>
      <c r="Q1216" s="9" t="b">
        <v>0</v>
      </c>
      <c r="R1216" s="9" t="b">
        <v>0</v>
      </c>
      <c r="S1216" s="9" t="b">
        <v>0</v>
      </c>
      <c r="U1216" s="9">
        <v>1</v>
      </c>
      <c r="V1216" s="9" t="b">
        <v>1</v>
      </c>
      <c r="W1216" s="9" t="s">
        <v>3895</v>
      </c>
    </row>
    <row r="1217" spans="1:23" ht="29" customHeight="1" x14ac:dyDescent="0.2">
      <c r="A1217" s="9" t="s">
        <v>3896</v>
      </c>
      <c r="B1217" s="10" t="s">
        <v>3897</v>
      </c>
      <c r="C1217" s="9" t="s">
        <v>1741</v>
      </c>
      <c r="D1217" s="9" t="s">
        <v>1741</v>
      </c>
      <c r="E1217" s="9" t="s">
        <v>2913</v>
      </c>
      <c r="F1217" s="9" t="s">
        <v>3717</v>
      </c>
      <c r="G1217" s="12">
        <v>1099</v>
      </c>
      <c r="H1217" s="9">
        <v>1499</v>
      </c>
      <c r="I1217" s="9">
        <v>27</v>
      </c>
      <c r="J1217" s="9">
        <v>4.0999999999999996</v>
      </c>
      <c r="K1217" s="9">
        <v>4401</v>
      </c>
      <c r="L1217" s="9">
        <v>4.0929183673278393</v>
      </c>
      <c r="M1217" s="9" t="s">
        <v>28</v>
      </c>
      <c r="N1217" s="9" t="s">
        <v>179</v>
      </c>
      <c r="O1217" s="9">
        <v>40.5</v>
      </c>
      <c r="P1217" s="9" t="s">
        <v>30</v>
      </c>
      <c r="Q1217" s="9" t="b">
        <v>0</v>
      </c>
      <c r="R1217" s="9" t="b">
        <v>0</v>
      </c>
      <c r="S1217" s="9" t="b">
        <v>0</v>
      </c>
      <c r="U1217" s="9">
        <v>1</v>
      </c>
      <c r="V1217" s="9" t="b">
        <v>1</v>
      </c>
      <c r="W1217" s="9" t="s">
        <v>3898</v>
      </c>
    </row>
    <row r="1218" spans="1:23" ht="29" customHeight="1" x14ac:dyDescent="0.2">
      <c r="A1218" s="9" t="s">
        <v>3899</v>
      </c>
      <c r="B1218" s="10" t="s">
        <v>3900</v>
      </c>
      <c r="C1218" s="9" t="s">
        <v>1741</v>
      </c>
      <c r="D1218" s="9" t="s">
        <v>1741</v>
      </c>
      <c r="E1218" s="9" t="s">
        <v>2913</v>
      </c>
      <c r="F1218" s="9" t="s">
        <v>3036</v>
      </c>
      <c r="G1218" s="12">
        <v>2575</v>
      </c>
      <c r="H1218" s="9">
        <v>6700</v>
      </c>
      <c r="I1218" s="9">
        <v>62</v>
      </c>
      <c r="J1218" s="9">
        <v>4.2</v>
      </c>
      <c r="K1218" s="9">
        <v>611</v>
      </c>
      <c r="L1218" s="9">
        <v>4.1007520502299792</v>
      </c>
      <c r="M1218" s="9" t="s">
        <v>89</v>
      </c>
      <c r="N1218" s="9" t="s">
        <v>144</v>
      </c>
      <c r="O1218" s="9">
        <v>56.2</v>
      </c>
      <c r="P1218" s="9" t="s">
        <v>53</v>
      </c>
      <c r="Q1218" s="9" t="b">
        <v>0</v>
      </c>
      <c r="R1218" s="9" t="b">
        <v>0</v>
      </c>
      <c r="S1218" s="9" t="b">
        <v>0</v>
      </c>
      <c r="T1218" s="9">
        <v>0.85</v>
      </c>
      <c r="U1218" s="9">
        <v>1</v>
      </c>
      <c r="V1218" s="9" t="b">
        <v>1</v>
      </c>
      <c r="W1218" s="9" t="s">
        <v>3901</v>
      </c>
    </row>
    <row r="1219" spans="1:23" ht="29" customHeight="1" x14ac:dyDescent="0.2">
      <c r="A1219" s="9" t="s">
        <v>3902</v>
      </c>
      <c r="B1219" s="10" t="s">
        <v>3903</v>
      </c>
      <c r="C1219" s="9" t="s">
        <v>1741</v>
      </c>
      <c r="D1219" s="9" t="s">
        <v>1741</v>
      </c>
      <c r="E1219" s="9" t="s">
        <v>2913</v>
      </c>
      <c r="F1219" s="9" t="s">
        <v>2973</v>
      </c>
      <c r="G1219" s="12">
        <v>1649</v>
      </c>
      <c r="H1219" s="9">
        <v>2800</v>
      </c>
      <c r="I1219" s="9">
        <v>41</v>
      </c>
      <c r="J1219" s="9">
        <v>3.9</v>
      </c>
      <c r="K1219" s="9">
        <v>2162</v>
      </c>
      <c r="L1219" s="9">
        <v>4.017256999186567</v>
      </c>
      <c r="M1219" s="9" t="s">
        <v>28</v>
      </c>
      <c r="N1219" s="9" t="s">
        <v>179</v>
      </c>
      <c r="O1219" s="9">
        <v>27.3</v>
      </c>
      <c r="P1219" s="9" t="s">
        <v>40</v>
      </c>
      <c r="Q1219" s="9" t="b">
        <v>0</v>
      </c>
      <c r="R1219" s="9" t="b">
        <v>0</v>
      </c>
      <c r="S1219" s="9" t="b">
        <v>0</v>
      </c>
      <c r="T1219" s="9">
        <v>0.56999999999999995</v>
      </c>
      <c r="U1219" s="9">
        <v>1</v>
      </c>
      <c r="V1219" s="9" t="b">
        <v>1</v>
      </c>
      <c r="W1219" s="9" t="s">
        <v>3904</v>
      </c>
    </row>
    <row r="1220" spans="1:23" ht="29" customHeight="1" x14ac:dyDescent="0.2">
      <c r="A1220" s="9" t="s">
        <v>3905</v>
      </c>
      <c r="B1220" s="10" t="s">
        <v>3906</v>
      </c>
      <c r="C1220" s="9" t="s">
        <v>1741</v>
      </c>
      <c r="D1220" s="9" t="s">
        <v>1741</v>
      </c>
      <c r="E1220" s="9" t="s">
        <v>2913</v>
      </c>
      <c r="F1220" s="9" t="s">
        <v>2965</v>
      </c>
      <c r="G1220" s="12">
        <v>799</v>
      </c>
      <c r="H1220" s="9">
        <v>1699</v>
      </c>
      <c r="I1220" s="9">
        <v>53</v>
      </c>
      <c r="J1220" s="9">
        <v>4</v>
      </c>
      <c r="K1220" s="9">
        <v>97</v>
      </c>
      <c r="L1220" s="9">
        <v>4.0825078615574082</v>
      </c>
      <c r="M1220" s="9" t="s">
        <v>204</v>
      </c>
      <c r="N1220" s="9" t="s">
        <v>93</v>
      </c>
      <c r="O1220" s="9">
        <v>48.6</v>
      </c>
      <c r="P1220" s="9" t="s">
        <v>30</v>
      </c>
      <c r="Q1220" s="9" t="b">
        <v>0</v>
      </c>
      <c r="R1220" s="9" t="b">
        <v>0</v>
      </c>
      <c r="S1220" s="9" t="b">
        <v>0</v>
      </c>
      <c r="T1220" s="9">
        <v>1.1399999999999999</v>
      </c>
      <c r="U1220" s="9">
        <v>1</v>
      </c>
      <c r="V1220" s="9" t="b">
        <v>1</v>
      </c>
      <c r="W1220" s="9" t="s">
        <v>3907</v>
      </c>
    </row>
    <row r="1221" spans="1:23" ht="29" customHeight="1" x14ac:dyDescent="0.2">
      <c r="A1221" s="9" t="s">
        <v>3908</v>
      </c>
      <c r="B1221" s="10" t="s">
        <v>3909</v>
      </c>
      <c r="C1221" s="9" t="s">
        <v>1741</v>
      </c>
      <c r="D1221" s="9" t="s">
        <v>1741</v>
      </c>
      <c r="E1221" s="9" t="s">
        <v>2913</v>
      </c>
      <c r="F1221" s="9" t="s">
        <v>2965</v>
      </c>
      <c r="G1221" s="12">
        <v>765</v>
      </c>
      <c r="H1221" s="9">
        <v>970</v>
      </c>
      <c r="I1221" s="9">
        <v>21</v>
      </c>
      <c r="J1221" s="9">
        <v>4.2</v>
      </c>
      <c r="K1221" s="9">
        <v>6055</v>
      </c>
      <c r="L1221" s="9">
        <v>4.155787022325522</v>
      </c>
      <c r="M1221" s="9" t="s">
        <v>28</v>
      </c>
      <c r="N1221" s="9" t="s">
        <v>93</v>
      </c>
      <c r="O1221" s="9">
        <v>51.4</v>
      </c>
      <c r="P1221" s="9" t="s">
        <v>53</v>
      </c>
      <c r="Q1221" s="9" t="b">
        <v>0</v>
      </c>
      <c r="R1221" s="9" t="b">
        <v>0</v>
      </c>
      <c r="S1221" s="9" t="b">
        <v>0</v>
      </c>
      <c r="T1221" s="9">
        <v>1.0900000000000001</v>
      </c>
      <c r="U1221" s="9">
        <v>1</v>
      </c>
      <c r="V1221" s="9" t="b">
        <v>1</v>
      </c>
      <c r="W1221" s="9" t="s">
        <v>3910</v>
      </c>
    </row>
    <row r="1222" spans="1:23" ht="29" customHeight="1" x14ac:dyDescent="0.2">
      <c r="A1222" s="9" t="s">
        <v>3911</v>
      </c>
      <c r="B1222" s="10" t="s">
        <v>3912</v>
      </c>
      <c r="C1222" s="9" t="s">
        <v>1741</v>
      </c>
      <c r="D1222" s="9" t="s">
        <v>1741</v>
      </c>
      <c r="E1222" s="9" t="s">
        <v>2913</v>
      </c>
      <c r="F1222" s="9" t="s">
        <v>2927</v>
      </c>
      <c r="G1222" s="12">
        <v>999</v>
      </c>
      <c r="H1222" s="9">
        <v>1500</v>
      </c>
      <c r="I1222" s="9">
        <v>33</v>
      </c>
      <c r="J1222" s="9">
        <v>4.2</v>
      </c>
      <c r="K1222" s="9">
        <v>386</v>
      </c>
      <c r="L1222" s="9">
        <v>4.0953691916791168</v>
      </c>
      <c r="M1222" s="9" t="s">
        <v>89</v>
      </c>
      <c r="N1222" s="9" t="s">
        <v>93</v>
      </c>
      <c r="O1222" s="9">
        <v>44.8</v>
      </c>
      <c r="P1222" s="9" t="s">
        <v>30</v>
      </c>
      <c r="Q1222" s="9" t="b">
        <v>0</v>
      </c>
      <c r="R1222" s="9" t="b">
        <v>0</v>
      </c>
      <c r="S1222" s="9" t="b">
        <v>0</v>
      </c>
      <c r="T1222" s="9">
        <v>2.2200000000000002</v>
      </c>
      <c r="U1222" s="9">
        <v>1</v>
      </c>
      <c r="V1222" s="9" t="b">
        <v>1</v>
      </c>
      <c r="W1222" s="9" t="s">
        <v>3913</v>
      </c>
    </row>
    <row r="1223" spans="1:23" ht="29" customHeight="1" x14ac:dyDescent="0.2">
      <c r="A1223" s="9" t="s">
        <v>3914</v>
      </c>
      <c r="B1223" s="10" t="s">
        <v>3915</v>
      </c>
      <c r="C1223" s="9" t="s">
        <v>1741</v>
      </c>
      <c r="D1223" s="9" t="s">
        <v>1741</v>
      </c>
      <c r="E1223" s="9" t="s">
        <v>2913</v>
      </c>
      <c r="F1223" s="9" t="s">
        <v>3916</v>
      </c>
      <c r="G1223" s="12">
        <v>587</v>
      </c>
      <c r="H1223" s="9">
        <v>1295</v>
      </c>
      <c r="I1223" s="9">
        <v>55</v>
      </c>
      <c r="J1223" s="9">
        <v>4.0999999999999996</v>
      </c>
      <c r="K1223" s="9">
        <v>557</v>
      </c>
      <c r="L1223" s="9">
        <v>4.0866162962567003</v>
      </c>
      <c r="M1223" s="9" t="s">
        <v>89</v>
      </c>
      <c r="N1223" s="9" t="s">
        <v>93</v>
      </c>
      <c r="O1223" s="9">
        <v>54</v>
      </c>
      <c r="P1223" s="9" t="s">
        <v>53</v>
      </c>
      <c r="Q1223" s="9" t="b">
        <v>0</v>
      </c>
      <c r="R1223" s="9" t="b">
        <v>0</v>
      </c>
      <c r="S1223" s="9" t="b">
        <v>0</v>
      </c>
      <c r="U1223" s="9">
        <v>1</v>
      </c>
      <c r="V1223" s="9" t="b">
        <v>1</v>
      </c>
      <c r="W1223" s="9" t="s">
        <v>3917</v>
      </c>
    </row>
    <row r="1224" spans="1:23" ht="29" customHeight="1" x14ac:dyDescent="0.2">
      <c r="A1224" s="9" t="s">
        <v>3918</v>
      </c>
      <c r="B1224" s="10" t="s">
        <v>3919</v>
      </c>
      <c r="C1224" s="9" t="s">
        <v>1741</v>
      </c>
      <c r="D1224" s="9" t="s">
        <v>1741</v>
      </c>
      <c r="E1224" s="9" t="s">
        <v>2913</v>
      </c>
      <c r="F1224" s="9" t="s">
        <v>3920</v>
      </c>
      <c r="G1224" s="12">
        <v>12609</v>
      </c>
      <c r="H1224" s="9">
        <v>23999</v>
      </c>
      <c r="I1224" s="9">
        <v>47</v>
      </c>
      <c r="J1224" s="9">
        <v>4.4000000000000004</v>
      </c>
      <c r="K1224" s="9">
        <v>2288</v>
      </c>
      <c r="L1224" s="9">
        <v>4.2038904374317534</v>
      </c>
      <c r="M1224" s="9" t="s">
        <v>28</v>
      </c>
      <c r="N1224" s="9" t="s">
        <v>58</v>
      </c>
      <c r="O1224" s="9">
        <v>55.1</v>
      </c>
      <c r="P1224" s="9" t="s">
        <v>53</v>
      </c>
      <c r="Q1224" s="9" t="b">
        <v>0</v>
      </c>
      <c r="R1224" s="9" t="b">
        <v>0</v>
      </c>
      <c r="S1224" s="9" t="b">
        <v>0</v>
      </c>
      <c r="U1224" s="9">
        <v>1</v>
      </c>
      <c r="V1224" s="9" t="b">
        <v>1</v>
      </c>
      <c r="W1224" s="9" t="s">
        <v>3921</v>
      </c>
    </row>
    <row r="1225" spans="1:23" ht="29" customHeight="1" x14ac:dyDescent="0.2">
      <c r="A1225" s="9" t="s">
        <v>3922</v>
      </c>
      <c r="B1225" s="10" t="s">
        <v>3923</v>
      </c>
      <c r="C1225" s="9" t="s">
        <v>1741</v>
      </c>
      <c r="D1225" s="9" t="s">
        <v>1741</v>
      </c>
      <c r="E1225" s="9" t="s">
        <v>2913</v>
      </c>
      <c r="F1225" s="9" t="s">
        <v>2969</v>
      </c>
      <c r="G1225" s="12">
        <v>699</v>
      </c>
      <c r="H1225" s="9">
        <v>850</v>
      </c>
      <c r="I1225" s="9">
        <v>18</v>
      </c>
      <c r="J1225" s="9">
        <v>4.0999999999999996</v>
      </c>
      <c r="K1225" s="9">
        <v>1106</v>
      </c>
      <c r="L1225" s="9">
        <v>4.0881255194989867</v>
      </c>
      <c r="M1225" s="9" t="s">
        <v>28</v>
      </c>
      <c r="N1225" s="9" t="s">
        <v>93</v>
      </c>
      <c r="O1225" s="9">
        <v>38.200000000000003</v>
      </c>
      <c r="P1225" s="9" t="s">
        <v>40</v>
      </c>
      <c r="Q1225" s="9" t="b">
        <v>0</v>
      </c>
      <c r="R1225" s="9" t="b">
        <v>0</v>
      </c>
      <c r="S1225" s="9" t="b">
        <v>0</v>
      </c>
      <c r="T1225" s="9">
        <v>1.03</v>
      </c>
      <c r="U1225" s="9">
        <v>1</v>
      </c>
      <c r="V1225" s="9" t="b">
        <v>1</v>
      </c>
      <c r="W1225" s="9" t="s">
        <v>3924</v>
      </c>
    </row>
    <row r="1226" spans="1:23" ht="29" customHeight="1" x14ac:dyDescent="0.2">
      <c r="A1226" s="9" t="s">
        <v>3925</v>
      </c>
      <c r="B1226" s="10" t="s">
        <v>3926</v>
      </c>
      <c r="C1226" s="9" t="s">
        <v>1741</v>
      </c>
      <c r="D1226" s="9" t="s">
        <v>1741</v>
      </c>
      <c r="E1226" s="9" t="s">
        <v>2913</v>
      </c>
      <c r="F1226" s="9" t="s">
        <v>3171</v>
      </c>
      <c r="G1226" s="12">
        <v>3799</v>
      </c>
      <c r="H1226" s="9">
        <v>6000</v>
      </c>
      <c r="I1226" s="9">
        <v>37</v>
      </c>
      <c r="J1226" s="9">
        <v>4.2</v>
      </c>
      <c r="K1226" s="9">
        <v>11935</v>
      </c>
      <c r="L1226" s="9">
        <v>4.1723484052671331</v>
      </c>
      <c r="M1226" s="9" t="s">
        <v>28</v>
      </c>
      <c r="N1226" s="9" t="s">
        <v>144</v>
      </c>
      <c r="O1226" s="9">
        <v>48.4</v>
      </c>
      <c r="P1226" s="9" t="s">
        <v>30</v>
      </c>
      <c r="Q1226" s="9" t="b">
        <v>0</v>
      </c>
      <c r="R1226" s="9" t="b">
        <v>0</v>
      </c>
      <c r="S1226" s="9" t="b">
        <v>0</v>
      </c>
      <c r="U1226" s="9">
        <v>1</v>
      </c>
      <c r="V1226" s="9" t="b">
        <v>1</v>
      </c>
      <c r="W1226" s="9" t="s">
        <v>3927</v>
      </c>
    </row>
    <row r="1227" spans="1:23" ht="29" customHeight="1" x14ac:dyDescent="0.2">
      <c r="A1227" s="9" t="s">
        <v>3928</v>
      </c>
      <c r="B1227" s="10" t="s">
        <v>3929</v>
      </c>
      <c r="C1227" s="9" t="s">
        <v>1741</v>
      </c>
      <c r="D1227" s="9" t="s">
        <v>1741</v>
      </c>
      <c r="E1227" s="9" t="s">
        <v>2918</v>
      </c>
      <c r="F1227" s="9" t="s">
        <v>3017</v>
      </c>
      <c r="G1227" s="12">
        <v>640</v>
      </c>
      <c r="H1227" s="9">
        <v>1020</v>
      </c>
      <c r="I1227" s="9">
        <v>37</v>
      </c>
      <c r="J1227" s="9">
        <v>4.0999999999999996</v>
      </c>
      <c r="K1227" s="9">
        <v>5059</v>
      </c>
      <c r="L1227" s="9">
        <v>4.0934465897728067</v>
      </c>
      <c r="M1227" s="9" t="s">
        <v>28</v>
      </c>
      <c r="N1227" s="9" t="s">
        <v>93</v>
      </c>
      <c r="O1227" s="9">
        <v>50.5</v>
      </c>
      <c r="P1227" s="9" t="s">
        <v>30</v>
      </c>
      <c r="Q1227" s="9" t="b">
        <v>0</v>
      </c>
      <c r="R1227" s="9" t="b">
        <v>0</v>
      </c>
      <c r="S1227" s="9" t="b">
        <v>0</v>
      </c>
      <c r="U1227" s="9">
        <v>1</v>
      </c>
      <c r="V1227" s="9" t="b">
        <v>1</v>
      </c>
      <c r="W1227" s="9" t="s">
        <v>3930</v>
      </c>
    </row>
    <row r="1228" spans="1:23" ht="29" customHeight="1" x14ac:dyDescent="0.2">
      <c r="A1228" s="9" t="s">
        <v>3931</v>
      </c>
      <c r="B1228" s="10" t="s">
        <v>3932</v>
      </c>
      <c r="C1228" s="9" t="s">
        <v>1741</v>
      </c>
      <c r="D1228" s="9" t="s">
        <v>1741</v>
      </c>
      <c r="E1228" s="9" t="s">
        <v>2918</v>
      </c>
      <c r="F1228" s="9" t="s">
        <v>2923</v>
      </c>
      <c r="G1228" s="12">
        <v>979</v>
      </c>
      <c r="H1228" s="9">
        <v>1999</v>
      </c>
      <c r="I1228" s="9">
        <v>51</v>
      </c>
      <c r="J1228" s="9">
        <v>3.9</v>
      </c>
      <c r="K1228" s="9">
        <v>157</v>
      </c>
      <c r="L1228" s="9">
        <v>4.0772392120629704</v>
      </c>
      <c r="M1228" s="9" t="s">
        <v>89</v>
      </c>
      <c r="N1228" s="9" t="s">
        <v>93</v>
      </c>
      <c r="O1228" s="9">
        <v>48.7</v>
      </c>
      <c r="P1228" s="9" t="s">
        <v>30</v>
      </c>
      <c r="Q1228" s="9" t="b">
        <v>0</v>
      </c>
      <c r="R1228" s="9" t="b">
        <v>0</v>
      </c>
      <c r="S1228" s="9" t="b">
        <v>0</v>
      </c>
      <c r="T1228" s="9">
        <v>0.91</v>
      </c>
      <c r="U1228" s="9">
        <v>1</v>
      </c>
      <c r="V1228" s="9" t="b">
        <v>1</v>
      </c>
      <c r="W1228" s="9" t="s">
        <v>3933</v>
      </c>
    </row>
    <row r="1229" spans="1:23" ht="29" customHeight="1" x14ac:dyDescent="0.2">
      <c r="A1229" s="9" t="s">
        <v>3934</v>
      </c>
      <c r="B1229" s="10" t="s">
        <v>3935</v>
      </c>
      <c r="C1229" s="9" t="s">
        <v>1741</v>
      </c>
      <c r="D1229" s="9" t="s">
        <v>1741</v>
      </c>
      <c r="E1229" s="9" t="s">
        <v>2918</v>
      </c>
      <c r="F1229" s="9" t="s">
        <v>2977</v>
      </c>
      <c r="G1229" s="12">
        <v>5365</v>
      </c>
      <c r="H1229" s="9">
        <v>7445</v>
      </c>
      <c r="I1229" s="9">
        <v>28</v>
      </c>
      <c r="J1229" s="9">
        <v>3.9</v>
      </c>
      <c r="K1229" s="9">
        <v>3584</v>
      </c>
      <c r="L1229" s="9">
        <v>3.994560551511714</v>
      </c>
      <c r="M1229" s="9" t="s">
        <v>28</v>
      </c>
      <c r="N1229" s="9" t="s">
        <v>144</v>
      </c>
      <c r="O1229" s="9">
        <v>17.2</v>
      </c>
      <c r="P1229" s="9" t="s">
        <v>40</v>
      </c>
      <c r="Q1229" s="9" t="b">
        <v>0</v>
      </c>
      <c r="R1229" s="9" t="b">
        <v>1</v>
      </c>
      <c r="S1229" s="9" t="b">
        <v>0</v>
      </c>
      <c r="T1229" s="9">
        <v>2.06</v>
      </c>
      <c r="U1229" s="9">
        <v>1</v>
      </c>
      <c r="V1229" s="9" t="b">
        <v>1</v>
      </c>
      <c r="W1229" s="9" t="s">
        <v>3936</v>
      </c>
    </row>
    <row r="1230" spans="1:23" ht="29" customHeight="1" x14ac:dyDescent="0.2">
      <c r="A1230" s="9" t="s">
        <v>3937</v>
      </c>
      <c r="B1230" s="10" t="s">
        <v>3938</v>
      </c>
      <c r="C1230" s="9" t="s">
        <v>1741</v>
      </c>
      <c r="D1230" s="9" t="s">
        <v>1741</v>
      </c>
      <c r="E1230" s="9" t="s">
        <v>2913</v>
      </c>
      <c r="F1230" s="9" t="s">
        <v>3036</v>
      </c>
      <c r="G1230" s="12">
        <v>3199</v>
      </c>
      <c r="H1230" s="9">
        <v>3500</v>
      </c>
      <c r="I1230" s="9">
        <v>9</v>
      </c>
      <c r="J1230" s="9">
        <v>4.2</v>
      </c>
      <c r="K1230" s="9">
        <v>1899</v>
      </c>
      <c r="L1230" s="9">
        <v>4.1233311121930258</v>
      </c>
      <c r="M1230" s="9" t="s">
        <v>28</v>
      </c>
      <c r="N1230" s="9" t="s">
        <v>144</v>
      </c>
      <c r="O1230" s="9">
        <v>36.700000000000003</v>
      </c>
      <c r="P1230" s="9" t="s">
        <v>40</v>
      </c>
      <c r="Q1230" s="9" t="b">
        <v>0</v>
      </c>
      <c r="R1230" s="9" t="b">
        <v>0</v>
      </c>
      <c r="S1230" s="9" t="b">
        <v>0</v>
      </c>
      <c r="T1230" s="9">
        <v>1.05</v>
      </c>
      <c r="U1230" s="9">
        <v>1</v>
      </c>
      <c r="V1230" s="9" t="b">
        <v>1</v>
      </c>
      <c r="W1230" s="9" t="s">
        <v>3939</v>
      </c>
    </row>
    <row r="1231" spans="1:23" ht="29" customHeight="1" x14ac:dyDescent="0.2">
      <c r="A1231" s="9" t="s">
        <v>3940</v>
      </c>
      <c r="B1231" s="10" t="s">
        <v>3941</v>
      </c>
      <c r="C1231" s="9" t="s">
        <v>1741</v>
      </c>
      <c r="D1231" s="9" t="s">
        <v>1741</v>
      </c>
      <c r="E1231" s="9" t="s">
        <v>2913</v>
      </c>
      <c r="F1231" s="9" t="s">
        <v>3497</v>
      </c>
      <c r="G1231" s="12">
        <v>979</v>
      </c>
      <c r="H1231" s="9">
        <v>1395</v>
      </c>
      <c r="I1231" s="9">
        <v>30</v>
      </c>
      <c r="J1231" s="9">
        <v>4.2</v>
      </c>
      <c r="K1231" s="9">
        <v>15252</v>
      </c>
      <c r="L1231" s="9">
        <v>4.1771721103200621</v>
      </c>
      <c r="M1231" s="9" t="s">
        <v>28</v>
      </c>
      <c r="N1231" s="9" t="s">
        <v>93</v>
      </c>
      <c r="O1231" s="9">
        <v>55.3</v>
      </c>
      <c r="P1231" s="9" t="s">
        <v>53</v>
      </c>
      <c r="Q1231" s="9" t="b">
        <v>0</v>
      </c>
      <c r="R1231" s="9" t="b">
        <v>0</v>
      </c>
      <c r="S1231" s="9" t="b">
        <v>0</v>
      </c>
      <c r="U1231" s="9">
        <v>1</v>
      </c>
      <c r="V1231" s="9" t="b">
        <v>1</v>
      </c>
      <c r="W1231" s="9" t="s">
        <v>3942</v>
      </c>
    </row>
    <row r="1232" spans="1:23" ht="29" customHeight="1" x14ac:dyDescent="0.2">
      <c r="A1232" s="9" t="s">
        <v>3943</v>
      </c>
      <c r="B1232" s="10" t="s">
        <v>3944</v>
      </c>
      <c r="C1232" s="9" t="s">
        <v>1741</v>
      </c>
      <c r="D1232" s="9" t="s">
        <v>1741</v>
      </c>
      <c r="E1232" s="9" t="s">
        <v>2918</v>
      </c>
      <c r="F1232" s="9" t="s">
        <v>2919</v>
      </c>
      <c r="G1232" s="12">
        <v>929</v>
      </c>
      <c r="H1232" s="9">
        <v>2199</v>
      </c>
      <c r="I1232" s="9">
        <v>58</v>
      </c>
      <c r="J1232" s="9">
        <v>3.7</v>
      </c>
      <c r="K1232" s="9">
        <v>4</v>
      </c>
      <c r="L1232" s="9">
        <v>4.0842264945389131</v>
      </c>
      <c r="M1232" s="9" t="s">
        <v>204</v>
      </c>
      <c r="N1232" s="9" t="s">
        <v>93</v>
      </c>
      <c r="O1232" s="9">
        <v>53.9</v>
      </c>
      <c r="P1232" s="9" t="s">
        <v>53</v>
      </c>
      <c r="Q1232" s="9" t="b">
        <v>0</v>
      </c>
      <c r="R1232" s="9" t="b">
        <v>0</v>
      </c>
      <c r="S1232" s="9" t="b">
        <v>1</v>
      </c>
      <c r="T1232" s="9">
        <v>0.71</v>
      </c>
      <c r="U1232" s="9">
        <v>1</v>
      </c>
      <c r="V1232" s="9" t="b">
        <v>1</v>
      </c>
      <c r="W1232" s="9" t="s">
        <v>3945</v>
      </c>
    </row>
    <row r="1233" spans="1:23" ht="29" customHeight="1" x14ac:dyDescent="0.2">
      <c r="A1233" s="9" t="s">
        <v>3946</v>
      </c>
      <c r="B1233" s="10" t="s">
        <v>3947</v>
      </c>
      <c r="C1233" s="9" t="s">
        <v>1741</v>
      </c>
      <c r="D1233" s="9" t="s">
        <v>1741</v>
      </c>
      <c r="E1233" s="9" t="s">
        <v>2913</v>
      </c>
      <c r="F1233" s="9" t="s">
        <v>3513</v>
      </c>
      <c r="G1233" s="12">
        <v>3710</v>
      </c>
      <c r="H1233" s="9">
        <v>4330</v>
      </c>
      <c r="I1233" s="9">
        <v>14</v>
      </c>
      <c r="J1233" s="9">
        <v>3.7</v>
      </c>
      <c r="K1233" s="9">
        <v>1662</v>
      </c>
      <c r="L1233" s="9">
        <v>3.9667875549231848</v>
      </c>
      <c r="M1233" s="9" t="s">
        <v>28</v>
      </c>
      <c r="N1233" s="9" t="s">
        <v>144</v>
      </c>
      <c r="O1233" s="9">
        <v>11.9</v>
      </c>
      <c r="P1233" s="9" t="s">
        <v>40</v>
      </c>
      <c r="Q1233" s="9" t="b">
        <v>0</v>
      </c>
      <c r="R1233" s="9" t="b">
        <v>0</v>
      </c>
      <c r="S1233" s="9" t="b">
        <v>1</v>
      </c>
      <c r="U1233" s="9">
        <v>1</v>
      </c>
      <c r="V1233" s="9" t="b">
        <v>1</v>
      </c>
      <c r="W1233" s="9" t="s">
        <v>3948</v>
      </c>
    </row>
    <row r="1234" spans="1:23" ht="29" customHeight="1" x14ac:dyDescent="0.2">
      <c r="A1234" s="9" t="s">
        <v>3949</v>
      </c>
      <c r="B1234" s="10" t="s">
        <v>3950</v>
      </c>
      <c r="C1234" s="9" t="s">
        <v>1741</v>
      </c>
      <c r="D1234" s="9" t="s">
        <v>1741</v>
      </c>
      <c r="E1234" s="9" t="s">
        <v>2913</v>
      </c>
      <c r="F1234" s="9" t="s">
        <v>2973</v>
      </c>
      <c r="G1234" s="12">
        <v>2033</v>
      </c>
      <c r="H1234" s="9">
        <v>4295</v>
      </c>
      <c r="I1234" s="9">
        <v>53</v>
      </c>
      <c r="J1234" s="9">
        <v>3.4</v>
      </c>
      <c r="K1234" s="9">
        <v>422</v>
      </c>
      <c r="L1234" s="9">
        <v>4.0155906540042574</v>
      </c>
      <c r="M1234" s="9" t="s">
        <v>89</v>
      </c>
      <c r="N1234" s="9" t="s">
        <v>179</v>
      </c>
      <c r="O1234" s="9">
        <v>31.7</v>
      </c>
      <c r="P1234" s="9" t="s">
        <v>40</v>
      </c>
      <c r="Q1234" s="9" t="b">
        <v>0</v>
      </c>
      <c r="R1234" s="9" t="b">
        <v>0</v>
      </c>
      <c r="S1234" s="9" t="b">
        <v>1</v>
      </c>
      <c r="T1234" s="9">
        <v>0.7</v>
      </c>
      <c r="U1234" s="9">
        <v>1</v>
      </c>
      <c r="V1234" s="9" t="b">
        <v>1</v>
      </c>
      <c r="W1234" s="9" t="s">
        <v>3951</v>
      </c>
    </row>
    <row r="1235" spans="1:23" ht="29" customHeight="1" x14ac:dyDescent="0.2">
      <c r="A1235" s="9" t="s">
        <v>3952</v>
      </c>
      <c r="B1235" s="10" t="s">
        <v>3953</v>
      </c>
      <c r="C1235" s="9" t="s">
        <v>1741</v>
      </c>
      <c r="D1235" s="9" t="s">
        <v>1741</v>
      </c>
      <c r="E1235" s="9" t="s">
        <v>2918</v>
      </c>
      <c r="F1235" s="9" t="s">
        <v>2919</v>
      </c>
      <c r="G1235" s="12">
        <v>9495</v>
      </c>
      <c r="H1235" s="9">
        <v>18990</v>
      </c>
      <c r="I1235" s="9">
        <v>50</v>
      </c>
      <c r="J1235" s="9">
        <v>4.2</v>
      </c>
      <c r="K1235" s="9">
        <v>79</v>
      </c>
      <c r="L1235" s="9">
        <v>4.087007442842852</v>
      </c>
      <c r="M1235" s="9" t="s">
        <v>204</v>
      </c>
      <c r="N1235" s="9" t="s">
        <v>144</v>
      </c>
      <c r="O1235" s="9">
        <v>38.799999999999997</v>
      </c>
      <c r="P1235" s="9" t="s">
        <v>30</v>
      </c>
      <c r="Q1235" s="9" t="b">
        <v>0</v>
      </c>
      <c r="R1235" s="9" t="b">
        <v>0</v>
      </c>
      <c r="S1235" s="9" t="b">
        <v>0</v>
      </c>
      <c r="T1235" s="9">
        <v>7.21</v>
      </c>
      <c r="U1235" s="9">
        <v>1</v>
      </c>
      <c r="V1235" s="9" t="b">
        <v>1</v>
      </c>
      <c r="W1235" s="9" t="s">
        <v>3954</v>
      </c>
    </row>
    <row r="1236" spans="1:23" ht="29" customHeight="1" x14ac:dyDescent="0.2">
      <c r="A1236" s="9" t="s">
        <v>3955</v>
      </c>
      <c r="B1236" s="10" t="s">
        <v>3956</v>
      </c>
      <c r="C1236" s="9" t="s">
        <v>1741</v>
      </c>
      <c r="D1236" s="9" t="s">
        <v>1741</v>
      </c>
      <c r="E1236" s="9" t="s">
        <v>2918</v>
      </c>
      <c r="F1236" s="9" t="s">
        <v>2995</v>
      </c>
      <c r="G1236" s="12">
        <v>7799</v>
      </c>
      <c r="H1236" s="9">
        <v>12500</v>
      </c>
      <c r="I1236" s="9">
        <v>38</v>
      </c>
      <c r="J1236" s="9">
        <v>4</v>
      </c>
      <c r="K1236" s="9">
        <v>5160</v>
      </c>
      <c r="L1236" s="9">
        <v>4.035689447092274</v>
      </c>
      <c r="M1236" s="9" t="s">
        <v>28</v>
      </c>
      <c r="N1236" s="9" t="s">
        <v>144</v>
      </c>
      <c r="O1236" s="9">
        <v>24.3</v>
      </c>
      <c r="P1236" s="9" t="s">
        <v>40</v>
      </c>
      <c r="Q1236" s="9" t="b">
        <v>0</v>
      </c>
      <c r="R1236" s="9" t="b">
        <v>0</v>
      </c>
      <c r="S1236" s="9" t="b">
        <v>0</v>
      </c>
      <c r="T1236" s="9">
        <v>1.22</v>
      </c>
      <c r="U1236" s="9">
        <v>1</v>
      </c>
      <c r="V1236" s="9" t="b">
        <v>1</v>
      </c>
      <c r="W1236" s="9" t="s">
        <v>3957</v>
      </c>
    </row>
    <row r="1237" spans="1:23" ht="29" customHeight="1" x14ac:dyDescent="0.2">
      <c r="A1237" s="9" t="s">
        <v>3958</v>
      </c>
      <c r="B1237" s="10" t="s">
        <v>3959</v>
      </c>
      <c r="C1237" s="9" t="s">
        <v>1741</v>
      </c>
      <c r="D1237" s="9" t="s">
        <v>1741</v>
      </c>
      <c r="E1237" s="9" t="s">
        <v>2913</v>
      </c>
      <c r="F1237" s="9" t="s">
        <v>2914</v>
      </c>
      <c r="G1237" s="12">
        <v>949</v>
      </c>
      <c r="H1237" s="9">
        <v>2385</v>
      </c>
      <c r="I1237" s="9">
        <v>60</v>
      </c>
      <c r="J1237" s="9">
        <v>4.0999999999999996</v>
      </c>
      <c r="K1237" s="9">
        <v>2311</v>
      </c>
      <c r="L1237" s="9">
        <v>4.0904814508406702</v>
      </c>
      <c r="M1237" s="9" t="s">
        <v>28</v>
      </c>
      <c r="N1237" s="9" t="s">
        <v>93</v>
      </c>
      <c r="O1237" s="9">
        <v>55.3</v>
      </c>
      <c r="P1237" s="9" t="s">
        <v>53</v>
      </c>
      <c r="Q1237" s="9" t="b">
        <v>0</v>
      </c>
      <c r="R1237" s="9" t="b">
        <v>0</v>
      </c>
      <c r="S1237" s="9" t="b">
        <v>0</v>
      </c>
      <c r="T1237" s="9">
        <v>0.95</v>
      </c>
      <c r="U1237" s="9">
        <v>1</v>
      </c>
      <c r="V1237" s="9" t="b">
        <v>1</v>
      </c>
      <c r="W1237" s="9" t="s">
        <v>3960</v>
      </c>
    </row>
    <row r="1238" spans="1:23" ht="29" customHeight="1" x14ac:dyDescent="0.2">
      <c r="A1238" s="9" t="s">
        <v>3961</v>
      </c>
      <c r="B1238" s="10" t="s">
        <v>3962</v>
      </c>
      <c r="C1238" s="9" t="s">
        <v>1741</v>
      </c>
      <c r="D1238" s="9" t="s">
        <v>1741</v>
      </c>
      <c r="E1238" s="9" t="s">
        <v>2918</v>
      </c>
      <c r="F1238" s="9" t="s">
        <v>2977</v>
      </c>
      <c r="G1238" s="12">
        <v>2790</v>
      </c>
      <c r="H1238" s="9">
        <v>4890</v>
      </c>
      <c r="I1238" s="9">
        <v>43</v>
      </c>
      <c r="J1238" s="9">
        <v>3.9</v>
      </c>
      <c r="K1238" s="9">
        <v>588</v>
      </c>
      <c r="L1238" s="9">
        <v>4.0596802877096456</v>
      </c>
      <c r="M1238" s="9" t="s">
        <v>89</v>
      </c>
      <c r="N1238" s="9" t="s">
        <v>144</v>
      </c>
      <c r="O1238" s="9">
        <v>33.6</v>
      </c>
      <c r="P1238" s="9" t="s">
        <v>40</v>
      </c>
      <c r="Q1238" s="9" t="b">
        <v>0</v>
      </c>
      <c r="R1238" s="9" t="b">
        <v>0</v>
      </c>
      <c r="S1238" s="9" t="b">
        <v>0</v>
      </c>
      <c r="T1238" s="9">
        <v>1.07</v>
      </c>
      <c r="U1238" s="9">
        <v>1</v>
      </c>
      <c r="V1238" s="9" t="b">
        <v>1</v>
      </c>
      <c r="W1238" s="9" t="s">
        <v>3963</v>
      </c>
    </row>
    <row r="1239" spans="1:23" ht="29" customHeight="1" x14ac:dyDescent="0.2">
      <c r="A1239" s="9" t="s">
        <v>3964</v>
      </c>
      <c r="B1239" s="10" t="s">
        <v>3965</v>
      </c>
      <c r="C1239" s="9" t="s">
        <v>1741</v>
      </c>
      <c r="D1239" s="9" t="s">
        <v>1741</v>
      </c>
      <c r="E1239" s="9" t="s">
        <v>2913</v>
      </c>
      <c r="F1239" s="9" t="s">
        <v>2969</v>
      </c>
      <c r="G1239" s="12">
        <v>645</v>
      </c>
      <c r="H1239" s="9">
        <v>1100</v>
      </c>
      <c r="I1239" s="9">
        <v>41</v>
      </c>
      <c r="J1239" s="9">
        <v>4</v>
      </c>
      <c r="K1239" s="9">
        <v>3271</v>
      </c>
      <c r="L1239" s="9">
        <v>4.0452746273805094</v>
      </c>
      <c r="M1239" s="9" t="s">
        <v>28</v>
      </c>
      <c r="N1239" s="9" t="s">
        <v>93</v>
      </c>
      <c r="O1239" s="9">
        <v>38.6</v>
      </c>
      <c r="P1239" s="9" t="s">
        <v>40</v>
      </c>
      <c r="Q1239" s="9" t="b">
        <v>0</v>
      </c>
      <c r="R1239" s="9" t="b">
        <v>0</v>
      </c>
      <c r="S1239" s="9" t="b">
        <v>0</v>
      </c>
      <c r="T1239" s="9">
        <v>0.95</v>
      </c>
      <c r="U1239" s="9">
        <v>1</v>
      </c>
      <c r="V1239" s="9" t="b">
        <v>1</v>
      </c>
      <c r="W1239" s="9" t="s">
        <v>3966</v>
      </c>
    </row>
    <row r="1240" spans="1:23" ht="29" customHeight="1" x14ac:dyDescent="0.2">
      <c r="A1240" s="9" t="s">
        <v>3967</v>
      </c>
      <c r="B1240" s="10" t="s">
        <v>3968</v>
      </c>
      <c r="C1240" s="9" t="s">
        <v>1741</v>
      </c>
      <c r="D1240" s="9" t="s">
        <v>1741</v>
      </c>
      <c r="E1240" s="9" t="s">
        <v>2913</v>
      </c>
      <c r="F1240" s="9" t="s">
        <v>2973</v>
      </c>
      <c r="G1240" s="12">
        <v>2237.81</v>
      </c>
      <c r="H1240" s="9">
        <v>3899</v>
      </c>
      <c r="I1240" s="9">
        <v>43</v>
      </c>
      <c r="J1240" s="9">
        <v>3.9</v>
      </c>
      <c r="K1240" s="9">
        <v>11004</v>
      </c>
      <c r="L1240" s="9">
        <v>3.9470449389957549</v>
      </c>
      <c r="M1240" s="9" t="s">
        <v>28</v>
      </c>
      <c r="N1240" s="9" t="s">
        <v>179</v>
      </c>
      <c r="O1240" s="9">
        <v>22.6</v>
      </c>
      <c r="P1240" s="9" t="s">
        <v>40</v>
      </c>
      <c r="Q1240" s="9" t="b">
        <v>0</v>
      </c>
      <c r="R1240" s="9" t="b">
        <v>0</v>
      </c>
      <c r="S1240" s="9" t="b">
        <v>0</v>
      </c>
      <c r="T1240" s="9">
        <v>0.77</v>
      </c>
      <c r="U1240" s="9">
        <v>1</v>
      </c>
      <c r="V1240" s="9" t="b">
        <v>1</v>
      </c>
      <c r="W1240" s="9" t="s">
        <v>3969</v>
      </c>
    </row>
    <row r="1241" spans="1:23" ht="29" customHeight="1" x14ac:dyDescent="0.2">
      <c r="A1241" s="9" t="s">
        <v>3970</v>
      </c>
      <c r="B1241" s="10" t="s">
        <v>3971</v>
      </c>
      <c r="C1241" s="9" t="s">
        <v>1741</v>
      </c>
      <c r="D1241" s="9" t="s">
        <v>1741</v>
      </c>
      <c r="E1241" s="9" t="s">
        <v>2918</v>
      </c>
      <c r="F1241" s="9" t="s">
        <v>2995</v>
      </c>
      <c r="G1241" s="12">
        <v>8699</v>
      </c>
      <c r="H1241" s="9">
        <v>16899</v>
      </c>
      <c r="I1241" s="9">
        <v>49</v>
      </c>
      <c r="J1241" s="9">
        <v>4.2</v>
      </c>
      <c r="K1241" s="9">
        <v>3195</v>
      </c>
      <c r="L1241" s="9">
        <v>4.1376125176688197</v>
      </c>
      <c r="M1241" s="9" t="s">
        <v>28</v>
      </c>
      <c r="N1241" s="9" t="s">
        <v>144</v>
      </c>
      <c r="O1241" s="9">
        <v>50.1</v>
      </c>
      <c r="P1241" s="9" t="s">
        <v>30</v>
      </c>
      <c r="Q1241" s="9" t="b">
        <v>0</v>
      </c>
      <c r="R1241" s="9" t="b">
        <v>0</v>
      </c>
      <c r="S1241" s="9" t="b">
        <v>0</v>
      </c>
      <c r="T1241" s="9">
        <v>1.36</v>
      </c>
      <c r="U1241" s="9">
        <v>1</v>
      </c>
      <c r="V1241" s="9" t="b">
        <v>1</v>
      </c>
      <c r="W1241" s="9" t="s">
        <v>3972</v>
      </c>
    </row>
    <row r="1242" spans="1:23" ht="29" customHeight="1" x14ac:dyDescent="0.2">
      <c r="A1242" s="9" t="s">
        <v>3973</v>
      </c>
      <c r="B1242" s="10" t="s">
        <v>3974</v>
      </c>
      <c r="C1242" s="9" t="s">
        <v>1741</v>
      </c>
      <c r="D1242" s="9" t="s">
        <v>1741</v>
      </c>
      <c r="E1242" s="9" t="s">
        <v>2918</v>
      </c>
      <c r="F1242" s="9" t="s">
        <v>3975</v>
      </c>
      <c r="G1242" s="12">
        <v>42990</v>
      </c>
      <c r="H1242" s="9">
        <v>75990</v>
      </c>
      <c r="I1242" s="9">
        <v>43</v>
      </c>
      <c r="J1242" s="9">
        <v>4.3</v>
      </c>
      <c r="K1242" s="9">
        <v>3231</v>
      </c>
      <c r="L1242" s="9">
        <v>4.1841337086838948</v>
      </c>
      <c r="M1242" s="9" t="s">
        <v>28</v>
      </c>
      <c r="N1242" s="9" t="s">
        <v>58</v>
      </c>
      <c r="O1242" s="9">
        <v>49.8</v>
      </c>
      <c r="P1242" s="9" t="s">
        <v>30</v>
      </c>
      <c r="Q1242" s="9" t="b">
        <v>0</v>
      </c>
      <c r="R1242" s="9" t="b">
        <v>0</v>
      </c>
      <c r="S1242" s="9" t="b">
        <v>0</v>
      </c>
      <c r="U1242" s="9">
        <v>1</v>
      </c>
      <c r="V1242" s="9" t="b">
        <v>1</v>
      </c>
      <c r="W1242" s="9" t="s">
        <v>3976</v>
      </c>
    </row>
    <row r="1243" spans="1:23" ht="29" customHeight="1" x14ac:dyDescent="0.2">
      <c r="A1243" s="9" t="s">
        <v>3977</v>
      </c>
      <c r="B1243" s="10" t="s">
        <v>3978</v>
      </c>
      <c r="C1243" s="9" t="s">
        <v>1741</v>
      </c>
      <c r="D1243" s="9" t="s">
        <v>1741</v>
      </c>
      <c r="E1243" s="9" t="s">
        <v>2913</v>
      </c>
      <c r="F1243" s="9" t="s">
        <v>3269</v>
      </c>
      <c r="G1243" s="12">
        <v>825</v>
      </c>
      <c r="H1243" s="9">
        <v>825</v>
      </c>
      <c r="I1243" s="9">
        <v>0</v>
      </c>
      <c r="J1243" s="9">
        <v>4</v>
      </c>
      <c r="K1243" s="9">
        <v>3246</v>
      </c>
      <c r="L1243" s="9">
        <v>4.0454361263723788</v>
      </c>
      <c r="M1243" s="9" t="s">
        <v>28</v>
      </c>
      <c r="N1243" s="9" t="s">
        <v>93</v>
      </c>
      <c r="O1243" s="9">
        <v>26.1</v>
      </c>
      <c r="P1243" s="9" t="s">
        <v>40</v>
      </c>
      <c r="Q1243" s="9" t="b">
        <v>0</v>
      </c>
      <c r="R1243" s="9" t="b">
        <v>1</v>
      </c>
      <c r="S1243" s="9" t="b">
        <v>0</v>
      </c>
      <c r="T1243" s="9">
        <v>3.57</v>
      </c>
      <c r="U1243" s="9">
        <v>1</v>
      </c>
      <c r="V1243" s="9" t="b">
        <v>1</v>
      </c>
      <c r="W1243" s="9" t="s">
        <v>3979</v>
      </c>
    </row>
    <row r="1244" spans="1:23" ht="29" customHeight="1" x14ac:dyDescent="0.2">
      <c r="A1244" s="9" t="s">
        <v>3980</v>
      </c>
      <c r="B1244" s="10" t="s">
        <v>3981</v>
      </c>
      <c r="C1244" s="9" t="s">
        <v>1741</v>
      </c>
      <c r="D1244" s="9" t="s">
        <v>1741</v>
      </c>
      <c r="E1244" s="9" t="s">
        <v>2913</v>
      </c>
      <c r="F1244" s="9" t="s">
        <v>3157</v>
      </c>
      <c r="G1244" s="12">
        <v>161</v>
      </c>
      <c r="H1244" s="9">
        <v>300</v>
      </c>
      <c r="I1244" s="9">
        <v>46</v>
      </c>
      <c r="J1244" s="9">
        <v>2.6</v>
      </c>
      <c r="K1244" s="9">
        <v>24</v>
      </c>
      <c r="L1244" s="9">
        <v>4.0752249020680873</v>
      </c>
      <c r="M1244" s="9" t="s">
        <v>204</v>
      </c>
      <c r="N1244" s="9" t="s">
        <v>29</v>
      </c>
      <c r="O1244" s="9">
        <v>49.7</v>
      </c>
      <c r="P1244" s="9" t="s">
        <v>30</v>
      </c>
      <c r="Q1244" s="9" t="b">
        <v>0</v>
      </c>
      <c r="R1244" s="9" t="b">
        <v>0</v>
      </c>
      <c r="S1244" s="9" t="b">
        <v>1</v>
      </c>
      <c r="U1244" s="9">
        <v>1</v>
      </c>
      <c r="V1244" s="9" t="b">
        <v>1</v>
      </c>
      <c r="W1244" s="9" t="s">
        <v>3982</v>
      </c>
    </row>
    <row r="1245" spans="1:23" ht="29" customHeight="1" x14ac:dyDescent="0.2">
      <c r="A1245" s="9" t="s">
        <v>3983</v>
      </c>
      <c r="B1245" s="10" t="s">
        <v>3984</v>
      </c>
      <c r="C1245" s="9" t="s">
        <v>1741</v>
      </c>
      <c r="D1245" s="9" t="s">
        <v>1741</v>
      </c>
      <c r="E1245" s="9" t="s">
        <v>2913</v>
      </c>
      <c r="F1245" s="9" t="s">
        <v>2952</v>
      </c>
      <c r="G1245" s="12">
        <v>697</v>
      </c>
      <c r="H1245" s="9">
        <v>1499</v>
      </c>
      <c r="I1245" s="9">
        <v>54</v>
      </c>
      <c r="J1245" s="9">
        <v>3.8</v>
      </c>
      <c r="K1245" s="9">
        <v>144</v>
      </c>
      <c r="L1245" s="9">
        <v>4.0741428623270997</v>
      </c>
      <c r="M1245" s="9" t="s">
        <v>89</v>
      </c>
      <c r="N1245" s="9" t="s">
        <v>93</v>
      </c>
      <c r="O1245" s="9">
        <v>48.2</v>
      </c>
      <c r="P1245" s="9" t="s">
        <v>30</v>
      </c>
      <c r="Q1245" s="9" t="b">
        <v>0</v>
      </c>
      <c r="R1245" s="9" t="b">
        <v>0</v>
      </c>
      <c r="S1245" s="9" t="b">
        <v>1</v>
      </c>
      <c r="T1245" s="9">
        <v>0.34</v>
      </c>
      <c r="U1245" s="9">
        <v>1</v>
      </c>
      <c r="V1245" s="9" t="b">
        <v>1</v>
      </c>
      <c r="W1245" s="9" t="s">
        <v>3985</v>
      </c>
    </row>
    <row r="1246" spans="1:23" ht="29" customHeight="1" x14ac:dyDescent="0.2">
      <c r="A1246" s="9" t="s">
        <v>3986</v>
      </c>
      <c r="B1246" s="10" t="s">
        <v>3987</v>
      </c>
      <c r="C1246" s="9" t="s">
        <v>1741</v>
      </c>
      <c r="D1246" s="9" t="s">
        <v>1741</v>
      </c>
      <c r="E1246" s="9" t="s">
        <v>2913</v>
      </c>
      <c r="F1246" s="9" t="s">
        <v>3988</v>
      </c>
      <c r="G1246" s="12">
        <v>688</v>
      </c>
      <c r="H1246" s="9">
        <v>747</v>
      </c>
      <c r="I1246" s="9">
        <v>8</v>
      </c>
      <c r="J1246" s="9">
        <v>4.5</v>
      </c>
      <c r="K1246" s="9">
        <v>2280</v>
      </c>
      <c r="L1246" s="9">
        <v>4.2413635236542513</v>
      </c>
      <c r="M1246" s="9" t="s">
        <v>28</v>
      </c>
      <c r="N1246" s="9" t="s">
        <v>93</v>
      </c>
      <c r="O1246" s="9">
        <v>58</v>
      </c>
      <c r="P1246" s="9" t="s">
        <v>53</v>
      </c>
      <c r="Q1246" s="9" t="b">
        <v>0</v>
      </c>
      <c r="R1246" s="9" t="b">
        <v>0</v>
      </c>
      <c r="S1246" s="9" t="b">
        <v>0</v>
      </c>
      <c r="U1246" s="9">
        <v>1</v>
      </c>
      <c r="V1246" s="9" t="b">
        <v>1</v>
      </c>
      <c r="W1246" s="9" t="s">
        <v>3989</v>
      </c>
    </row>
    <row r="1247" spans="1:23" ht="29" customHeight="1" x14ac:dyDescent="0.2">
      <c r="A1247" s="9" t="s">
        <v>3990</v>
      </c>
      <c r="B1247" s="10" t="s">
        <v>3991</v>
      </c>
      <c r="C1247" s="9" t="s">
        <v>1741</v>
      </c>
      <c r="D1247" s="9" t="s">
        <v>1741</v>
      </c>
      <c r="E1247" s="9" t="s">
        <v>2918</v>
      </c>
      <c r="F1247" s="9" t="s">
        <v>3194</v>
      </c>
      <c r="G1247" s="12">
        <v>2199</v>
      </c>
      <c r="H1247" s="9">
        <v>3999</v>
      </c>
      <c r="I1247" s="9">
        <v>45</v>
      </c>
      <c r="J1247" s="9">
        <v>3.5</v>
      </c>
      <c r="K1247" s="9">
        <v>340</v>
      </c>
      <c r="L1247" s="9">
        <v>4.0361825939502296</v>
      </c>
      <c r="M1247" s="9" t="s">
        <v>89</v>
      </c>
      <c r="N1247" s="9" t="s">
        <v>179</v>
      </c>
      <c r="O1247" s="9">
        <v>33.299999999999997</v>
      </c>
      <c r="P1247" s="9" t="s">
        <v>40</v>
      </c>
      <c r="Q1247" s="9" t="b">
        <v>0</v>
      </c>
      <c r="R1247" s="9" t="b">
        <v>0</v>
      </c>
      <c r="S1247" s="9" t="b">
        <v>1</v>
      </c>
      <c r="U1247" s="9">
        <v>1</v>
      </c>
      <c r="V1247" s="9" t="b">
        <v>1</v>
      </c>
      <c r="W1247" s="9" t="s">
        <v>3992</v>
      </c>
    </row>
    <row r="1248" spans="1:23" ht="29" customHeight="1" x14ac:dyDescent="0.2">
      <c r="A1248" s="9" t="s">
        <v>3993</v>
      </c>
      <c r="B1248" s="10" t="s">
        <v>3994</v>
      </c>
      <c r="C1248" s="9" t="s">
        <v>1741</v>
      </c>
      <c r="D1248" s="9" t="s">
        <v>1741</v>
      </c>
      <c r="E1248" s="9" t="s">
        <v>2918</v>
      </c>
      <c r="F1248" s="9" t="s">
        <v>2923</v>
      </c>
      <c r="G1248" s="12">
        <v>6850</v>
      </c>
      <c r="H1248" s="9">
        <v>11990</v>
      </c>
      <c r="I1248" s="9">
        <v>43</v>
      </c>
      <c r="J1248" s="9">
        <v>3.9</v>
      </c>
      <c r="K1248" s="9">
        <v>144</v>
      </c>
      <c r="L1248" s="9">
        <v>4.0778290264125978</v>
      </c>
      <c r="M1248" s="9" t="s">
        <v>89</v>
      </c>
      <c r="N1248" s="9" t="s">
        <v>144</v>
      </c>
      <c r="O1248" s="9">
        <v>32.700000000000003</v>
      </c>
      <c r="P1248" s="9" t="s">
        <v>40</v>
      </c>
      <c r="Q1248" s="9" t="b">
        <v>0</v>
      </c>
      <c r="R1248" s="9" t="b">
        <v>0</v>
      </c>
      <c r="S1248" s="9" t="b">
        <v>0</v>
      </c>
      <c r="T1248" s="9">
        <v>6.35</v>
      </c>
      <c r="U1248" s="9">
        <v>1</v>
      </c>
      <c r="V1248" s="9" t="b">
        <v>1</v>
      </c>
      <c r="W1248" s="9" t="s">
        <v>3995</v>
      </c>
    </row>
    <row r="1249" spans="1:23" ht="29" customHeight="1" x14ac:dyDescent="0.2">
      <c r="A1249" s="9" t="s">
        <v>3996</v>
      </c>
      <c r="B1249" s="10" t="s">
        <v>3997</v>
      </c>
      <c r="C1249" s="9" t="s">
        <v>1741</v>
      </c>
      <c r="D1249" s="9" t="s">
        <v>1741</v>
      </c>
      <c r="E1249" s="9" t="s">
        <v>2918</v>
      </c>
      <c r="F1249" s="9" t="s">
        <v>2977</v>
      </c>
      <c r="G1249" s="12">
        <v>2699</v>
      </c>
      <c r="H1249" s="9">
        <v>3799</v>
      </c>
      <c r="I1249" s="9">
        <v>29</v>
      </c>
      <c r="J1249" s="9">
        <v>4</v>
      </c>
      <c r="K1249" s="9">
        <v>727</v>
      </c>
      <c r="L1249" s="9">
        <v>4.0709297453348512</v>
      </c>
      <c r="M1249" s="9" t="s">
        <v>89</v>
      </c>
      <c r="N1249" s="9" t="s">
        <v>144</v>
      </c>
      <c r="O1249" s="9">
        <v>30.1</v>
      </c>
      <c r="P1249" s="9" t="s">
        <v>40</v>
      </c>
      <c r="Q1249" s="9" t="b">
        <v>0</v>
      </c>
      <c r="R1249" s="9" t="b">
        <v>0</v>
      </c>
      <c r="S1249" s="9" t="b">
        <v>0</v>
      </c>
      <c r="T1249" s="9">
        <v>1.04</v>
      </c>
      <c r="U1249" s="9">
        <v>1</v>
      </c>
      <c r="V1249" s="9" t="b">
        <v>1</v>
      </c>
      <c r="W1249" s="9" t="s">
        <v>3998</v>
      </c>
    </row>
    <row r="1250" spans="1:23" ht="29" customHeight="1" x14ac:dyDescent="0.2">
      <c r="A1250" s="9" t="s">
        <v>3999</v>
      </c>
      <c r="B1250" s="10" t="s">
        <v>4000</v>
      </c>
      <c r="C1250" s="9" t="s">
        <v>1741</v>
      </c>
      <c r="D1250" s="9" t="s">
        <v>1741</v>
      </c>
      <c r="E1250" s="9" t="s">
        <v>2913</v>
      </c>
      <c r="F1250" s="9" t="s">
        <v>4001</v>
      </c>
      <c r="G1250" s="12">
        <v>899</v>
      </c>
      <c r="H1250" s="9">
        <v>1999</v>
      </c>
      <c r="I1250" s="9">
        <v>55</v>
      </c>
      <c r="J1250" s="9">
        <v>4</v>
      </c>
      <c r="K1250" s="9">
        <v>832</v>
      </c>
      <c r="L1250" s="9">
        <v>4.069308758663797</v>
      </c>
      <c r="M1250" s="9" t="s">
        <v>89</v>
      </c>
      <c r="N1250" s="9" t="s">
        <v>93</v>
      </c>
      <c r="O1250" s="9">
        <v>46.2</v>
      </c>
      <c r="P1250" s="9" t="s">
        <v>30</v>
      </c>
      <c r="Q1250" s="9" t="b">
        <v>0</v>
      </c>
      <c r="R1250" s="9" t="b">
        <v>0</v>
      </c>
      <c r="S1250" s="9" t="b">
        <v>0</v>
      </c>
      <c r="U1250" s="9">
        <v>1</v>
      </c>
      <c r="V1250" s="9" t="b">
        <v>1</v>
      </c>
      <c r="W1250" s="9" t="s">
        <v>4002</v>
      </c>
    </row>
    <row r="1251" spans="1:23" ht="29" customHeight="1" x14ac:dyDescent="0.2">
      <c r="A1251" s="9" t="s">
        <v>4003</v>
      </c>
      <c r="B1251" s="10" t="s">
        <v>4004</v>
      </c>
      <c r="C1251" s="9" t="s">
        <v>1741</v>
      </c>
      <c r="D1251" s="9" t="s">
        <v>1741</v>
      </c>
      <c r="E1251" s="9" t="s">
        <v>2918</v>
      </c>
      <c r="F1251" s="9" t="s">
        <v>2923</v>
      </c>
      <c r="G1251" s="12">
        <v>1090</v>
      </c>
      <c r="H1251" s="9">
        <v>2999</v>
      </c>
      <c r="I1251" s="9">
        <v>64</v>
      </c>
      <c r="J1251" s="9">
        <v>3.5</v>
      </c>
      <c r="K1251" s="9">
        <v>57</v>
      </c>
      <c r="L1251" s="9">
        <v>4.0759102216732064</v>
      </c>
      <c r="M1251" s="9" t="s">
        <v>204</v>
      </c>
      <c r="N1251" s="9" t="s">
        <v>179</v>
      </c>
      <c r="O1251" s="9">
        <v>54.6</v>
      </c>
      <c r="P1251" s="9" t="s">
        <v>53</v>
      </c>
      <c r="Q1251" s="9" t="b">
        <v>0</v>
      </c>
      <c r="R1251" s="9" t="b">
        <v>0</v>
      </c>
      <c r="S1251" s="9" t="b">
        <v>1</v>
      </c>
      <c r="T1251" s="9">
        <v>1.01</v>
      </c>
      <c r="U1251" s="9">
        <v>1</v>
      </c>
      <c r="V1251" s="9" t="b">
        <v>1</v>
      </c>
      <c r="W1251" s="9" t="s">
        <v>4005</v>
      </c>
    </row>
    <row r="1252" spans="1:23" ht="29" customHeight="1" x14ac:dyDescent="0.2">
      <c r="A1252" s="9" t="s">
        <v>4006</v>
      </c>
      <c r="B1252" s="10" t="s">
        <v>4007</v>
      </c>
      <c r="C1252" s="9" t="s">
        <v>1741</v>
      </c>
      <c r="D1252" s="9" t="s">
        <v>1741</v>
      </c>
      <c r="E1252" s="9" t="s">
        <v>2913</v>
      </c>
      <c r="F1252" s="9" t="s">
        <v>2931</v>
      </c>
      <c r="G1252" s="12">
        <v>295</v>
      </c>
      <c r="H1252" s="9">
        <v>599</v>
      </c>
      <c r="I1252" s="9">
        <v>51</v>
      </c>
      <c r="J1252" s="9">
        <v>4</v>
      </c>
      <c r="K1252" s="9">
        <v>1644</v>
      </c>
      <c r="L1252" s="9">
        <v>4.0588993048517183</v>
      </c>
      <c r="M1252" s="9" t="s">
        <v>28</v>
      </c>
      <c r="N1252" s="9" t="s">
        <v>29</v>
      </c>
      <c r="O1252" s="9">
        <v>48.6</v>
      </c>
      <c r="P1252" s="9" t="s">
        <v>30</v>
      </c>
      <c r="Q1252" s="9" t="b">
        <v>0</v>
      </c>
      <c r="R1252" s="9" t="b">
        <v>0</v>
      </c>
      <c r="S1252" s="9" t="b">
        <v>0</v>
      </c>
      <c r="T1252" s="9">
        <v>0.6</v>
      </c>
      <c r="U1252" s="9">
        <v>1</v>
      </c>
      <c r="V1252" s="9" t="b">
        <v>1</v>
      </c>
      <c r="W1252" s="9" t="s">
        <v>4008</v>
      </c>
    </row>
    <row r="1253" spans="1:23" ht="29" customHeight="1" x14ac:dyDescent="0.2">
      <c r="A1253" s="9" t="s">
        <v>4009</v>
      </c>
      <c r="B1253" s="10" t="s">
        <v>4010</v>
      </c>
      <c r="C1253" s="9" t="s">
        <v>1741</v>
      </c>
      <c r="D1253" s="9" t="s">
        <v>1741</v>
      </c>
      <c r="E1253" s="9" t="s">
        <v>2913</v>
      </c>
      <c r="F1253" s="9" t="s">
        <v>2991</v>
      </c>
      <c r="G1253" s="12">
        <v>479</v>
      </c>
      <c r="H1253" s="9">
        <v>1999</v>
      </c>
      <c r="I1253" s="9">
        <v>76</v>
      </c>
      <c r="J1253" s="9">
        <v>3.4</v>
      </c>
      <c r="K1253" s="9">
        <v>1066</v>
      </c>
      <c r="L1253" s="9">
        <v>3.933486401922091</v>
      </c>
      <c r="M1253" s="9" t="s">
        <v>28</v>
      </c>
      <c r="N1253" s="9" t="s">
        <v>29</v>
      </c>
      <c r="O1253" s="9">
        <v>48</v>
      </c>
      <c r="P1253" s="9" t="s">
        <v>30</v>
      </c>
      <c r="Q1253" s="9" t="b">
        <v>0</v>
      </c>
      <c r="R1253" s="9" t="b">
        <v>0</v>
      </c>
      <c r="S1253" s="9" t="b">
        <v>1</v>
      </c>
      <c r="T1253" s="9">
        <v>0.41</v>
      </c>
      <c r="U1253" s="9">
        <v>1</v>
      </c>
      <c r="V1253" s="9" t="b">
        <v>1</v>
      </c>
      <c r="W1253" s="9" t="s">
        <v>4011</v>
      </c>
    </row>
    <row r="1254" spans="1:23" ht="29" customHeight="1" x14ac:dyDescent="0.2">
      <c r="A1254" s="9" t="s">
        <v>4012</v>
      </c>
      <c r="B1254" s="10" t="s">
        <v>4013</v>
      </c>
      <c r="C1254" s="9" t="s">
        <v>1741</v>
      </c>
      <c r="D1254" s="9" t="s">
        <v>1741</v>
      </c>
      <c r="E1254" s="9" t="s">
        <v>2918</v>
      </c>
      <c r="F1254" s="9" t="s">
        <v>2977</v>
      </c>
      <c r="G1254" s="12">
        <v>2949</v>
      </c>
      <c r="H1254" s="9">
        <v>4849</v>
      </c>
      <c r="I1254" s="9">
        <v>39</v>
      </c>
      <c r="J1254" s="9">
        <v>4.2</v>
      </c>
      <c r="K1254" s="9">
        <v>7968</v>
      </c>
      <c r="L1254" s="9">
        <v>4.1629972372602033</v>
      </c>
      <c r="M1254" s="9" t="s">
        <v>28</v>
      </c>
      <c r="N1254" s="9" t="s">
        <v>144</v>
      </c>
      <c r="O1254" s="9">
        <v>51.6</v>
      </c>
      <c r="P1254" s="9" t="s">
        <v>53</v>
      </c>
      <c r="Q1254" s="9" t="b">
        <v>0</v>
      </c>
      <c r="R1254" s="9" t="b">
        <v>0</v>
      </c>
      <c r="S1254" s="9" t="b">
        <v>0</v>
      </c>
      <c r="T1254" s="9">
        <v>1.1299999999999999</v>
      </c>
      <c r="U1254" s="9">
        <v>1</v>
      </c>
      <c r="V1254" s="9" t="b">
        <v>1</v>
      </c>
      <c r="W1254" s="9" t="s">
        <v>4014</v>
      </c>
    </row>
    <row r="1255" spans="1:23" ht="29" customHeight="1" x14ac:dyDescent="0.2">
      <c r="A1255" s="9" t="s">
        <v>4015</v>
      </c>
      <c r="B1255" s="10" t="s">
        <v>4016</v>
      </c>
      <c r="C1255" s="9" t="s">
        <v>1741</v>
      </c>
      <c r="D1255" s="9" t="s">
        <v>1741</v>
      </c>
      <c r="E1255" s="9" t="s">
        <v>2918</v>
      </c>
      <c r="F1255" s="9" t="s">
        <v>3017</v>
      </c>
      <c r="G1255" s="12">
        <v>335</v>
      </c>
      <c r="H1255" s="9">
        <v>510</v>
      </c>
      <c r="I1255" s="9">
        <v>34</v>
      </c>
      <c r="J1255" s="9">
        <v>3.8</v>
      </c>
      <c r="K1255" s="9">
        <v>3195</v>
      </c>
      <c r="L1255" s="9">
        <v>3.953925848606656</v>
      </c>
      <c r="M1255" s="9" t="s">
        <v>28</v>
      </c>
      <c r="N1255" s="9" t="s">
        <v>29</v>
      </c>
      <c r="O1255" s="9">
        <v>32.700000000000003</v>
      </c>
      <c r="P1255" s="9" t="s">
        <v>40</v>
      </c>
      <c r="Q1255" s="9" t="b">
        <v>0</v>
      </c>
      <c r="R1255" s="9" t="b">
        <v>0</v>
      </c>
      <c r="S1255" s="9" t="b">
        <v>1</v>
      </c>
      <c r="U1255" s="9">
        <v>1</v>
      </c>
      <c r="V1255" s="9" t="b">
        <v>1</v>
      </c>
      <c r="W1255" s="9" t="s">
        <v>4017</v>
      </c>
    </row>
    <row r="1256" spans="1:23" ht="29" customHeight="1" x14ac:dyDescent="0.2">
      <c r="A1256" s="9" t="s">
        <v>4018</v>
      </c>
      <c r="B1256" s="10" t="s">
        <v>4019</v>
      </c>
      <c r="C1256" s="9" t="s">
        <v>1741</v>
      </c>
      <c r="D1256" s="9" t="s">
        <v>1741</v>
      </c>
      <c r="E1256" s="9" t="s">
        <v>2913</v>
      </c>
      <c r="F1256" s="9" t="s">
        <v>3262</v>
      </c>
      <c r="G1256" s="12">
        <v>293</v>
      </c>
      <c r="H1256" s="9">
        <v>499</v>
      </c>
      <c r="I1256" s="9">
        <v>41</v>
      </c>
      <c r="J1256" s="9">
        <v>4.0999999999999996</v>
      </c>
      <c r="K1256" s="9">
        <v>1456</v>
      </c>
      <c r="L1256" s="9">
        <v>4.0889219299953652</v>
      </c>
      <c r="M1256" s="9" t="s">
        <v>28</v>
      </c>
      <c r="N1256" s="9" t="s">
        <v>29</v>
      </c>
      <c r="O1256" s="9">
        <v>50.8</v>
      </c>
      <c r="P1256" s="9" t="s">
        <v>53</v>
      </c>
      <c r="Q1256" s="9" t="b">
        <v>0</v>
      </c>
      <c r="R1256" s="9" t="b">
        <v>0</v>
      </c>
      <c r="S1256" s="9" t="b">
        <v>0</v>
      </c>
      <c r="U1256" s="9">
        <v>1</v>
      </c>
      <c r="V1256" s="9" t="b">
        <v>1</v>
      </c>
      <c r="W1256" s="9" t="s">
        <v>4020</v>
      </c>
    </row>
    <row r="1257" spans="1:23" ht="29" customHeight="1" x14ac:dyDescent="0.2">
      <c r="A1257" s="9" t="s">
        <v>4021</v>
      </c>
      <c r="B1257" s="10" t="s">
        <v>4022</v>
      </c>
      <c r="C1257" s="9" t="s">
        <v>1741</v>
      </c>
      <c r="D1257" s="9" t="s">
        <v>1741</v>
      </c>
      <c r="E1257" s="9" t="s">
        <v>2913</v>
      </c>
      <c r="F1257" s="9" t="s">
        <v>4023</v>
      </c>
      <c r="G1257" s="12">
        <v>599</v>
      </c>
      <c r="H1257" s="9">
        <v>1299</v>
      </c>
      <c r="I1257" s="9">
        <v>54</v>
      </c>
      <c r="J1257" s="9">
        <v>4.2</v>
      </c>
      <c r="K1257" s="9">
        <v>590</v>
      </c>
      <c r="L1257" s="9">
        <v>4.1002731973993836</v>
      </c>
      <c r="M1257" s="9" t="s">
        <v>89</v>
      </c>
      <c r="N1257" s="9" t="s">
        <v>93</v>
      </c>
      <c r="O1257" s="9">
        <v>62</v>
      </c>
      <c r="P1257" s="9" t="s">
        <v>36</v>
      </c>
      <c r="Q1257" s="9" t="b">
        <v>0</v>
      </c>
      <c r="R1257" s="9" t="b">
        <v>0</v>
      </c>
      <c r="S1257" s="9" t="b">
        <v>0</v>
      </c>
      <c r="U1257" s="9">
        <v>1</v>
      </c>
      <c r="V1257" s="9" t="b">
        <v>1</v>
      </c>
      <c r="W1257" s="9" t="s">
        <v>4024</v>
      </c>
    </row>
    <row r="1258" spans="1:23" ht="29" customHeight="1" x14ac:dyDescent="0.2">
      <c r="A1258" s="9" t="s">
        <v>4025</v>
      </c>
      <c r="B1258" s="10" t="s">
        <v>4026</v>
      </c>
      <c r="C1258" s="9" t="s">
        <v>1741</v>
      </c>
      <c r="D1258" s="9" t="s">
        <v>1741</v>
      </c>
      <c r="E1258" s="9" t="s">
        <v>2913</v>
      </c>
      <c r="F1258" s="9" t="s">
        <v>3269</v>
      </c>
      <c r="G1258" s="12">
        <v>499</v>
      </c>
      <c r="H1258" s="9">
        <v>999</v>
      </c>
      <c r="I1258" s="9">
        <v>50</v>
      </c>
      <c r="J1258" s="9">
        <v>4.3</v>
      </c>
      <c r="K1258" s="9">
        <v>1436</v>
      </c>
      <c r="L1258" s="9">
        <v>4.1441260155200181</v>
      </c>
      <c r="M1258" s="9" t="s">
        <v>28</v>
      </c>
      <c r="N1258" s="9" t="s">
        <v>29</v>
      </c>
      <c r="O1258" s="9">
        <v>65</v>
      </c>
      <c r="P1258" s="9" t="s">
        <v>36</v>
      </c>
      <c r="Q1258" s="9" t="b">
        <v>0</v>
      </c>
      <c r="R1258" s="9" t="b">
        <v>0</v>
      </c>
      <c r="S1258" s="9" t="b">
        <v>0</v>
      </c>
      <c r="T1258" s="9">
        <v>2.16</v>
      </c>
      <c r="U1258" s="9">
        <v>1</v>
      </c>
      <c r="V1258" s="9" t="b">
        <v>1</v>
      </c>
      <c r="W1258" s="9" t="s">
        <v>4027</v>
      </c>
    </row>
    <row r="1259" spans="1:23" ht="29" customHeight="1" x14ac:dyDescent="0.2">
      <c r="A1259" s="9" t="s">
        <v>4028</v>
      </c>
      <c r="B1259" s="10" t="s">
        <v>4029</v>
      </c>
      <c r="C1259" s="9" t="s">
        <v>1741</v>
      </c>
      <c r="D1259" s="9" t="s">
        <v>1741</v>
      </c>
      <c r="E1259" s="9" t="s">
        <v>2913</v>
      </c>
      <c r="F1259" s="9" t="s">
        <v>2969</v>
      </c>
      <c r="G1259" s="12">
        <v>849</v>
      </c>
      <c r="H1259" s="9">
        <v>1190</v>
      </c>
      <c r="I1259" s="9">
        <v>29</v>
      </c>
      <c r="J1259" s="9">
        <v>4.2</v>
      </c>
      <c r="K1259" s="9">
        <v>4184</v>
      </c>
      <c r="L1259" s="9">
        <v>4.1453770957881861</v>
      </c>
      <c r="M1259" s="9" t="s">
        <v>28</v>
      </c>
      <c r="N1259" s="9" t="s">
        <v>93</v>
      </c>
      <c r="O1259" s="9">
        <v>52.8</v>
      </c>
      <c r="P1259" s="9" t="s">
        <v>53</v>
      </c>
      <c r="Q1259" s="9" t="b">
        <v>0</v>
      </c>
      <c r="R1259" s="9" t="b">
        <v>0</v>
      </c>
      <c r="S1259" s="9" t="b">
        <v>0</v>
      </c>
      <c r="T1259" s="9">
        <v>1.25</v>
      </c>
      <c r="U1259" s="9">
        <v>1</v>
      </c>
      <c r="V1259" s="9" t="b">
        <v>1</v>
      </c>
      <c r="W1259" s="9" t="s">
        <v>4030</v>
      </c>
    </row>
    <row r="1260" spans="1:23" ht="29" customHeight="1" x14ac:dyDescent="0.2">
      <c r="A1260" s="9" t="s">
        <v>4031</v>
      </c>
      <c r="B1260" s="10" t="s">
        <v>4032</v>
      </c>
      <c r="C1260" s="9" t="s">
        <v>1741</v>
      </c>
      <c r="D1260" s="9" t="s">
        <v>1741</v>
      </c>
      <c r="E1260" s="9" t="s">
        <v>2913</v>
      </c>
      <c r="F1260" s="9" t="s">
        <v>3262</v>
      </c>
      <c r="G1260" s="12">
        <v>249</v>
      </c>
      <c r="H1260" s="9">
        <v>400</v>
      </c>
      <c r="I1260" s="9">
        <v>38</v>
      </c>
      <c r="J1260" s="9">
        <v>4.0999999999999996</v>
      </c>
      <c r="K1260" s="9">
        <v>693</v>
      </c>
      <c r="L1260" s="9">
        <v>4.087024821384988</v>
      </c>
      <c r="M1260" s="9" t="s">
        <v>89</v>
      </c>
      <c r="N1260" s="9" t="s">
        <v>29</v>
      </c>
      <c r="O1260" s="9">
        <v>48.7</v>
      </c>
      <c r="P1260" s="9" t="s">
        <v>30</v>
      </c>
      <c r="Q1260" s="9" t="b">
        <v>0</v>
      </c>
      <c r="R1260" s="9" t="b">
        <v>0</v>
      </c>
      <c r="S1260" s="9" t="b">
        <v>0</v>
      </c>
      <c r="U1260" s="9">
        <v>1</v>
      </c>
      <c r="V1260" s="9" t="b">
        <v>1</v>
      </c>
      <c r="W1260" s="9" t="s">
        <v>4033</v>
      </c>
    </row>
    <row r="1261" spans="1:23" ht="29" customHeight="1" x14ac:dyDescent="0.2">
      <c r="A1261" s="9" t="s">
        <v>4034</v>
      </c>
      <c r="B1261" s="10" t="s">
        <v>4035</v>
      </c>
      <c r="C1261" s="9" t="s">
        <v>1741</v>
      </c>
      <c r="D1261" s="9" t="s">
        <v>1741</v>
      </c>
      <c r="E1261" s="9" t="s">
        <v>2913</v>
      </c>
      <c r="F1261" s="9" t="s">
        <v>3269</v>
      </c>
      <c r="G1261" s="12">
        <v>185</v>
      </c>
      <c r="H1261" s="9">
        <v>599</v>
      </c>
      <c r="I1261" s="9">
        <v>69</v>
      </c>
      <c r="J1261" s="9">
        <v>3.9</v>
      </c>
      <c r="K1261" s="9">
        <v>1306</v>
      </c>
      <c r="L1261" s="9">
        <v>4.0370600950341942</v>
      </c>
      <c r="M1261" s="9" t="s">
        <v>28</v>
      </c>
      <c r="N1261" s="9" t="s">
        <v>29</v>
      </c>
      <c r="O1261" s="9">
        <v>55.8</v>
      </c>
      <c r="P1261" s="9" t="s">
        <v>53</v>
      </c>
      <c r="Q1261" s="9" t="b">
        <v>0</v>
      </c>
      <c r="R1261" s="9" t="b">
        <v>0</v>
      </c>
      <c r="S1261" s="9" t="b">
        <v>0</v>
      </c>
      <c r="T1261" s="9">
        <v>0.8</v>
      </c>
      <c r="U1261" s="9">
        <v>1</v>
      </c>
      <c r="V1261" s="9" t="b">
        <v>1</v>
      </c>
      <c r="W1261" s="9" t="s">
        <v>4036</v>
      </c>
    </row>
    <row r="1262" spans="1:23" ht="29" customHeight="1" x14ac:dyDescent="0.2">
      <c r="A1262" s="9" t="s">
        <v>4037</v>
      </c>
      <c r="B1262" s="10" t="s">
        <v>4038</v>
      </c>
      <c r="C1262" s="9" t="s">
        <v>1741</v>
      </c>
      <c r="D1262" s="9" t="s">
        <v>1741</v>
      </c>
      <c r="E1262" s="9" t="s">
        <v>2918</v>
      </c>
      <c r="F1262" s="9" t="s">
        <v>2923</v>
      </c>
      <c r="G1262" s="12">
        <v>778</v>
      </c>
      <c r="H1262" s="9">
        <v>999</v>
      </c>
      <c r="I1262" s="9">
        <v>22</v>
      </c>
      <c r="J1262" s="9">
        <v>3.3</v>
      </c>
      <c r="K1262" s="9">
        <v>8</v>
      </c>
      <c r="L1262" s="9">
        <v>4.0829701874236344</v>
      </c>
      <c r="M1262" s="9" t="s">
        <v>204</v>
      </c>
      <c r="N1262" s="9" t="s">
        <v>93</v>
      </c>
      <c r="O1262" s="9">
        <v>39.1</v>
      </c>
      <c r="P1262" s="9" t="s">
        <v>30</v>
      </c>
      <c r="Q1262" s="9" t="b">
        <v>0</v>
      </c>
      <c r="R1262" s="9" t="b">
        <v>0</v>
      </c>
      <c r="S1262" s="9" t="b">
        <v>1</v>
      </c>
      <c r="T1262" s="9">
        <v>0.72</v>
      </c>
      <c r="U1262" s="9">
        <v>1</v>
      </c>
      <c r="V1262" s="9" t="b">
        <v>1</v>
      </c>
      <c r="W1262" s="9" t="s">
        <v>4039</v>
      </c>
    </row>
    <row r="1263" spans="1:23" ht="29" customHeight="1" x14ac:dyDescent="0.2">
      <c r="A1263" s="9" t="s">
        <v>4040</v>
      </c>
      <c r="B1263" s="10" t="s">
        <v>4041</v>
      </c>
      <c r="C1263" s="9" t="s">
        <v>1741</v>
      </c>
      <c r="D1263" s="9" t="s">
        <v>1741</v>
      </c>
      <c r="E1263" s="9" t="s">
        <v>2913</v>
      </c>
      <c r="F1263" s="9" t="s">
        <v>4042</v>
      </c>
      <c r="G1263" s="12">
        <v>279</v>
      </c>
      <c r="H1263" s="9">
        <v>699</v>
      </c>
      <c r="I1263" s="9">
        <v>60</v>
      </c>
      <c r="J1263" s="9">
        <v>4.3</v>
      </c>
      <c r="K1263" s="9">
        <v>2326</v>
      </c>
      <c r="L1263" s="9">
        <v>4.1669112411399878</v>
      </c>
      <c r="M1263" s="9" t="s">
        <v>28</v>
      </c>
      <c r="N1263" s="9" t="s">
        <v>29</v>
      </c>
      <c r="O1263" s="9">
        <v>74.099999999999994</v>
      </c>
      <c r="P1263" s="9" t="s">
        <v>36</v>
      </c>
      <c r="Q1263" s="9" t="b">
        <v>0</v>
      </c>
      <c r="R1263" s="9" t="b">
        <v>0</v>
      </c>
      <c r="S1263" s="9" t="b">
        <v>0</v>
      </c>
      <c r="U1263" s="9">
        <v>1</v>
      </c>
      <c r="V1263" s="9" t="b">
        <v>1</v>
      </c>
      <c r="W1263" s="9" t="s">
        <v>4043</v>
      </c>
    </row>
    <row r="1264" spans="1:23" ht="29" customHeight="1" x14ac:dyDescent="0.2">
      <c r="A1264" s="9" t="s">
        <v>4044</v>
      </c>
      <c r="B1264" s="10" t="s">
        <v>4045</v>
      </c>
      <c r="C1264" s="9" t="s">
        <v>1741</v>
      </c>
      <c r="D1264" s="9" t="s">
        <v>1741</v>
      </c>
      <c r="E1264" s="9" t="s">
        <v>2913</v>
      </c>
      <c r="F1264" s="9" t="s">
        <v>3269</v>
      </c>
      <c r="G1264" s="12">
        <v>215</v>
      </c>
      <c r="H1264" s="9">
        <v>1499</v>
      </c>
      <c r="I1264" s="9">
        <v>86</v>
      </c>
      <c r="J1264" s="9">
        <v>3.9</v>
      </c>
      <c r="K1264" s="9">
        <v>1004</v>
      </c>
      <c r="L1264" s="9">
        <v>4.0457440662290596</v>
      </c>
      <c r="M1264" s="9" t="s">
        <v>28</v>
      </c>
      <c r="N1264" s="9" t="s">
        <v>29</v>
      </c>
      <c r="O1264" s="9">
        <v>60.8</v>
      </c>
      <c r="P1264" s="9" t="s">
        <v>36</v>
      </c>
      <c r="Q1264" s="9" t="b">
        <v>0</v>
      </c>
      <c r="R1264" s="9" t="b">
        <v>0</v>
      </c>
      <c r="S1264" s="9" t="b">
        <v>0</v>
      </c>
      <c r="T1264" s="9">
        <v>0.93</v>
      </c>
      <c r="U1264" s="9">
        <v>1</v>
      </c>
      <c r="V1264" s="9" t="b">
        <v>1</v>
      </c>
      <c r="W1264" s="9" t="s">
        <v>4046</v>
      </c>
    </row>
    <row r="1265" spans="1:23" ht="29" customHeight="1" x14ac:dyDescent="0.2">
      <c r="A1265" s="9" t="s">
        <v>4047</v>
      </c>
      <c r="B1265" s="10" t="s">
        <v>4048</v>
      </c>
      <c r="C1265" s="9" t="s">
        <v>1741</v>
      </c>
      <c r="D1265" s="9" t="s">
        <v>1741</v>
      </c>
      <c r="E1265" s="9" t="s">
        <v>2913</v>
      </c>
      <c r="F1265" s="9" t="s">
        <v>2969</v>
      </c>
      <c r="G1265" s="12">
        <v>889</v>
      </c>
      <c r="H1265" s="9">
        <v>1295</v>
      </c>
      <c r="I1265" s="9">
        <v>31</v>
      </c>
      <c r="J1265" s="9">
        <v>4.3</v>
      </c>
      <c r="K1265" s="9">
        <v>6400</v>
      </c>
      <c r="L1265" s="9">
        <v>4.2202646092674847</v>
      </c>
      <c r="M1265" s="9" t="s">
        <v>28</v>
      </c>
      <c r="N1265" s="9" t="s">
        <v>93</v>
      </c>
      <c r="O1265" s="9">
        <v>61.1</v>
      </c>
      <c r="P1265" s="9" t="s">
        <v>36</v>
      </c>
      <c r="Q1265" s="9" t="b">
        <v>0</v>
      </c>
      <c r="R1265" s="9" t="b">
        <v>0</v>
      </c>
      <c r="S1265" s="9" t="b">
        <v>0</v>
      </c>
      <c r="T1265" s="9">
        <v>1.31</v>
      </c>
      <c r="U1265" s="9">
        <v>1</v>
      </c>
      <c r="V1265" s="9" t="b">
        <v>1</v>
      </c>
      <c r="W1265" s="9" t="s">
        <v>4049</v>
      </c>
    </row>
    <row r="1266" spans="1:23" ht="29" customHeight="1" x14ac:dyDescent="0.2">
      <c r="A1266" s="9" t="s">
        <v>4050</v>
      </c>
      <c r="B1266" s="10" t="s">
        <v>4051</v>
      </c>
      <c r="C1266" s="9" t="s">
        <v>1741</v>
      </c>
      <c r="D1266" s="9" t="s">
        <v>1741</v>
      </c>
      <c r="E1266" s="9" t="s">
        <v>2918</v>
      </c>
      <c r="F1266" s="9" t="s">
        <v>2977</v>
      </c>
      <c r="G1266" s="12">
        <v>1449</v>
      </c>
      <c r="H1266" s="9">
        <v>4999</v>
      </c>
      <c r="I1266" s="9">
        <v>71</v>
      </c>
      <c r="J1266" s="9">
        <v>3.6</v>
      </c>
      <c r="K1266" s="9">
        <v>63</v>
      </c>
      <c r="L1266" s="9">
        <v>4.0766537947146304</v>
      </c>
      <c r="M1266" s="9" t="s">
        <v>204</v>
      </c>
      <c r="N1266" s="9" t="s">
        <v>179</v>
      </c>
      <c r="O1266" s="9">
        <v>55.1</v>
      </c>
      <c r="P1266" s="9" t="s">
        <v>53</v>
      </c>
      <c r="Q1266" s="9" t="b">
        <v>0</v>
      </c>
      <c r="R1266" s="9" t="b">
        <v>0</v>
      </c>
      <c r="S1266" s="9" t="b">
        <v>1</v>
      </c>
      <c r="T1266" s="9">
        <v>0.56000000000000005</v>
      </c>
      <c r="U1266" s="9">
        <v>1</v>
      </c>
      <c r="V1266" s="9" t="b">
        <v>1</v>
      </c>
      <c r="W1266" s="9" t="s">
        <v>4052</v>
      </c>
    </row>
    <row r="1267" spans="1:23" ht="29" customHeight="1" x14ac:dyDescent="0.2">
      <c r="A1267" s="9" t="s">
        <v>4053</v>
      </c>
      <c r="B1267" s="10" t="s">
        <v>4054</v>
      </c>
      <c r="C1267" s="9" t="s">
        <v>1741</v>
      </c>
      <c r="D1267" s="9" t="s">
        <v>1741</v>
      </c>
      <c r="E1267" s="9" t="s">
        <v>2918</v>
      </c>
      <c r="F1267" s="9" t="s">
        <v>2977</v>
      </c>
      <c r="G1267" s="12">
        <v>1190</v>
      </c>
      <c r="H1267" s="9">
        <v>2550</v>
      </c>
      <c r="I1267" s="9">
        <v>53</v>
      </c>
      <c r="J1267" s="9">
        <v>3.8</v>
      </c>
      <c r="K1267" s="9">
        <v>1181</v>
      </c>
      <c r="L1267" s="9">
        <v>4.0166358029090352</v>
      </c>
      <c r="M1267" s="9" t="s">
        <v>28</v>
      </c>
      <c r="N1267" s="9" t="s">
        <v>179</v>
      </c>
      <c r="O1267" s="9">
        <v>39.6</v>
      </c>
      <c r="P1267" s="9" t="s">
        <v>30</v>
      </c>
      <c r="Q1267" s="9" t="b">
        <v>0</v>
      </c>
      <c r="R1267" s="9" t="b">
        <v>0</v>
      </c>
      <c r="S1267" s="9" t="b">
        <v>1</v>
      </c>
      <c r="T1267" s="9">
        <v>0.46</v>
      </c>
      <c r="U1267" s="9">
        <v>1</v>
      </c>
      <c r="V1267" s="9" t="b">
        <v>1</v>
      </c>
      <c r="W1267" s="9" t="s">
        <v>4055</v>
      </c>
    </row>
    <row r="1268" spans="1:23" ht="29" customHeight="1" x14ac:dyDescent="0.2">
      <c r="A1268" s="9" t="s">
        <v>4056</v>
      </c>
      <c r="B1268" s="10" t="s">
        <v>4057</v>
      </c>
      <c r="C1268" s="9" t="s">
        <v>1741</v>
      </c>
      <c r="D1268" s="9" t="s">
        <v>1741</v>
      </c>
      <c r="E1268" s="9" t="s">
        <v>2913</v>
      </c>
      <c r="F1268" s="9" t="s">
        <v>3415</v>
      </c>
      <c r="G1268" s="12">
        <v>1799</v>
      </c>
      <c r="H1268" s="9">
        <v>1950</v>
      </c>
      <c r="I1268" s="9">
        <v>8</v>
      </c>
      <c r="J1268" s="9">
        <v>3.9</v>
      </c>
      <c r="K1268" s="9">
        <v>1888</v>
      </c>
      <c r="L1268" s="9">
        <v>4.0229429416300881</v>
      </c>
      <c r="M1268" s="9" t="s">
        <v>28</v>
      </c>
      <c r="N1268" s="9" t="s">
        <v>179</v>
      </c>
      <c r="O1268" s="9">
        <v>17.7</v>
      </c>
      <c r="P1268" s="9" t="s">
        <v>40</v>
      </c>
      <c r="Q1268" s="9" t="b">
        <v>0</v>
      </c>
      <c r="R1268" s="9" t="b">
        <v>0</v>
      </c>
      <c r="S1268" s="9" t="b">
        <v>0</v>
      </c>
      <c r="T1268" s="9">
        <v>0.26</v>
      </c>
      <c r="U1268" s="9">
        <v>1</v>
      </c>
      <c r="V1268" s="9" t="b">
        <v>1</v>
      </c>
      <c r="W1268" s="9" t="s">
        <v>4058</v>
      </c>
    </row>
    <row r="1269" spans="1:23" ht="29" customHeight="1" x14ac:dyDescent="0.2">
      <c r="A1269" s="9" t="s">
        <v>4059</v>
      </c>
      <c r="B1269" s="10" t="s">
        <v>4060</v>
      </c>
      <c r="C1269" s="9" t="s">
        <v>1741</v>
      </c>
      <c r="D1269" s="9" t="s">
        <v>1741</v>
      </c>
      <c r="E1269" s="9" t="s">
        <v>2913</v>
      </c>
      <c r="F1269" s="9" t="s">
        <v>2973</v>
      </c>
      <c r="G1269" s="12">
        <v>6120</v>
      </c>
      <c r="H1269" s="9">
        <v>8478</v>
      </c>
      <c r="I1269" s="9">
        <v>28</v>
      </c>
      <c r="J1269" s="9">
        <v>4.5999999999999996</v>
      </c>
      <c r="K1269" s="9">
        <v>6550</v>
      </c>
      <c r="L1269" s="9">
        <v>4.4119698513145016</v>
      </c>
      <c r="M1269" s="9" t="s">
        <v>28</v>
      </c>
      <c r="N1269" s="9" t="s">
        <v>144</v>
      </c>
      <c r="O1269" s="9">
        <v>57.9</v>
      </c>
      <c r="P1269" s="9" t="s">
        <v>53</v>
      </c>
      <c r="Q1269" s="9" t="b">
        <v>0</v>
      </c>
      <c r="R1269" s="9" t="b">
        <v>0</v>
      </c>
      <c r="S1269" s="9" t="b">
        <v>0</v>
      </c>
      <c r="T1269" s="9">
        <v>2.11</v>
      </c>
      <c r="U1269" s="9">
        <v>1</v>
      </c>
      <c r="V1269" s="9" t="b">
        <v>1</v>
      </c>
      <c r="W1269" s="9" t="s">
        <v>4061</v>
      </c>
    </row>
    <row r="1270" spans="1:23" ht="29" customHeight="1" x14ac:dyDescent="0.2">
      <c r="A1270" s="9" t="s">
        <v>4062</v>
      </c>
      <c r="B1270" s="10" t="s">
        <v>4063</v>
      </c>
      <c r="C1270" s="9" t="s">
        <v>1741</v>
      </c>
      <c r="D1270" s="9" t="s">
        <v>1741</v>
      </c>
      <c r="E1270" s="9" t="s">
        <v>2913</v>
      </c>
      <c r="F1270" s="9" t="s">
        <v>2973</v>
      </c>
      <c r="G1270" s="12">
        <v>1799</v>
      </c>
      <c r="H1270" s="9">
        <v>3299</v>
      </c>
      <c r="I1270" s="9">
        <v>45</v>
      </c>
      <c r="J1270" s="9">
        <v>3.8</v>
      </c>
      <c r="K1270" s="9">
        <v>1846</v>
      </c>
      <c r="L1270" s="9">
        <v>3.990949289771029</v>
      </c>
      <c r="M1270" s="9" t="s">
        <v>28</v>
      </c>
      <c r="N1270" s="9" t="s">
        <v>179</v>
      </c>
      <c r="O1270" s="9">
        <v>26.4</v>
      </c>
      <c r="P1270" s="9" t="s">
        <v>40</v>
      </c>
      <c r="Q1270" s="9" t="b">
        <v>0</v>
      </c>
      <c r="R1270" s="9" t="b">
        <v>0</v>
      </c>
      <c r="S1270" s="9" t="b">
        <v>1</v>
      </c>
      <c r="T1270" s="9">
        <v>0.62</v>
      </c>
      <c r="U1270" s="9">
        <v>1</v>
      </c>
      <c r="V1270" s="9" t="b">
        <v>1</v>
      </c>
      <c r="W1270" s="9" t="s">
        <v>4064</v>
      </c>
    </row>
    <row r="1271" spans="1:23" ht="29" customHeight="1" x14ac:dyDescent="0.2">
      <c r="A1271" s="9" t="s">
        <v>4065</v>
      </c>
      <c r="B1271" s="10" t="s">
        <v>4066</v>
      </c>
      <c r="C1271" s="9" t="s">
        <v>1741</v>
      </c>
      <c r="D1271" s="9" t="s">
        <v>1741</v>
      </c>
      <c r="E1271" s="9" t="s">
        <v>2913</v>
      </c>
      <c r="F1271" s="9" t="s">
        <v>2973</v>
      </c>
      <c r="G1271" s="12">
        <v>2199</v>
      </c>
      <c r="H1271" s="9">
        <v>3895</v>
      </c>
      <c r="I1271" s="9">
        <v>44</v>
      </c>
      <c r="J1271" s="9">
        <v>3.9</v>
      </c>
      <c r="K1271" s="9">
        <v>1085</v>
      </c>
      <c r="L1271" s="9">
        <v>4.0433087347459136</v>
      </c>
      <c r="M1271" s="9" t="s">
        <v>28</v>
      </c>
      <c r="N1271" s="9" t="s">
        <v>179</v>
      </c>
      <c r="O1271" s="9">
        <v>30.6</v>
      </c>
      <c r="P1271" s="9" t="s">
        <v>40</v>
      </c>
      <c r="Q1271" s="9" t="b">
        <v>0</v>
      </c>
      <c r="R1271" s="9" t="b">
        <v>0</v>
      </c>
      <c r="S1271" s="9" t="b">
        <v>0</v>
      </c>
      <c r="T1271" s="9">
        <v>0.76</v>
      </c>
      <c r="U1271" s="9">
        <v>1</v>
      </c>
      <c r="V1271" s="9" t="b">
        <v>1</v>
      </c>
      <c r="W1271" s="9" t="s">
        <v>4067</v>
      </c>
    </row>
    <row r="1272" spans="1:23" ht="29" customHeight="1" x14ac:dyDescent="0.2">
      <c r="A1272" s="9" t="s">
        <v>4068</v>
      </c>
      <c r="B1272" s="10" t="s">
        <v>4069</v>
      </c>
      <c r="C1272" s="9" t="s">
        <v>1741</v>
      </c>
      <c r="D1272" s="9" t="s">
        <v>1741</v>
      </c>
      <c r="E1272" s="9" t="s">
        <v>2913</v>
      </c>
      <c r="F1272" s="9" t="s">
        <v>3289</v>
      </c>
      <c r="G1272" s="12">
        <v>3685</v>
      </c>
      <c r="H1272" s="9">
        <v>5495</v>
      </c>
      <c r="I1272" s="9">
        <v>33</v>
      </c>
      <c r="J1272" s="9">
        <v>4.0999999999999996</v>
      </c>
      <c r="K1272" s="9">
        <v>290</v>
      </c>
      <c r="L1272" s="9">
        <v>4.0857345075091462</v>
      </c>
      <c r="M1272" s="9" t="s">
        <v>89</v>
      </c>
      <c r="N1272" s="9" t="s">
        <v>144</v>
      </c>
      <c r="O1272" s="9">
        <v>31.3</v>
      </c>
      <c r="P1272" s="9" t="s">
        <v>40</v>
      </c>
      <c r="Q1272" s="9" t="b">
        <v>0</v>
      </c>
      <c r="R1272" s="9" t="b">
        <v>0</v>
      </c>
      <c r="S1272" s="9" t="b">
        <v>0</v>
      </c>
      <c r="U1272" s="9">
        <v>1</v>
      </c>
      <c r="V1272" s="9" t="b">
        <v>1</v>
      </c>
      <c r="W1272" s="9" t="s">
        <v>4070</v>
      </c>
    </row>
    <row r="1273" spans="1:23" ht="29" customHeight="1" x14ac:dyDescent="0.2">
      <c r="A1273" s="9" t="s">
        <v>4071</v>
      </c>
      <c r="B1273" s="10" t="s">
        <v>4072</v>
      </c>
      <c r="C1273" s="9" t="s">
        <v>1741</v>
      </c>
      <c r="D1273" s="9" t="s">
        <v>1741</v>
      </c>
      <c r="E1273" s="9" t="s">
        <v>2913</v>
      </c>
      <c r="F1273" s="9" t="s">
        <v>3049</v>
      </c>
      <c r="G1273" s="12">
        <v>649</v>
      </c>
      <c r="H1273" s="9">
        <v>999</v>
      </c>
      <c r="I1273" s="9">
        <v>35</v>
      </c>
      <c r="J1273" s="9">
        <v>3.6</v>
      </c>
      <c r="K1273" s="9">
        <v>4</v>
      </c>
      <c r="L1273" s="9">
        <v>4.0841202951495594</v>
      </c>
      <c r="M1273" s="9" t="s">
        <v>204</v>
      </c>
      <c r="N1273" s="9" t="s">
        <v>93</v>
      </c>
      <c r="O1273" s="9">
        <v>42.1</v>
      </c>
      <c r="P1273" s="9" t="s">
        <v>30</v>
      </c>
      <c r="Q1273" s="9" t="b">
        <v>0</v>
      </c>
      <c r="R1273" s="9" t="b">
        <v>0</v>
      </c>
      <c r="S1273" s="9" t="b">
        <v>1</v>
      </c>
      <c r="T1273" s="9">
        <v>0.28000000000000003</v>
      </c>
      <c r="U1273" s="9">
        <v>1</v>
      </c>
      <c r="V1273" s="9" t="b">
        <v>1</v>
      </c>
      <c r="W1273" s="9" t="s">
        <v>4073</v>
      </c>
    </row>
    <row r="1274" spans="1:23" ht="29" customHeight="1" x14ac:dyDescent="0.2">
      <c r="A1274" s="9" t="s">
        <v>4074</v>
      </c>
      <c r="B1274" s="10" t="s">
        <v>4075</v>
      </c>
      <c r="C1274" s="9" t="s">
        <v>1741</v>
      </c>
      <c r="D1274" s="9" t="s">
        <v>1741</v>
      </c>
      <c r="E1274" s="9" t="s">
        <v>2913</v>
      </c>
      <c r="F1274" s="9" t="s">
        <v>3517</v>
      </c>
      <c r="G1274" s="12">
        <v>8599</v>
      </c>
      <c r="H1274" s="9">
        <v>8995</v>
      </c>
      <c r="I1274" s="9">
        <v>4</v>
      </c>
      <c r="J1274" s="9">
        <v>4.4000000000000004</v>
      </c>
      <c r="K1274" s="9">
        <v>9734</v>
      </c>
      <c r="L1274" s="9">
        <v>4.3120838062965081</v>
      </c>
      <c r="M1274" s="9" t="s">
        <v>28</v>
      </c>
      <c r="N1274" s="9" t="s">
        <v>144</v>
      </c>
      <c r="O1274" s="9">
        <v>49.1</v>
      </c>
      <c r="P1274" s="9" t="s">
        <v>30</v>
      </c>
      <c r="Q1274" s="9" t="b">
        <v>0</v>
      </c>
      <c r="R1274" s="9" t="b">
        <v>0</v>
      </c>
      <c r="S1274" s="9" t="b">
        <v>0</v>
      </c>
      <c r="U1274" s="9">
        <v>1</v>
      </c>
      <c r="V1274" s="9" t="b">
        <v>1</v>
      </c>
      <c r="W1274" s="9" t="s">
        <v>4076</v>
      </c>
    </row>
    <row r="1275" spans="1:23" ht="29" customHeight="1" x14ac:dyDescent="0.2">
      <c r="A1275" s="9" t="s">
        <v>4077</v>
      </c>
      <c r="B1275" s="10" t="s">
        <v>4078</v>
      </c>
      <c r="C1275" s="9" t="s">
        <v>1741</v>
      </c>
      <c r="D1275" s="9" t="s">
        <v>1741</v>
      </c>
      <c r="E1275" s="9" t="s">
        <v>2913</v>
      </c>
      <c r="F1275" s="9" t="s">
        <v>2969</v>
      </c>
      <c r="G1275" s="12">
        <v>1110</v>
      </c>
      <c r="H1275" s="9">
        <v>1599</v>
      </c>
      <c r="I1275" s="9">
        <v>31</v>
      </c>
      <c r="J1275" s="9">
        <v>4.3</v>
      </c>
      <c r="K1275" s="9">
        <v>4022</v>
      </c>
      <c r="L1275" s="9">
        <v>4.1959071349066486</v>
      </c>
      <c r="M1275" s="9" t="s">
        <v>28</v>
      </c>
      <c r="N1275" s="9" t="s">
        <v>179</v>
      </c>
      <c r="O1275" s="9">
        <v>57.9</v>
      </c>
      <c r="P1275" s="9" t="s">
        <v>53</v>
      </c>
      <c r="Q1275" s="9" t="b">
        <v>0</v>
      </c>
      <c r="R1275" s="9" t="b">
        <v>0</v>
      </c>
      <c r="S1275" s="9" t="b">
        <v>0</v>
      </c>
      <c r="T1275" s="9">
        <v>1.63</v>
      </c>
      <c r="U1275" s="9">
        <v>1</v>
      </c>
      <c r="V1275" s="9" t="b">
        <v>1</v>
      </c>
      <c r="W1275" s="9" t="s">
        <v>4079</v>
      </c>
    </row>
    <row r="1276" spans="1:23" ht="29" customHeight="1" x14ac:dyDescent="0.2">
      <c r="A1276" s="9" t="s">
        <v>4080</v>
      </c>
      <c r="B1276" s="10" t="s">
        <v>4081</v>
      </c>
      <c r="C1276" s="9" t="s">
        <v>1741</v>
      </c>
      <c r="D1276" s="9" t="s">
        <v>1741</v>
      </c>
      <c r="E1276" s="9" t="s">
        <v>2918</v>
      </c>
      <c r="F1276" s="9" t="s">
        <v>2977</v>
      </c>
      <c r="G1276" s="12">
        <v>1499</v>
      </c>
      <c r="H1276" s="9">
        <v>3500</v>
      </c>
      <c r="I1276" s="9">
        <v>57</v>
      </c>
      <c r="J1276" s="9">
        <v>4.7</v>
      </c>
      <c r="K1276" s="9">
        <v>2591</v>
      </c>
      <c r="L1276" s="9">
        <v>4.335584967605385</v>
      </c>
      <c r="M1276" s="9" t="s">
        <v>28</v>
      </c>
      <c r="N1276" s="9" t="s">
        <v>179</v>
      </c>
      <c r="O1276" s="9">
        <v>78.5</v>
      </c>
      <c r="P1276" s="9" t="s">
        <v>36</v>
      </c>
      <c r="Q1276" s="9" t="b">
        <v>0</v>
      </c>
      <c r="R1276" s="9" t="b">
        <v>0</v>
      </c>
      <c r="S1276" s="9" t="b">
        <v>0</v>
      </c>
      <c r="T1276" s="9">
        <v>0.57999999999999996</v>
      </c>
      <c r="U1276" s="9">
        <v>1</v>
      </c>
      <c r="V1276" s="9" t="b">
        <v>1</v>
      </c>
      <c r="W1276" s="9" t="s">
        <v>4082</v>
      </c>
    </row>
    <row r="1277" spans="1:23" ht="29" customHeight="1" x14ac:dyDescent="0.2">
      <c r="A1277" s="9" t="s">
        <v>4083</v>
      </c>
      <c r="B1277" s="10" t="s">
        <v>4084</v>
      </c>
      <c r="C1277" s="9" t="s">
        <v>1741</v>
      </c>
      <c r="D1277" s="9" t="s">
        <v>1741</v>
      </c>
      <c r="E1277" s="9" t="s">
        <v>2913</v>
      </c>
      <c r="F1277" s="9" t="s">
        <v>2931</v>
      </c>
      <c r="G1277" s="12">
        <v>759</v>
      </c>
      <c r="H1277" s="9">
        <v>1999</v>
      </c>
      <c r="I1277" s="9">
        <v>62</v>
      </c>
      <c r="J1277" s="9">
        <v>4.3</v>
      </c>
      <c r="K1277" s="9">
        <v>532</v>
      </c>
      <c r="L1277" s="9">
        <v>4.1113142604915156</v>
      </c>
      <c r="M1277" s="9" t="s">
        <v>89</v>
      </c>
      <c r="N1277" s="9" t="s">
        <v>93</v>
      </c>
      <c r="O1277" s="9">
        <v>65.599999999999994</v>
      </c>
      <c r="P1277" s="9" t="s">
        <v>36</v>
      </c>
      <c r="Q1277" s="9" t="b">
        <v>0</v>
      </c>
      <c r="R1277" s="9" t="b">
        <v>0</v>
      </c>
      <c r="S1277" s="9" t="b">
        <v>0</v>
      </c>
      <c r="T1277" s="9">
        <v>1.55</v>
      </c>
      <c r="U1277" s="9">
        <v>1</v>
      </c>
      <c r="V1277" s="9" t="b">
        <v>1</v>
      </c>
      <c r="W1277" s="9" t="s">
        <v>4085</v>
      </c>
    </row>
    <row r="1278" spans="1:23" ht="29" customHeight="1" x14ac:dyDescent="0.2">
      <c r="A1278" s="9" t="s">
        <v>4086</v>
      </c>
      <c r="B1278" s="10" t="s">
        <v>4087</v>
      </c>
      <c r="C1278" s="9" t="s">
        <v>1741</v>
      </c>
      <c r="D1278" s="9" t="s">
        <v>1741</v>
      </c>
      <c r="E1278" s="9" t="s">
        <v>2913</v>
      </c>
      <c r="F1278" s="9" t="s">
        <v>3059</v>
      </c>
      <c r="G1278" s="12">
        <v>2669</v>
      </c>
      <c r="H1278" s="9">
        <v>3199</v>
      </c>
      <c r="I1278" s="9">
        <v>17</v>
      </c>
      <c r="J1278" s="9">
        <v>3.9</v>
      </c>
      <c r="K1278" s="9">
        <v>260</v>
      </c>
      <c r="L1278" s="9">
        <v>4.0727008307472508</v>
      </c>
      <c r="M1278" s="9" t="s">
        <v>89</v>
      </c>
      <c r="N1278" s="9" t="s">
        <v>144</v>
      </c>
      <c r="O1278" s="9">
        <v>24</v>
      </c>
      <c r="P1278" s="9" t="s">
        <v>40</v>
      </c>
      <c r="Q1278" s="9" t="b">
        <v>0</v>
      </c>
      <c r="R1278" s="9" t="b">
        <v>0</v>
      </c>
      <c r="S1278" s="9" t="b">
        <v>0</v>
      </c>
      <c r="U1278" s="9">
        <v>1</v>
      </c>
      <c r="V1278" s="9" t="b">
        <v>1</v>
      </c>
      <c r="W1278" s="9" t="s">
        <v>4088</v>
      </c>
    </row>
    <row r="1279" spans="1:23" ht="29" customHeight="1" x14ac:dyDescent="0.2">
      <c r="A1279" s="9" t="s">
        <v>4089</v>
      </c>
      <c r="B1279" s="10" t="s">
        <v>4090</v>
      </c>
      <c r="C1279" s="9" t="s">
        <v>1741</v>
      </c>
      <c r="D1279" s="9" t="s">
        <v>1741</v>
      </c>
      <c r="E1279" s="9" t="s">
        <v>2913</v>
      </c>
      <c r="F1279" s="9" t="s">
        <v>3088</v>
      </c>
      <c r="G1279" s="12">
        <v>929</v>
      </c>
      <c r="H1279" s="9">
        <v>1300</v>
      </c>
      <c r="I1279" s="9">
        <v>29</v>
      </c>
      <c r="J1279" s="9">
        <v>3.9</v>
      </c>
      <c r="K1279" s="9">
        <v>1672</v>
      </c>
      <c r="L1279" s="9">
        <v>4.0278294400001498</v>
      </c>
      <c r="M1279" s="9" t="s">
        <v>28</v>
      </c>
      <c r="N1279" s="9" t="s">
        <v>93</v>
      </c>
      <c r="O1279" s="9">
        <v>29.4</v>
      </c>
      <c r="P1279" s="9" t="s">
        <v>40</v>
      </c>
      <c r="Q1279" s="9" t="b">
        <v>0</v>
      </c>
      <c r="R1279" s="9" t="b">
        <v>0</v>
      </c>
      <c r="S1279" s="9" t="b">
        <v>0</v>
      </c>
      <c r="T1279" s="9">
        <v>0.63</v>
      </c>
      <c r="U1279" s="9">
        <v>1</v>
      </c>
      <c r="V1279" s="9" t="b">
        <v>1</v>
      </c>
      <c r="W1279" s="9" t="s">
        <v>4091</v>
      </c>
    </row>
    <row r="1280" spans="1:23" ht="29" customHeight="1" x14ac:dyDescent="0.2">
      <c r="A1280" s="9" t="s">
        <v>4092</v>
      </c>
      <c r="B1280" s="10" t="s">
        <v>4093</v>
      </c>
      <c r="C1280" s="9" t="s">
        <v>1741</v>
      </c>
      <c r="D1280" s="9" t="s">
        <v>1741</v>
      </c>
      <c r="E1280" s="9" t="s">
        <v>3031</v>
      </c>
      <c r="F1280" s="9" t="s">
        <v>3032</v>
      </c>
      <c r="G1280" s="12">
        <v>199</v>
      </c>
      <c r="H1280" s="9">
        <v>399</v>
      </c>
      <c r="I1280" s="9">
        <v>50</v>
      </c>
      <c r="J1280" s="9">
        <v>3.7</v>
      </c>
      <c r="K1280" s="9">
        <v>7945</v>
      </c>
      <c r="L1280" s="9">
        <v>3.8236121368080989</v>
      </c>
      <c r="M1280" s="9" t="s">
        <v>28</v>
      </c>
      <c r="N1280" s="9" t="s">
        <v>29</v>
      </c>
      <c r="O1280" s="9">
        <v>31.5</v>
      </c>
      <c r="P1280" s="9" t="s">
        <v>40</v>
      </c>
      <c r="Q1280" s="9" t="b">
        <v>0</v>
      </c>
      <c r="R1280" s="9" t="b">
        <v>0</v>
      </c>
      <c r="S1280" s="9" t="b">
        <v>1</v>
      </c>
      <c r="T1280" s="9">
        <v>0.56999999999999995</v>
      </c>
      <c r="U1280" s="9">
        <v>1</v>
      </c>
      <c r="V1280" s="9" t="b">
        <v>1</v>
      </c>
      <c r="W1280" s="9" t="s">
        <v>4094</v>
      </c>
    </row>
    <row r="1281" spans="1:23" ht="29" customHeight="1" x14ac:dyDescent="0.2">
      <c r="A1281" s="9" t="s">
        <v>4095</v>
      </c>
      <c r="B1281" s="10" t="s">
        <v>4096</v>
      </c>
      <c r="C1281" s="9" t="s">
        <v>1741</v>
      </c>
      <c r="D1281" s="9" t="s">
        <v>1741</v>
      </c>
      <c r="E1281" s="9" t="s">
        <v>2913</v>
      </c>
      <c r="F1281" s="9" t="s">
        <v>2927</v>
      </c>
      <c r="G1281" s="12">
        <v>279</v>
      </c>
      <c r="H1281" s="9">
        <v>599</v>
      </c>
      <c r="I1281" s="9">
        <v>53</v>
      </c>
      <c r="J1281" s="9">
        <v>3.5</v>
      </c>
      <c r="K1281" s="9">
        <v>1367</v>
      </c>
      <c r="L1281" s="9">
        <v>3.92883109302677</v>
      </c>
      <c r="M1281" s="9" t="s">
        <v>28</v>
      </c>
      <c r="N1281" s="9" t="s">
        <v>29</v>
      </c>
      <c r="O1281" s="9">
        <v>39.5</v>
      </c>
      <c r="P1281" s="9" t="s">
        <v>30</v>
      </c>
      <c r="Q1281" s="9" t="b">
        <v>0</v>
      </c>
      <c r="R1281" s="9" t="b">
        <v>0</v>
      </c>
      <c r="S1281" s="9" t="b">
        <v>1</v>
      </c>
      <c r="T1281" s="9">
        <v>0.62</v>
      </c>
      <c r="U1281" s="9">
        <v>1</v>
      </c>
      <c r="V1281" s="9" t="b">
        <v>1</v>
      </c>
      <c r="W1281" s="9" t="s">
        <v>4097</v>
      </c>
    </row>
    <row r="1282" spans="1:23" ht="29" customHeight="1" x14ac:dyDescent="0.2">
      <c r="A1282" s="9" t="s">
        <v>4098</v>
      </c>
      <c r="B1282" s="10" t="s">
        <v>4099</v>
      </c>
      <c r="C1282" s="9" t="s">
        <v>1741</v>
      </c>
      <c r="D1282" s="9" t="s">
        <v>1741</v>
      </c>
      <c r="E1282" s="9" t="s">
        <v>2913</v>
      </c>
      <c r="F1282" s="9" t="s">
        <v>2965</v>
      </c>
      <c r="G1282" s="12">
        <v>549</v>
      </c>
      <c r="H1282" s="9">
        <v>999</v>
      </c>
      <c r="I1282" s="9">
        <v>45</v>
      </c>
      <c r="J1282" s="9">
        <v>4</v>
      </c>
      <c r="K1282" s="9">
        <v>1313</v>
      </c>
      <c r="L1282" s="9">
        <v>4.0627404377264931</v>
      </c>
      <c r="M1282" s="9" t="s">
        <v>28</v>
      </c>
      <c r="N1282" s="9" t="s">
        <v>93</v>
      </c>
      <c r="O1282" s="9">
        <v>43.6</v>
      </c>
      <c r="P1282" s="9" t="s">
        <v>30</v>
      </c>
      <c r="Q1282" s="9" t="b">
        <v>0</v>
      </c>
      <c r="R1282" s="9" t="b">
        <v>0</v>
      </c>
      <c r="S1282" s="9" t="b">
        <v>0</v>
      </c>
      <c r="T1282" s="9">
        <v>0.79</v>
      </c>
      <c r="U1282" s="9">
        <v>1</v>
      </c>
      <c r="V1282" s="9" t="b">
        <v>1</v>
      </c>
      <c r="W1282" s="9" t="s">
        <v>4100</v>
      </c>
    </row>
    <row r="1283" spans="1:23" ht="29" customHeight="1" x14ac:dyDescent="0.2">
      <c r="A1283" s="9" t="s">
        <v>4101</v>
      </c>
      <c r="B1283" s="10" t="s">
        <v>4102</v>
      </c>
      <c r="C1283" s="9" t="s">
        <v>1741</v>
      </c>
      <c r="D1283" s="9" t="s">
        <v>1741</v>
      </c>
      <c r="E1283" s="9" t="s">
        <v>3031</v>
      </c>
      <c r="F1283" s="9" t="s">
        <v>3487</v>
      </c>
      <c r="G1283" s="12">
        <v>85</v>
      </c>
      <c r="H1283" s="9">
        <v>199</v>
      </c>
      <c r="I1283" s="9">
        <v>57</v>
      </c>
      <c r="J1283" s="9">
        <v>4.0999999999999996</v>
      </c>
      <c r="K1283" s="9">
        <v>212</v>
      </c>
      <c r="L1283" s="9">
        <v>4.0854545456487141</v>
      </c>
      <c r="M1283" s="9" t="s">
        <v>89</v>
      </c>
      <c r="N1283" s="9" t="s">
        <v>29</v>
      </c>
      <c r="O1283" s="9">
        <v>56.4</v>
      </c>
      <c r="P1283" s="9" t="s">
        <v>53</v>
      </c>
      <c r="Q1283" s="9" t="b">
        <v>0</v>
      </c>
      <c r="R1283" s="9" t="b">
        <v>0</v>
      </c>
      <c r="S1283" s="9" t="b">
        <v>0</v>
      </c>
      <c r="U1283" s="9">
        <v>1</v>
      </c>
      <c r="V1283" s="9" t="b">
        <v>1</v>
      </c>
      <c r="W1283" s="9" t="s">
        <v>4103</v>
      </c>
    </row>
    <row r="1284" spans="1:23" ht="29" customHeight="1" x14ac:dyDescent="0.2">
      <c r="A1284" s="9" t="s">
        <v>4104</v>
      </c>
      <c r="B1284" s="10" t="s">
        <v>4105</v>
      </c>
      <c r="C1284" s="9" t="s">
        <v>1741</v>
      </c>
      <c r="D1284" s="9" t="s">
        <v>1741</v>
      </c>
      <c r="E1284" s="9" t="s">
        <v>2913</v>
      </c>
      <c r="F1284" s="9" t="s">
        <v>3049</v>
      </c>
      <c r="G1284" s="12">
        <v>499</v>
      </c>
      <c r="H1284" s="9">
        <v>1299</v>
      </c>
      <c r="I1284" s="9">
        <v>62</v>
      </c>
      <c r="J1284" s="9">
        <v>3.9</v>
      </c>
      <c r="K1284" s="9">
        <v>65</v>
      </c>
      <c r="L1284" s="9">
        <v>4.0814994361021073</v>
      </c>
      <c r="M1284" s="9" t="s">
        <v>204</v>
      </c>
      <c r="N1284" s="9" t="s">
        <v>29</v>
      </c>
      <c r="O1284" s="9">
        <v>56.3</v>
      </c>
      <c r="P1284" s="9" t="s">
        <v>53</v>
      </c>
      <c r="Q1284" s="9" t="b">
        <v>0</v>
      </c>
      <c r="R1284" s="9" t="b">
        <v>0</v>
      </c>
      <c r="S1284" s="9" t="b">
        <v>0</v>
      </c>
      <c r="T1284" s="9">
        <v>0.21</v>
      </c>
      <c r="U1284" s="9">
        <v>1</v>
      </c>
      <c r="V1284" s="9" t="b">
        <v>1</v>
      </c>
      <c r="W1284" s="9" t="s">
        <v>4106</v>
      </c>
    </row>
    <row r="1285" spans="1:23" ht="29" customHeight="1" x14ac:dyDescent="0.2">
      <c r="A1285" s="9" t="s">
        <v>4107</v>
      </c>
      <c r="B1285" s="10" t="s">
        <v>4108</v>
      </c>
      <c r="C1285" s="9" t="s">
        <v>1741</v>
      </c>
      <c r="D1285" s="9" t="s">
        <v>1741</v>
      </c>
      <c r="E1285" s="9" t="s">
        <v>2913</v>
      </c>
      <c r="F1285" s="9" t="s">
        <v>3049</v>
      </c>
      <c r="G1285" s="12">
        <v>5865</v>
      </c>
      <c r="H1285" s="9">
        <v>7776</v>
      </c>
      <c r="I1285" s="9">
        <v>25</v>
      </c>
      <c r="J1285" s="9">
        <v>4.4000000000000004</v>
      </c>
      <c r="K1285" s="9">
        <v>2737</v>
      </c>
      <c r="L1285" s="9">
        <v>4.2174381247297204</v>
      </c>
      <c r="M1285" s="9" t="s">
        <v>28</v>
      </c>
      <c r="N1285" s="9" t="s">
        <v>144</v>
      </c>
      <c r="O1285" s="9">
        <v>48.7</v>
      </c>
      <c r="P1285" s="9" t="s">
        <v>30</v>
      </c>
      <c r="Q1285" s="9" t="b">
        <v>0</v>
      </c>
      <c r="R1285" s="9" t="b">
        <v>0</v>
      </c>
      <c r="S1285" s="9" t="b">
        <v>0</v>
      </c>
      <c r="T1285" s="9">
        <v>2.5099999999999998</v>
      </c>
      <c r="U1285" s="9">
        <v>1</v>
      </c>
      <c r="V1285" s="9" t="b">
        <v>1</v>
      </c>
      <c r="W1285" s="9" t="s">
        <v>4109</v>
      </c>
    </row>
    <row r="1286" spans="1:23" ht="29" customHeight="1" x14ac:dyDescent="0.2">
      <c r="A1286" s="9" t="s">
        <v>4110</v>
      </c>
      <c r="B1286" s="10" t="s">
        <v>4111</v>
      </c>
      <c r="C1286" s="9" t="s">
        <v>1741</v>
      </c>
      <c r="D1286" s="9" t="s">
        <v>1741</v>
      </c>
      <c r="E1286" s="9" t="s">
        <v>2913</v>
      </c>
      <c r="F1286" s="9" t="s">
        <v>2914</v>
      </c>
      <c r="G1286" s="12">
        <v>1260</v>
      </c>
      <c r="H1286" s="9">
        <v>2299</v>
      </c>
      <c r="I1286" s="9">
        <v>45</v>
      </c>
      <c r="J1286" s="9">
        <v>4.3</v>
      </c>
      <c r="K1286" s="9">
        <v>55</v>
      </c>
      <c r="L1286" s="9">
        <v>4.0877378105254261</v>
      </c>
      <c r="M1286" s="9" t="s">
        <v>204</v>
      </c>
      <c r="N1286" s="9" t="s">
        <v>179</v>
      </c>
      <c r="O1286" s="9">
        <v>43.1</v>
      </c>
      <c r="P1286" s="9" t="s">
        <v>30</v>
      </c>
      <c r="Q1286" s="9" t="b">
        <v>0</v>
      </c>
      <c r="R1286" s="9" t="b">
        <v>0</v>
      </c>
      <c r="S1286" s="9" t="b">
        <v>0</v>
      </c>
      <c r="T1286" s="9">
        <v>1.26</v>
      </c>
      <c r="U1286" s="9">
        <v>1</v>
      </c>
      <c r="V1286" s="9" t="b">
        <v>1</v>
      </c>
      <c r="W1286" s="9" t="s">
        <v>4112</v>
      </c>
    </row>
    <row r="1287" spans="1:23" ht="29" customHeight="1" x14ac:dyDescent="0.2">
      <c r="A1287" s="9" t="s">
        <v>4113</v>
      </c>
      <c r="B1287" s="10" t="s">
        <v>4114</v>
      </c>
      <c r="C1287" s="9" t="s">
        <v>1741</v>
      </c>
      <c r="D1287" s="9" t="s">
        <v>1741</v>
      </c>
      <c r="E1287" s="9" t="s">
        <v>2913</v>
      </c>
      <c r="F1287" s="9" t="s">
        <v>4115</v>
      </c>
      <c r="G1287" s="12">
        <v>1099</v>
      </c>
      <c r="H1287" s="9">
        <v>1500</v>
      </c>
      <c r="I1287" s="9">
        <v>27</v>
      </c>
      <c r="J1287" s="9">
        <v>4.5</v>
      </c>
      <c r="K1287" s="9">
        <v>1065</v>
      </c>
      <c r="L1287" s="9">
        <v>4.1762691023678542</v>
      </c>
      <c r="M1287" s="9" t="s">
        <v>28</v>
      </c>
      <c r="N1287" s="9" t="s">
        <v>179</v>
      </c>
      <c r="O1287" s="9">
        <v>52.8</v>
      </c>
      <c r="P1287" s="9" t="s">
        <v>53</v>
      </c>
      <c r="Q1287" s="9" t="b">
        <v>0</v>
      </c>
      <c r="R1287" s="9" t="b">
        <v>0</v>
      </c>
      <c r="S1287" s="9" t="b">
        <v>0</v>
      </c>
      <c r="U1287" s="9">
        <v>1</v>
      </c>
      <c r="V1287" s="9" t="b">
        <v>1</v>
      </c>
      <c r="W1287" s="9" t="s">
        <v>4116</v>
      </c>
    </row>
    <row r="1288" spans="1:23" ht="29" customHeight="1" x14ac:dyDescent="0.2">
      <c r="A1288" s="9" t="s">
        <v>4117</v>
      </c>
      <c r="B1288" s="10" t="s">
        <v>4118</v>
      </c>
      <c r="C1288" s="9" t="s">
        <v>1741</v>
      </c>
      <c r="D1288" s="9" t="s">
        <v>1741</v>
      </c>
      <c r="E1288" s="9" t="s">
        <v>2913</v>
      </c>
      <c r="F1288" s="9" t="s">
        <v>3088</v>
      </c>
      <c r="G1288" s="12">
        <v>1928</v>
      </c>
      <c r="H1288" s="9">
        <v>2590</v>
      </c>
      <c r="I1288" s="9">
        <v>26</v>
      </c>
      <c r="J1288" s="9">
        <v>4</v>
      </c>
      <c r="K1288" s="9">
        <v>2377</v>
      </c>
      <c r="L1288" s="9">
        <v>4.0518672679665801</v>
      </c>
      <c r="M1288" s="9" t="s">
        <v>28</v>
      </c>
      <c r="N1288" s="9" t="s">
        <v>179</v>
      </c>
      <c r="O1288" s="9">
        <v>25.5</v>
      </c>
      <c r="P1288" s="9" t="s">
        <v>40</v>
      </c>
      <c r="Q1288" s="9" t="b">
        <v>0</v>
      </c>
      <c r="R1288" s="9" t="b">
        <v>0</v>
      </c>
      <c r="S1288" s="9" t="b">
        <v>0</v>
      </c>
      <c r="T1288" s="9">
        <v>1.31</v>
      </c>
      <c r="U1288" s="9">
        <v>1</v>
      </c>
      <c r="V1288" s="9" t="b">
        <v>1</v>
      </c>
      <c r="W1288" s="9" t="s">
        <v>4119</v>
      </c>
    </row>
    <row r="1289" spans="1:23" ht="29" customHeight="1" x14ac:dyDescent="0.2">
      <c r="A1289" s="9" t="s">
        <v>4120</v>
      </c>
      <c r="B1289" s="10" t="s">
        <v>4121</v>
      </c>
      <c r="C1289" s="9" t="s">
        <v>1741</v>
      </c>
      <c r="D1289" s="9" t="s">
        <v>1741</v>
      </c>
      <c r="E1289" s="9" t="s">
        <v>2918</v>
      </c>
      <c r="F1289" s="9" t="s">
        <v>2995</v>
      </c>
      <c r="G1289" s="12">
        <v>3249</v>
      </c>
      <c r="H1289" s="9">
        <v>6299</v>
      </c>
      <c r="I1289" s="9">
        <v>48</v>
      </c>
      <c r="J1289" s="9">
        <v>3.9</v>
      </c>
      <c r="K1289" s="9">
        <v>2569</v>
      </c>
      <c r="L1289" s="9">
        <v>4.0097195122294584</v>
      </c>
      <c r="M1289" s="9" t="s">
        <v>28</v>
      </c>
      <c r="N1289" s="9" t="s">
        <v>144</v>
      </c>
      <c r="O1289" s="9">
        <v>28.6</v>
      </c>
      <c r="P1289" s="9" t="s">
        <v>40</v>
      </c>
      <c r="Q1289" s="9" t="b">
        <v>0</v>
      </c>
      <c r="R1289" s="9" t="b">
        <v>0</v>
      </c>
      <c r="S1289" s="9" t="b">
        <v>0</v>
      </c>
      <c r="T1289" s="9">
        <v>0.51</v>
      </c>
      <c r="U1289" s="9">
        <v>1</v>
      </c>
      <c r="V1289" s="9" t="b">
        <v>1</v>
      </c>
      <c r="W1289" s="9" t="s">
        <v>4122</v>
      </c>
    </row>
    <row r="1290" spans="1:23" ht="29" customHeight="1" x14ac:dyDescent="0.2">
      <c r="A1290" s="9" t="s">
        <v>4123</v>
      </c>
      <c r="B1290" s="10" t="s">
        <v>4124</v>
      </c>
      <c r="C1290" s="9" t="s">
        <v>1741</v>
      </c>
      <c r="D1290" s="9" t="s">
        <v>1741</v>
      </c>
      <c r="E1290" s="9" t="s">
        <v>2913</v>
      </c>
      <c r="F1290" s="9" t="s">
        <v>3088</v>
      </c>
      <c r="G1290" s="12">
        <v>1199</v>
      </c>
      <c r="H1290" s="9">
        <v>1795</v>
      </c>
      <c r="I1290" s="9">
        <v>33</v>
      </c>
      <c r="J1290" s="9">
        <v>4.2</v>
      </c>
      <c r="K1290" s="9">
        <v>5967</v>
      </c>
      <c r="L1290" s="9">
        <v>4.1553871310633452</v>
      </c>
      <c r="M1290" s="9" t="s">
        <v>28</v>
      </c>
      <c r="N1290" s="9" t="s">
        <v>179</v>
      </c>
      <c r="O1290" s="9">
        <v>51.9</v>
      </c>
      <c r="P1290" s="9" t="s">
        <v>53</v>
      </c>
      <c r="Q1290" s="9" t="b">
        <v>0</v>
      </c>
      <c r="R1290" s="9" t="b">
        <v>0</v>
      </c>
      <c r="S1290" s="9" t="b">
        <v>0</v>
      </c>
      <c r="T1290" s="9">
        <v>0.81</v>
      </c>
      <c r="U1290" s="9">
        <v>1</v>
      </c>
      <c r="V1290" s="9" t="b">
        <v>1</v>
      </c>
      <c r="W1290" s="9" t="s">
        <v>4125</v>
      </c>
    </row>
    <row r="1291" spans="1:23" ht="29" customHeight="1" x14ac:dyDescent="0.2">
      <c r="A1291" s="9" t="s">
        <v>4126</v>
      </c>
      <c r="B1291" s="10" t="s">
        <v>4127</v>
      </c>
      <c r="C1291" s="9" t="s">
        <v>1741</v>
      </c>
      <c r="D1291" s="9" t="s">
        <v>1741</v>
      </c>
      <c r="E1291" s="9" t="s">
        <v>2913</v>
      </c>
      <c r="F1291" s="9" t="s">
        <v>2914</v>
      </c>
      <c r="G1291" s="12">
        <v>1456</v>
      </c>
      <c r="H1291" s="9">
        <v>3190</v>
      </c>
      <c r="I1291" s="9">
        <v>54</v>
      </c>
      <c r="J1291" s="9">
        <v>4.0999999999999996</v>
      </c>
      <c r="K1291" s="9">
        <v>1776</v>
      </c>
      <c r="L1291" s="9">
        <v>4.0895619918174262</v>
      </c>
      <c r="M1291" s="9" t="s">
        <v>28</v>
      </c>
      <c r="N1291" s="9" t="s">
        <v>179</v>
      </c>
      <c r="O1291" s="9">
        <v>47.8</v>
      </c>
      <c r="P1291" s="9" t="s">
        <v>30</v>
      </c>
      <c r="Q1291" s="9" t="b">
        <v>0</v>
      </c>
      <c r="R1291" s="9" t="b">
        <v>0</v>
      </c>
      <c r="S1291" s="9" t="b">
        <v>0</v>
      </c>
      <c r="T1291" s="9">
        <v>1.46</v>
      </c>
      <c r="U1291" s="9">
        <v>1</v>
      </c>
      <c r="V1291" s="9" t="b">
        <v>1</v>
      </c>
      <c r="W1291" s="9" t="s">
        <v>4128</v>
      </c>
    </row>
    <row r="1292" spans="1:23" ht="29" customHeight="1" x14ac:dyDescent="0.2">
      <c r="A1292" s="9" t="s">
        <v>4129</v>
      </c>
      <c r="B1292" s="10" t="s">
        <v>4130</v>
      </c>
      <c r="C1292" s="9" t="s">
        <v>1741</v>
      </c>
      <c r="D1292" s="9" t="s">
        <v>1741</v>
      </c>
      <c r="E1292" s="9" t="s">
        <v>2913</v>
      </c>
      <c r="F1292" s="9" t="s">
        <v>3049</v>
      </c>
      <c r="G1292" s="12">
        <v>3349</v>
      </c>
      <c r="H1292" s="9">
        <v>4799</v>
      </c>
      <c r="I1292" s="9">
        <v>30</v>
      </c>
      <c r="J1292" s="9">
        <v>3.7</v>
      </c>
      <c r="K1292" s="9">
        <v>4200</v>
      </c>
      <c r="L1292" s="9">
        <v>3.8817505923617981</v>
      </c>
      <c r="M1292" s="9" t="s">
        <v>28</v>
      </c>
      <c r="N1292" s="9" t="s">
        <v>144</v>
      </c>
      <c r="O1292" s="9">
        <v>13.9</v>
      </c>
      <c r="P1292" s="9" t="s">
        <v>40</v>
      </c>
      <c r="Q1292" s="9" t="b">
        <v>0</v>
      </c>
      <c r="R1292" s="9" t="b">
        <v>0</v>
      </c>
      <c r="S1292" s="9" t="b">
        <v>1</v>
      </c>
      <c r="T1292" s="9">
        <v>1.43</v>
      </c>
      <c r="U1292" s="9">
        <v>1</v>
      </c>
      <c r="V1292" s="9" t="b">
        <v>1</v>
      </c>
      <c r="W1292" s="9" t="s">
        <v>4131</v>
      </c>
    </row>
    <row r="1293" spans="1:23" ht="29" customHeight="1" x14ac:dyDescent="0.2">
      <c r="A1293" s="9" t="s">
        <v>4132</v>
      </c>
      <c r="B1293" s="10" t="s">
        <v>4133</v>
      </c>
      <c r="C1293" s="9" t="s">
        <v>1741</v>
      </c>
      <c r="D1293" s="9" t="s">
        <v>1741</v>
      </c>
      <c r="E1293" s="9" t="s">
        <v>2913</v>
      </c>
      <c r="F1293" s="9" t="s">
        <v>3190</v>
      </c>
      <c r="G1293" s="12">
        <v>4899</v>
      </c>
      <c r="H1293" s="9">
        <v>8999</v>
      </c>
      <c r="I1293" s="9">
        <v>46</v>
      </c>
      <c r="J1293" s="9">
        <v>4.0999999999999996</v>
      </c>
      <c r="K1293" s="9">
        <v>297</v>
      </c>
      <c r="L1293" s="9">
        <v>4.0857591062152521</v>
      </c>
      <c r="M1293" s="9" t="s">
        <v>89</v>
      </c>
      <c r="N1293" s="9" t="s">
        <v>144</v>
      </c>
      <c r="O1293" s="9">
        <v>36.1</v>
      </c>
      <c r="P1293" s="9" t="s">
        <v>40</v>
      </c>
      <c r="Q1293" s="9" t="b">
        <v>0</v>
      </c>
      <c r="R1293" s="9" t="b">
        <v>0</v>
      </c>
      <c r="S1293" s="9" t="b">
        <v>0</v>
      </c>
      <c r="U1293" s="9">
        <v>1</v>
      </c>
      <c r="V1293" s="9" t="b">
        <v>1</v>
      </c>
      <c r="W1293" s="9" t="s">
        <v>4134</v>
      </c>
    </row>
    <row r="1294" spans="1:23" ht="29" customHeight="1" x14ac:dyDescent="0.2">
      <c r="A1294" s="9" t="s">
        <v>4135</v>
      </c>
      <c r="B1294" s="10" t="s">
        <v>4136</v>
      </c>
      <c r="C1294" s="9" t="s">
        <v>1741</v>
      </c>
      <c r="D1294" s="9" t="s">
        <v>1741</v>
      </c>
      <c r="E1294" s="9" t="s">
        <v>2913</v>
      </c>
      <c r="F1294" s="9" t="s">
        <v>2991</v>
      </c>
      <c r="G1294" s="12">
        <v>1199</v>
      </c>
      <c r="H1294" s="9">
        <v>1899</v>
      </c>
      <c r="I1294" s="9">
        <v>37</v>
      </c>
      <c r="J1294" s="9">
        <v>4.2</v>
      </c>
      <c r="K1294" s="9">
        <v>3858</v>
      </c>
      <c r="L1294" s="9">
        <v>4.1430403637137747</v>
      </c>
      <c r="M1294" s="9" t="s">
        <v>28</v>
      </c>
      <c r="N1294" s="9" t="s">
        <v>179</v>
      </c>
      <c r="O1294" s="9">
        <v>52</v>
      </c>
      <c r="P1294" s="9" t="s">
        <v>53</v>
      </c>
      <c r="Q1294" s="9" t="b">
        <v>0</v>
      </c>
      <c r="R1294" s="9" t="b">
        <v>0</v>
      </c>
      <c r="S1294" s="9" t="b">
        <v>0</v>
      </c>
      <c r="T1294" s="9">
        <v>1.01</v>
      </c>
      <c r="U1294" s="9">
        <v>1</v>
      </c>
      <c r="V1294" s="9" t="b">
        <v>1</v>
      </c>
      <c r="W1294" s="9" t="s">
        <v>4137</v>
      </c>
    </row>
    <row r="1295" spans="1:23" ht="29" customHeight="1" x14ac:dyDescent="0.2">
      <c r="A1295" s="9" t="s">
        <v>4138</v>
      </c>
      <c r="B1295" s="10" t="s">
        <v>4139</v>
      </c>
      <c r="C1295" s="9" t="s">
        <v>1741</v>
      </c>
      <c r="D1295" s="9" t="s">
        <v>1741</v>
      </c>
      <c r="E1295" s="9" t="s">
        <v>2918</v>
      </c>
      <c r="F1295" s="9" t="s">
        <v>3730</v>
      </c>
      <c r="G1295" s="12">
        <v>3290</v>
      </c>
      <c r="H1295" s="9">
        <v>5799</v>
      </c>
      <c r="I1295" s="9">
        <v>43</v>
      </c>
      <c r="J1295" s="9">
        <v>4.3</v>
      </c>
      <c r="K1295" s="9">
        <v>168</v>
      </c>
      <c r="L1295" s="9">
        <v>4.0938402472155744</v>
      </c>
      <c r="M1295" s="9" t="s">
        <v>89</v>
      </c>
      <c r="N1295" s="9" t="s">
        <v>144</v>
      </c>
      <c r="O1295" s="9">
        <v>42.5</v>
      </c>
      <c r="P1295" s="9" t="s">
        <v>30</v>
      </c>
      <c r="Q1295" s="9" t="b">
        <v>0</v>
      </c>
      <c r="R1295" s="9" t="b">
        <v>0</v>
      </c>
      <c r="S1295" s="9" t="b">
        <v>0</v>
      </c>
      <c r="U1295" s="9">
        <v>1</v>
      </c>
      <c r="V1295" s="9" t="b">
        <v>1</v>
      </c>
      <c r="W1295" s="9" t="s">
        <v>4140</v>
      </c>
    </row>
    <row r="1296" spans="1:23" ht="29" customHeight="1" x14ac:dyDescent="0.2">
      <c r="A1296" s="9" t="s">
        <v>4141</v>
      </c>
      <c r="B1296" s="10" t="s">
        <v>4142</v>
      </c>
      <c r="C1296" s="9" t="s">
        <v>1741</v>
      </c>
      <c r="D1296" s="9" t="s">
        <v>1741</v>
      </c>
      <c r="E1296" s="9" t="s">
        <v>2913</v>
      </c>
      <c r="F1296" s="9" t="s">
        <v>2927</v>
      </c>
      <c r="G1296" s="12">
        <v>179</v>
      </c>
      <c r="H1296" s="9">
        <v>799</v>
      </c>
      <c r="I1296" s="9">
        <v>78</v>
      </c>
      <c r="J1296" s="9">
        <v>3.6</v>
      </c>
      <c r="K1296" s="9">
        <v>101</v>
      </c>
      <c r="L1296" s="9">
        <v>4.071965598985587</v>
      </c>
      <c r="M1296" s="9" t="s">
        <v>89</v>
      </c>
      <c r="N1296" s="9" t="s">
        <v>29</v>
      </c>
      <c r="O1296" s="9">
        <v>63.1</v>
      </c>
      <c r="P1296" s="9" t="s">
        <v>36</v>
      </c>
      <c r="Q1296" s="9" t="b">
        <v>0</v>
      </c>
      <c r="R1296" s="9" t="b">
        <v>0</v>
      </c>
      <c r="S1296" s="9" t="b">
        <v>1</v>
      </c>
      <c r="T1296" s="9">
        <v>0.4</v>
      </c>
      <c r="U1296" s="9">
        <v>1</v>
      </c>
      <c r="V1296" s="9" t="b">
        <v>1</v>
      </c>
      <c r="W1296" s="9" t="s">
        <v>4143</v>
      </c>
    </row>
    <row r="1297" spans="1:23" ht="29" customHeight="1" x14ac:dyDescent="0.2">
      <c r="A1297" s="9" t="s">
        <v>4144</v>
      </c>
      <c r="B1297" s="10" t="s">
        <v>4145</v>
      </c>
      <c r="C1297" s="9" t="s">
        <v>1741</v>
      </c>
      <c r="D1297" s="9" t="s">
        <v>1741</v>
      </c>
      <c r="E1297" s="9" t="s">
        <v>2913</v>
      </c>
      <c r="F1297" s="9" t="s">
        <v>4042</v>
      </c>
      <c r="G1297" s="12">
        <v>149</v>
      </c>
      <c r="H1297" s="9">
        <v>300</v>
      </c>
      <c r="I1297" s="9">
        <v>50</v>
      </c>
      <c r="J1297" s="9">
        <v>4.0999999999999996</v>
      </c>
      <c r="K1297" s="9">
        <v>4074</v>
      </c>
      <c r="L1297" s="9">
        <v>4.0926228662899016</v>
      </c>
      <c r="M1297" s="9" t="s">
        <v>28</v>
      </c>
      <c r="N1297" s="9" t="s">
        <v>29</v>
      </c>
      <c r="O1297" s="9">
        <v>58.7</v>
      </c>
      <c r="P1297" s="9" t="s">
        <v>53</v>
      </c>
      <c r="Q1297" s="9" t="b">
        <v>0</v>
      </c>
      <c r="R1297" s="9" t="b">
        <v>0</v>
      </c>
      <c r="S1297" s="9" t="b">
        <v>0</v>
      </c>
      <c r="U1297" s="9">
        <v>1</v>
      </c>
      <c r="V1297" s="9" t="b">
        <v>1</v>
      </c>
      <c r="W1297" s="9" t="s">
        <v>4146</v>
      </c>
    </row>
    <row r="1298" spans="1:23" ht="29" customHeight="1" x14ac:dyDescent="0.2">
      <c r="A1298" s="9" t="s">
        <v>4147</v>
      </c>
      <c r="B1298" s="10" t="s">
        <v>4148</v>
      </c>
      <c r="C1298" s="9" t="s">
        <v>1741</v>
      </c>
      <c r="D1298" s="9" t="s">
        <v>1741</v>
      </c>
      <c r="E1298" s="9" t="s">
        <v>2913</v>
      </c>
      <c r="F1298" s="9" t="s">
        <v>2973</v>
      </c>
      <c r="G1298" s="12">
        <v>5490</v>
      </c>
      <c r="H1298" s="9">
        <v>7200</v>
      </c>
      <c r="I1298" s="9">
        <v>24</v>
      </c>
      <c r="J1298" s="9">
        <v>4.5</v>
      </c>
      <c r="K1298" s="9">
        <v>1408</v>
      </c>
      <c r="L1298" s="9">
        <v>4.1977447232725682</v>
      </c>
      <c r="M1298" s="9" t="s">
        <v>28</v>
      </c>
      <c r="N1298" s="9" t="s">
        <v>144</v>
      </c>
      <c r="O1298" s="9">
        <v>47.5</v>
      </c>
      <c r="P1298" s="9" t="s">
        <v>30</v>
      </c>
      <c r="Q1298" s="9" t="b">
        <v>0</v>
      </c>
      <c r="R1298" s="9" t="b">
        <v>0</v>
      </c>
      <c r="S1298" s="9" t="b">
        <v>0</v>
      </c>
      <c r="T1298" s="9">
        <v>1.89</v>
      </c>
      <c r="U1298" s="9">
        <v>1</v>
      </c>
      <c r="V1298" s="9" t="b">
        <v>1</v>
      </c>
      <c r="W1298" s="9" t="s">
        <v>4149</v>
      </c>
    </row>
    <row r="1299" spans="1:23" ht="29" customHeight="1" x14ac:dyDescent="0.2">
      <c r="A1299" s="9" t="s">
        <v>4150</v>
      </c>
      <c r="B1299" s="10" t="s">
        <v>4151</v>
      </c>
      <c r="C1299" s="9" t="s">
        <v>1741</v>
      </c>
      <c r="D1299" s="9" t="s">
        <v>1741</v>
      </c>
      <c r="E1299" s="9" t="s">
        <v>2913</v>
      </c>
      <c r="F1299" s="9" t="s">
        <v>2931</v>
      </c>
      <c r="G1299" s="12">
        <v>379</v>
      </c>
      <c r="H1299" s="9">
        <v>389</v>
      </c>
      <c r="I1299" s="9">
        <v>3</v>
      </c>
      <c r="J1299" s="9">
        <v>4.2</v>
      </c>
      <c r="K1299" s="9">
        <v>3739</v>
      </c>
      <c r="L1299" s="9">
        <v>4.1421367848671364</v>
      </c>
      <c r="M1299" s="9" t="s">
        <v>28</v>
      </c>
      <c r="N1299" s="9" t="s">
        <v>29</v>
      </c>
      <c r="O1299" s="9">
        <v>50.8</v>
      </c>
      <c r="P1299" s="9" t="s">
        <v>53</v>
      </c>
      <c r="Q1299" s="9" t="b">
        <v>0</v>
      </c>
      <c r="R1299" s="9" t="b">
        <v>0</v>
      </c>
      <c r="S1299" s="9" t="b">
        <v>0</v>
      </c>
      <c r="T1299" s="9">
        <v>0.78</v>
      </c>
      <c r="U1299" s="9">
        <v>1</v>
      </c>
      <c r="V1299" s="9" t="b">
        <v>1</v>
      </c>
      <c r="W1299" s="9" t="s">
        <v>4152</v>
      </c>
    </row>
    <row r="1300" spans="1:23" ht="29" customHeight="1" x14ac:dyDescent="0.2">
      <c r="A1300" s="9" t="s">
        <v>4153</v>
      </c>
      <c r="B1300" s="10" t="s">
        <v>4154</v>
      </c>
      <c r="C1300" s="9" t="s">
        <v>1741</v>
      </c>
      <c r="D1300" s="9" t="s">
        <v>1741</v>
      </c>
      <c r="E1300" s="9" t="s">
        <v>2913</v>
      </c>
      <c r="F1300" s="9" t="s">
        <v>3415</v>
      </c>
      <c r="G1300" s="12">
        <v>8699</v>
      </c>
      <c r="H1300" s="9">
        <v>13049</v>
      </c>
      <c r="I1300" s="9">
        <v>33</v>
      </c>
      <c r="J1300" s="9">
        <v>4.3</v>
      </c>
      <c r="K1300" s="9">
        <v>5891</v>
      </c>
      <c r="L1300" s="9">
        <v>4.2160604021008776</v>
      </c>
      <c r="M1300" s="9" t="s">
        <v>28</v>
      </c>
      <c r="N1300" s="9" t="s">
        <v>144</v>
      </c>
      <c r="O1300" s="9">
        <v>50.7</v>
      </c>
      <c r="P1300" s="9" t="s">
        <v>53</v>
      </c>
      <c r="Q1300" s="9" t="b">
        <v>0</v>
      </c>
      <c r="R1300" s="9" t="b">
        <v>0</v>
      </c>
      <c r="S1300" s="9" t="b">
        <v>0</v>
      </c>
      <c r="T1300" s="9">
        <v>1.28</v>
      </c>
      <c r="U1300" s="9">
        <v>1</v>
      </c>
      <c r="V1300" s="9" t="b">
        <v>1</v>
      </c>
      <c r="W1300" s="9" t="s">
        <v>4155</v>
      </c>
    </row>
    <row r="1301" spans="1:23" ht="29" customHeight="1" x14ac:dyDescent="0.2">
      <c r="A1301" s="9" t="s">
        <v>4156</v>
      </c>
      <c r="B1301" s="10" t="s">
        <v>4157</v>
      </c>
      <c r="C1301" s="9" t="s">
        <v>1741</v>
      </c>
      <c r="D1301" s="9" t="s">
        <v>1741</v>
      </c>
      <c r="E1301" s="9" t="s">
        <v>2913</v>
      </c>
      <c r="F1301" s="9" t="s">
        <v>2973</v>
      </c>
      <c r="G1301" s="12">
        <v>3041.67</v>
      </c>
      <c r="H1301" s="9">
        <v>5999</v>
      </c>
      <c r="I1301" s="9">
        <v>49</v>
      </c>
      <c r="J1301" s="9">
        <v>4</v>
      </c>
      <c r="K1301" s="9">
        <v>777</v>
      </c>
      <c r="L1301" s="9">
        <v>4.0701484946978326</v>
      </c>
      <c r="M1301" s="9" t="s">
        <v>89</v>
      </c>
      <c r="N1301" s="9" t="s">
        <v>144</v>
      </c>
      <c r="O1301" s="9">
        <v>35.1</v>
      </c>
      <c r="P1301" s="9" t="s">
        <v>40</v>
      </c>
      <c r="Q1301" s="9" t="b">
        <v>0</v>
      </c>
      <c r="R1301" s="9" t="b">
        <v>0</v>
      </c>
      <c r="S1301" s="9" t="b">
        <v>0</v>
      </c>
      <c r="T1301" s="9">
        <v>1.05</v>
      </c>
      <c r="U1301" s="9">
        <v>1</v>
      </c>
      <c r="V1301" s="9" t="b">
        <v>1</v>
      </c>
      <c r="W1301" s="9" t="s">
        <v>4158</v>
      </c>
    </row>
    <row r="1302" spans="1:23" ht="29" customHeight="1" x14ac:dyDescent="0.2">
      <c r="A1302" s="9" t="s">
        <v>4159</v>
      </c>
      <c r="B1302" s="10" t="s">
        <v>4160</v>
      </c>
      <c r="C1302" s="9" t="s">
        <v>1741</v>
      </c>
      <c r="D1302" s="9" t="s">
        <v>1741</v>
      </c>
      <c r="E1302" s="9" t="s">
        <v>2913</v>
      </c>
      <c r="F1302" s="9" t="s">
        <v>2965</v>
      </c>
      <c r="G1302" s="12">
        <v>1745</v>
      </c>
      <c r="H1302" s="9">
        <v>2400</v>
      </c>
      <c r="I1302" s="9">
        <v>27</v>
      </c>
      <c r="J1302" s="9">
        <v>4.2</v>
      </c>
      <c r="K1302" s="9">
        <v>14160</v>
      </c>
      <c r="L1302" s="9">
        <v>4.1757812298329373</v>
      </c>
      <c r="M1302" s="9" t="s">
        <v>28</v>
      </c>
      <c r="N1302" s="9" t="s">
        <v>179</v>
      </c>
      <c r="O1302" s="9">
        <v>48.7</v>
      </c>
      <c r="P1302" s="9" t="s">
        <v>30</v>
      </c>
      <c r="Q1302" s="9" t="b">
        <v>0</v>
      </c>
      <c r="R1302" s="9" t="b">
        <v>0</v>
      </c>
      <c r="S1302" s="9" t="b">
        <v>0</v>
      </c>
      <c r="T1302" s="9">
        <v>2.5</v>
      </c>
      <c r="U1302" s="9">
        <v>1</v>
      </c>
      <c r="V1302" s="9" t="b">
        <v>1</v>
      </c>
      <c r="W1302" s="9" t="s">
        <v>4161</v>
      </c>
    </row>
    <row r="1303" spans="1:23" ht="29" customHeight="1" x14ac:dyDescent="0.2">
      <c r="A1303" s="9" t="s">
        <v>4162</v>
      </c>
      <c r="B1303" s="10" t="s">
        <v>4163</v>
      </c>
      <c r="C1303" s="9" t="s">
        <v>1741</v>
      </c>
      <c r="D1303" s="9" t="s">
        <v>1741</v>
      </c>
      <c r="E1303" s="9" t="s">
        <v>2913</v>
      </c>
      <c r="F1303" s="9" t="s">
        <v>2952</v>
      </c>
      <c r="G1303" s="12">
        <v>3180</v>
      </c>
      <c r="H1303" s="9">
        <v>5295</v>
      </c>
      <c r="I1303" s="9">
        <v>40</v>
      </c>
      <c r="J1303" s="9">
        <v>4.2</v>
      </c>
      <c r="K1303" s="9">
        <v>6919</v>
      </c>
      <c r="L1303" s="9">
        <v>4.1593633002556576</v>
      </c>
      <c r="M1303" s="9" t="s">
        <v>28</v>
      </c>
      <c r="N1303" s="9" t="s">
        <v>144</v>
      </c>
      <c r="O1303" s="9">
        <v>49.5</v>
      </c>
      <c r="P1303" s="9" t="s">
        <v>30</v>
      </c>
      <c r="Q1303" s="9" t="b">
        <v>0</v>
      </c>
      <c r="R1303" s="9" t="b">
        <v>0</v>
      </c>
      <c r="S1303" s="9" t="b">
        <v>0</v>
      </c>
      <c r="T1303" s="9">
        <v>1.56</v>
      </c>
      <c r="U1303" s="9">
        <v>1</v>
      </c>
      <c r="V1303" s="9" t="b">
        <v>1</v>
      </c>
      <c r="W1303" s="9" t="s">
        <v>4164</v>
      </c>
    </row>
    <row r="1304" spans="1:23" ht="29" customHeight="1" x14ac:dyDescent="0.2">
      <c r="A1304" s="9" t="s">
        <v>4165</v>
      </c>
      <c r="B1304" s="10" t="s">
        <v>4166</v>
      </c>
      <c r="C1304" s="9" t="s">
        <v>1741</v>
      </c>
      <c r="D1304" s="9" t="s">
        <v>1741</v>
      </c>
      <c r="E1304" s="9" t="s">
        <v>2913</v>
      </c>
      <c r="F1304" s="9" t="s">
        <v>3415</v>
      </c>
      <c r="G1304" s="12">
        <v>4999</v>
      </c>
      <c r="H1304" s="9">
        <v>24999</v>
      </c>
      <c r="I1304" s="9">
        <v>80</v>
      </c>
      <c r="J1304" s="9">
        <v>4.5</v>
      </c>
      <c r="K1304" s="9">
        <v>287</v>
      </c>
      <c r="L1304" s="9">
        <v>4.1140731180839154</v>
      </c>
      <c r="M1304" s="9" t="s">
        <v>89</v>
      </c>
      <c r="N1304" s="9" t="s">
        <v>144</v>
      </c>
      <c r="O1304" s="9">
        <v>61.6</v>
      </c>
      <c r="P1304" s="9" t="s">
        <v>36</v>
      </c>
      <c r="Q1304" s="9" t="b">
        <v>0</v>
      </c>
      <c r="R1304" s="9" t="b">
        <v>0</v>
      </c>
      <c r="S1304" s="9" t="b">
        <v>0</v>
      </c>
      <c r="T1304" s="9">
        <v>0.74</v>
      </c>
      <c r="U1304" s="9">
        <v>1</v>
      </c>
      <c r="V1304" s="9" t="b">
        <v>1</v>
      </c>
      <c r="W1304" s="9" t="s">
        <v>4167</v>
      </c>
    </row>
    <row r="1305" spans="1:23" ht="29" customHeight="1" x14ac:dyDescent="0.2">
      <c r="A1305" s="9" t="s">
        <v>4168</v>
      </c>
      <c r="B1305" s="10" t="s">
        <v>4169</v>
      </c>
      <c r="C1305" s="9" t="s">
        <v>1741</v>
      </c>
      <c r="D1305" s="9" t="s">
        <v>1741</v>
      </c>
      <c r="E1305" s="9" t="s">
        <v>3031</v>
      </c>
      <c r="F1305" s="9" t="s">
        <v>3032</v>
      </c>
      <c r="G1305" s="12">
        <v>390</v>
      </c>
      <c r="H1305" s="9">
        <v>799</v>
      </c>
      <c r="I1305" s="9">
        <v>51</v>
      </c>
      <c r="J1305" s="9">
        <v>3.8</v>
      </c>
      <c r="K1305" s="9">
        <v>287</v>
      </c>
      <c r="L1305" s="9">
        <v>4.0644620549897059</v>
      </c>
      <c r="M1305" s="9" t="s">
        <v>89</v>
      </c>
      <c r="N1305" s="9" t="s">
        <v>29</v>
      </c>
      <c r="O1305" s="9">
        <v>39.9</v>
      </c>
      <c r="P1305" s="9" t="s">
        <v>30</v>
      </c>
      <c r="Q1305" s="9" t="b">
        <v>0</v>
      </c>
      <c r="R1305" s="9" t="b">
        <v>0</v>
      </c>
      <c r="S1305" s="9" t="b">
        <v>1</v>
      </c>
      <c r="T1305" s="9">
        <v>1.1100000000000001</v>
      </c>
      <c r="U1305" s="9">
        <v>1</v>
      </c>
      <c r="V1305" s="9" t="b">
        <v>1</v>
      </c>
      <c r="W1305" s="9" t="s">
        <v>4170</v>
      </c>
    </row>
    <row r="1306" spans="1:23" ht="29" customHeight="1" x14ac:dyDescent="0.2">
      <c r="A1306" s="9" t="s">
        <v>4171</v>
      </c>
      <c r="B1306" s="10" t="s">
        <v>4172</v>
      </c>
      <c r="C1306" s="9" t="s">
        <v>1741</v>
      </c>
      <c r="D1306" s="9" t="s">
        <v>1741</v>
      </c>
      <c r="E1306" s="9" t="s">
        <v>2913</v>
      </c>
      <c r="F1306" s="9" t="s">
        <v>4173</v>
      </c>
      <c r="G1306" s="12">
        <v>1999</v>
      </c>
      <c r="H1306" s="9">
        <v>2999</v>
      </c>
      <c r="I1306" s="9">
        <v>33</v>
      </c>
      <c r="J1306" s="9">
        <v>4.4000000000000004</v>
      </c>
      <c r="K1306" s="9">
        <v>388</v>
      </c>
      <c r="L1306" s="9">
        <v>4.1141161526757779</v>
      </c>
      <c r="M1306" s="9" t="s">
        <v>89</v>
      </c>
      <c r="N1306" s="9" t="s">
        <v>179</v>
      </c>
      <c r="O1306" s="9">
        <v>44.5</v>
      </c>
      <c r="P1306" s="9" t="s">
        <v>30</v>
      </c>
      <c r="Q1306" s="9" t="b">
        <v>0</v>
      </c>
      <c r="R1306" s="9" t="b">
        <v>0</v>
      </c>
      <c r="S1306" s="9" t="b">
        <v>0</v>
      </c>
      <c r="U1306" s="9">
        <v>1</v>
      </c>
      <c r="V1306" s="9" t="b">
        <v>1</v>
      </c>
      <c r="W1306" s="9" t="s">
        <v>4174</v>
      </c>
    </row>
    <row r="1307" spans="1:23" ht="29" customHeight="1" x14ac:dyDescent="0.2">
      <c r="A1307" s="9" t="s">
        <v>4175</v>
      </c>
      <c r="B1307" s="10" t="s">
        <v>4176</v>
      </c>
      <c r="C1307" s="9" t="s">
        <v>1741</v>
      </c>
      <c r="D1307" s="9" t="s">
        <v>1741</v>
      </c>
      <c r="E1307" s="9" t="s">
        <v>2913</v>
      </c>
      <c r="F1307" s="9" t="s">
        <v>3078</v>
      </c>
      <c r="G1307" s="12">
        <v>1624</v>
      </c>
      <c r="H1307" s="9">
        <v>2495</v>
      </c>
      <c r="I1307" s="9">
        <v>35</v>
      </c>
      <c r="J1307" s="9">
        <v>4.0999999999999996</v>
      </c>
      <c r="K1307" s="9">
        <v>827</v>
      </c>
      <c r="L1307" s="9">
        <v>4.0874036587168128</v>
      </c>
      <c r="M1307" s="9" t="s">
        <v>89</v>
      </c>
      <c r="N1307" s="9" t="s">
        <v>179</v>
      </c>
      <c r="O1307" s="9">
        <v>36.700000000000003</v>
      </c>
      <c r="P1307" s="9" t="s">
        <v>40</v>
      </c>
      <c r="Q1307" s="9" t="b">
        <v>0</v>
      </c>
      <c r="R1307" s="9" t="b">
        <v>1</v>
      </c>
      <c r="S1307" s="9" t="b">
        <v>0</v>
      </c>
      <c r="T1307" s="9">
        <v>2.3199999999999998</v>
      </c>
      <c r="U1307" s="9">
        <v>1</v>
      </c>
      <c r="V1307" s="9" t="b">
        <v>1</v>
      </c>
      <c r="W1307" s="9" t="s">
        <v>4177</v>
      </c>
    </row>
    <row r="1308" spans="1:23" ht="29" customHeight="1" x14ac:dyDescent="0.2">
      <c r="A1308" s="9" t="s">
        <v>4178</v>
      </c>
      <c r="B1308" s="10" t="s">
        <v>4179</v>
      </c>
      <c r="C1308" s="9" t="s">
        <v>1741</v>
      </c>
      <c r="D1308" s="9" t="s">
        <v>1741</v>
      </c>
      <c r="E1308" s="9" t="s">
        <v>2913</v>
      </c>
      <c r="F1308" s="9" t="s">
        <v>4042</v>
      </c>
      <c r="G1308" s="12">
        <v>184</v>
      </c>
      <c r="H1308" s="9">
        <v>450</v>
      </c>
      <c r="I1308" s="9">
        <v>59</v>
      </c>
      <c r="J1308" s="9">
        <v>4.2</v>
      </c>
      <c r="K1308" s="9">
        <v>4971</v>
      </c>
      <c r="L1308" s="9">
        <v>4.1502993177627321</v>
      </c>
      <c r="M1308" s="9" t="s">
        <v>28</v>
      </c>
      <c r="N1308" s="9" t="s">
        <v>29</v>
      </c>
      <c r="O1308" s="9">
        <v>73</v>
      </c>
      <c r="P1308" s="9" t="s">
        <v>36</v>
      </c>
      <c r="Q1308" s="9" t="b">
        <v>0</v>
      </c>
      <c r="R1308" s="9" t="b">
        <v>0</v>
      </c>
      <c r="S1308" s="9" t="b">
        <v>0</v>
      </c>
      <c r="U1308" s="9">
        <v>1</v>
      </c>
      <c r="V1308" s="9" t="b">
        <v>1</v>
      </c>
      <c r="W1308" s="9" t="s">
        <v>4180</v>
      </c>
    </row>
    <row r="1309" spans="1:23" ht="29" customHeight="1" x14ac:dyDescent="0.2">
      <c r="A1309" s="9" t="s">
        <v>4181</v>
      </c>
      <c r="B1309" s="10" t="s">
        <v>4182</v>
      </c>
      <c r="C1309" s="9" t="s">
        <v>1741</v>
      </c>
      <c r="D1309" s="9" t="s">
        <v>1741</v>
      </c>
      <c r="E1309" s="9" t="s">
        <v>2913</v>
      </c>
      <c r="F1309" s="9" t="s">
        <v>2927</v>
      </c>
      <c r="G1309" s="12">
        <v>445</v>
      </c>
      <c r="H1309" s="9">
        <v>999</v>
      </c>
      <c r="I1309" s="9">
        <v>55</v>
      </c>
      <c r="J1309" s="9">
        <v>4.3</v>
      </c>
      <c r="K1309" s="9">
        <v>229</v>
      </c>
      <c r="L1309" s="9">
        <v>4.0969908785370954</v>
      </c>
      <c r="M1309" s="9" t="s">
        <v>89</v>
      </c>
      <c r="N1309" s="9" t="s">
        <v>29</v>
      </c>
      <c r="O1309" s="9">
        <v>61.2</v>
      </c>
      <c r="P1309" s="9" t="s">
        <v>36</v>
      </c>
      <c r="Q1309" s="9" t="b">
        <v>0</v>
      </c>
      <c r="R1309" s="9" t="b">
        <v>0</v>
      </c>
      <c r="S1309" s="9" t="b">
        <v>0</v>
      </c>
      <c r="T1309" s="9">
        <v>0.99</v>
      </c>
      <c r="U1309" s="9">
        <v>1</v>
      </c>
      <c r="V1309" s="9" t="b">
        <v>1</v>
      </c>
      <c r="W1309" s="9" t="s">
        <v>4183</v>
      </c>
    </row>
    <row r="1310" spans="1:23" ht="29" customHeight="1" x14ac:dyDescent="0.2">
      <c r="A1310" s="9" t="s">
        <v>4184</v>
      </c>
      <c r="B1310" s="10" t="s">
        <v>4185</v>
      </c>
      <c r="C1310" s="9" t="s">
        <v>1741</v>
      </c>
      <c r="D1310" s="9" t="s">
        <v>1741</v>
      </c>
      <c r="E1310" s="9" t="s">
        <v>2918</v>
      </c>
      <c r="F1310" s="9" t="s">
        <v>4186</v>
      </c>
      <c r="G1310" s="12">
        <v>699</v>
      </c>
      <c r="H1310" s="9">
        <v>1690</v>
      </c>
      <c r="I1310" s="9">
        <v>59</v>
      </c>
      <c r="J1310" s="9">
        <v>4.0999999999999996</v>
      </c>
      <c r="K1310" s="9">
        <v>3524</v>
      </c>
      <c r="L1310" s="9">
        <v>4.0920660250711336</v>
      </c>
      <c r="M1310" s="9" t="s">
        <v>28</v>
      </c>
      <c r="N1310" s="9" t="s">
        <v>93</v>
      </c>
      <c r="O1310" s="9">
        <v>60.4</v>
      </c>
      <c r="P1310" s="9" t="s">
        <v>53</v>
      </c>
      <c r="Q1310" s="9" t="b">
        <v>0</v>
      </c>
      <c r="R1310" s="9" t="b">
        <v>0</v>
      </c>
      <c r="S1310" s="9" t="b">
        <v>0</v>
      </c>
      <c r="U1310" s="9">
        <v>1</v>
      </c>
      <c r="V1310" s="9" t="b">
        <v>1</v>
      </c>
      <c r="W1310" s="9" t="s">
        <v>4187</v>
      </c>
    </row>
    <row r="1311" spans="1:23" ht="29" customHeight="1" x14ac:dyDescent="0.2">
      <c r="A1311" s="9" t="s">
        <v>4188</v>
      </c>
      <c r="B1311" s="10" t="s">
        <v>4189</v>
      </c>
      <c r="C1311" s="9" t="s">
        <v>1741</v>
      </c>
      <c r="D1311" s="9" t="s">
        <v>1741</v>
      </c>
      <c r="E1311" s="9" t="s">
        <v>2913</v>
      </c>
      <c r="F1311" s="9" t="s">
        <v>2952</v>
      </c>
      <c r="G1311" s="12">
        <v>1601</v>
      </c>
      <c r="H1311" s="9">
        <v>3890</v>
      </c>
      <c r="I1311" s="9">
        <v>59</v>
      </c>
      <c r="J1311" s="9">
        <v>4.2</v>
      </c>
      <c r="K1311" s="9">
        <v>156</v>
      </c>
      <c r="L1311" s="9">
        <v>4.0892277891235969</v>
      </c>
      <c r="M1311" s="9" t="s">
        <v>89</v>
      </c>
      <c r="N1311" s="9" t="s">
        <v>179</v>
      </c>
      <c r="O1311" s="9">
        <v>49.2</v>
      </c>
      <c r="P1311" s="9" t="s">
        <v>30</v>
      </c>
      <c r="Q1311" s="9" t="b">
        <v>0</v>
      </c>
      <c r="R1311" s="9" t="b">
        <v>0</v>
      </c>
      <c r="S1311" s="9" t="b">
        <v>0</v>
      </c>
      <c r="T1311" s="9">
        <v>0.78</v>
      </c>
      <c r="U1311" s="9">
        <v>1</v>
      </c>
      <c r="V1311" s="9" t="b">
        <v>1</v>
      </c>
      <c r="W1311" s="9" t="s">
        <v>4190</v>
      </c>
    </row>
    <row r="1312" spans="1:23" ht="29" customHeight="1" x14ac:dyDescent="0.2">
      <c r="A1312" s="9" t="s">
        <v>4191</v>
      </c>
      <c r="B1312" s="10" t="s">
        <v>4192</v>
      </c>
      <c r="C1312" s="9" t="s">
        <v>1741</v>
      </c>
      <c r="D1312" s="9" t="s">
        <v>1741</v>
      </c>
      <c r="E1312" s="9" t="s">
        <v>2913</v>
      </c>
      <c r="F1312" s="9" t="s">
        <v>3269</v>
      </c>
      <c r="G1312" s="12">
        <v>231</v>
      </c>
      <c r="H1312" s="9">
        <v>260</v>
      </c>
      <c r="I1312" s="9">
        <v>11</v>
      </c>
      <c r="J1312" s="9">
        <v>4.0999999999999996</v>
      </c>
      <c r="K1312" s="9">
        <v>490</v>
      </c>
      <c r="L1312" s="9">
        <v>4.0864054301424604</v>
      </c>
      <c r="M1312" s="9" t="s">
        <v>89</v>
      </c>
      <c r="N1312" s="9" t="s">
        <v>29</v>
      </c>
      <c r="O1312" s="9">
        <v>40.4</v>
      </c>
      <c r="P1312" s="9" t="s">
        <v>30</v>
      </c>
      <c r="Q1312" s="9" t="b">
        <v>0</v>
      </c>
      <c r="R1312" s="9" t="b">
        <v>0</v>
      </c>
      <c r="S1312" s="9" t="b">
        <v>0</v>
      </c>
      <c r="T1312" s="9">
        <v>1</v>
      </c>
      <c r="U1312" s="9">
        <v>1</v>
      </c>
      <c r="V1312" s="9" t="b">
        <v>1</v>
      </c>
      <c r="W1312" s="9" t="s">
        <v>4193</v>
      </c>
    </row>
    <row r="1313" spans="1:23" ht="29" customHeight="1" x14ac:dyDescent="0.2">
      <c r="A1313" s="9" t="s">
        <v>4194</v>
      </c>
      <c r="B1313" s="10" t="s">
        <v>4195</v>
      </c>
      <c r="C1313" s="9" t="s">
        <v>1741</v>
      </c>
      <c r="D1313" s="9" t="s">
        <v>1741</v>
      </c>
      <c r="E1313" s="9" t="s">
        <v>2913</v>
      </c>
      <c r="F1313" s="9" t="s">
        <v>2927</v>
      </c>
      <c r="G1313" s="12">
        <v>369</v>
      </c>
      <c r="H1313" s="9">
        <v>599</v>
      </c>
      <c r="I1313" s="9">
        <v>38</v>
      </c>
      <c r="J1313" s="9">
        <v>3.9</v>
      </c>
      <c r="K1313" s="9">
        <v>82</v>
      </c>
      <c r="L1313" s="9">
        <v>4.0806968634883116</v>
      </c>
      <c r="M1313" s="9" t="s">
        <v>204</v>
      </c>
      <c r="N1313" s="9" t="s">
        <v>29</v>
      </c>
      <c r="O1313" s="9">
        <v>44.8</v>
      </c>
      <c r="P1313" s="9" t="s">
        <v>30</v>
      </c>
      <c r="Q1313" s="9" t="b">
        <v>0</v>
      </c>
      <c r="R1313" s="9" t="b">
        <v>0</v>
      </c>
      <c r="S1313" s="9" t="b">
        <v>0</v>
      </c>
      <c r="T1313" s="9">
        <v>0.82</v>
      </c>
      <c r="U1313" s="9">
        <v>1</v>
      </c>
      <c r="V1313" s="9" t="b">
        <v>1</v>
      </c>
      <c r="W1313" s="9" t="s">
        <v>4196</v>
      </c>
    </row>
    <row r="1314" spans="1:23" ht="29" customHeight="1" x14ac:dyDescent="0.2">
      <c r="A1314" s="9" t="s">
        <v>4197</v>
      </c>
      <c r="B1314" s="10" t="s">
        <v>4198</v>
      </c>
      <c r="C1314" s="9" t="s">
        <v>1741</v>
      </c>
      <c r="D1314" s="9" t="s">
        <v>1741</v>
      </c>
      <c r="E1314" s="9" t="s">
        <v>2913</v>
      </c>
      <c r="F1314" s="9" t="s">
        <v>2914</v>
      </c>
      <c r="G1314" s="12">
        <v>809</v>
      </c>
      <c r="H1314" s="9">
        <v>1950</v>
      </c>
      <c r="I1314" s="9">
        <v>59</v>
      </c>
      <c r="J1314" s="9">
        <v>3.9</v>
      </c>
      <c r="K1314" s="9">
        <v>710</v>
      </c>
      <c r="L1314" s="9">
        <v>4.0553245593473033</v>
      </c>
      <c r="M1314" s="9" t="s">
        <v>89</v>
      </c>
      <c r="N1314" s="9" t="s">
        <v>93</v>
      </c>
      <c r="O1314" s="9">
        <v>47.1</v>
      </c>
      <c r="P1314" s="9" t="s">
        <v>30</v>
      </c>
      <c r="Q1314" s="9" t="b">
        <v>0</v>
      </c>
      <c r="R1314" s="9" t="b">
        <v>0</v>
      </c>
      <c r="S1314" s="9" t="b">
        <v>0</v>
      </c>
      <c r="T1314" s="9">
        <v>0.81</v>
      </c>
      <c r="U1314" s="9">
        <v>1</v>
      </c>
      <c r="V1314" s="9" t="b">
        <v>1</v>
      </c>
      <c r="W1314" s="9" t="s">
        <v>4199</v>
      </c>
    </row>
    <row r="1315" spans="1:23" ht="29" customHeight="1" x14ac:dyDescent="0.2">
      <c r="A1315" s="9" t="s">
        <v>4200</v>
      </c>
      <c r="B1315" s="10" t="s">
        <v>4201</v>
      </c>
      <c r="C1315" s="9" t="s">
        <v>1741</v>
      </c>
      <c r="D1315" s="9" t="s">
        <v>1741</v>
      </c>
      <c r="E1315" s="9" t="s">
        <v>2913</v>
      </c>
      <c r="F1315" s="9" t="s">
        <v>2973</v>
      </c>
      <c r="G1315" s="12">
        <v>1199</v>
      </c>
      <c r="H1315" s="9">
        <v>2990</v>
      </c>
      <c r="I1315" s="9">
        <v>60</v>
      </c>
      <c r="J1315" s="9">
        <v>3.8</v>
      </c>
      <c r="K1315" s="9">
        <v>133</v>
      </c>
      <c r="L1315" s="9">
        <v>4.0749169789964874</v>
      </c>
      <c r="M1315" s="9" t="s">
        <v>89</v>
      </c>
      <c r="N1315" s="9" t="s">
        <v>179</v>
      </c>
      <c r="O1315" s="9">
        <v>47.3</v>
      </c>
      <c r="P1315" s="9" t="s">
        <v>30</v>
      </c>
      <c r="Q1315" s="9" t="b">
        <v>0</v>
      </c>
      <c r="R1315" s="9" t="b">
        <v>0</v>
      </c>
      <c r="S1315" s="9" t="b">
        <v>1</v>
      </c>
      <c r="T1315" s="9">
        <v>0.41</v>
      </c>
      <c r="U1315" s="9">
        <v>1</v>
      </c>
      <c r="V1315" s="9" t="b">
        <v>1</v>
      </c>
      <c r="W1315" s="9" t="s">
        <v>4202</v>
      </c>
    </row>
    <row r="1316" spans="1:23" ht="29" customHeight="1" x14ac:dyDescent="0.2">
      <c r="A1316" s="9" t="s">
        <v>4203</v>
      </c>
      <c r="B1316" s="10" t="s">
        <v>4204</v>
      </c>
      <c r="C1316" s="9" t="s">
        <v>1741</v>
      </c>
      <c r="D1316" s="9" t="s">
        <v>1741</v>
      </c>
      <c r="E1316" s="9" t="s">
        <v>2913</v>
      </c>
      <c r="F1316" s="9" t="s">
        <v>2973</v>
      </c>
      <c r="G1316" s="12">
        <v>6120</v>
      </c>
      <c r="H1316" s="9">
        <v>8073</v>
      </c>
      <c r="I1316" s="9">
        <v>24</v>
      </c>
      <c r="J1316" s="9">
        <v>4.5999999999999996</v>
      </c>
      <c r="K1316" s="9">
        <v>2751</v>
      </c>
      <c r="L1316" s="9">
        <v>4.3023012346174578</v>
      </c>
      <c r="M1316" s="9" t="s">
        <v>28</v>
      </c>
      <c r="N1316" s="9" t="s">
        <v>144</v>
      </c>
      <c r="O1316" s="9">
        <v>53.2</v>
      </c>
      <c r="P1316" s="9" t="s">
        <v>53</v>
      </c>
      <c r="Q1316" s="9" t="b">
        <v>0</v>
      </c>
      <c r="R1316" s="9" t="b">
        <v>0</v>
      </c>
      <c r="S1316" s="9" t="b">
        <v>0</v>
      </c>
      <c r="T1316" s="9">
        <v>2.11</v>
      </c>
      <c r="U1316" s="9">
        <v>1</v>
      </c>
      <c r="V1316" s="9" t="b">
        <v>1</v>
      </c>
      <c r="W1316" s="9" t="s">
        <v>4205</v>
      </c>
    </row>
    <row r="1317" spans="1:23" ht="29" customHeight="1" x14ac:dyDescent="0.2">
      <c r="A1317" s="9" t="s">
        <v>4206</v>
      </c>
      <c r="B1317" s="10" t="s">
        <v>4207</v>
      </c>
      <c r="C1317" s="9" t="s">
        <v>1741</v>
      </c>
      <c r="D1317" s="9" t="s">
        <v>1741</v>
      </c>
      <c r="E1317" s="9" t="s">
        <v>2913</v>
      </c>
      <c r="F1317" s="9" t="s">
        <v>3036</v>
      </c>
      <c r="G1317" s="12">
        <v>1799</v>
      </c>
      <c r="H1317" s="9">
        <v>2599</v>
      </c>
      <c r="I1317" s="9">
        <v>31</v>
      </c>
      <c r="J1317" s="9">
        <v>3.6</v>
      </c>
      <c r="K1317" s="9">
        <v>771</v>
      </c>
      <c r="L1317" s="9">
        <v>4.0022144241051762</v>
      </c>
      <c r="M1317" s="9" t="s">
        <v>89</v>
      </c>
      <c r="N1317" s="9" t="s">
        <v>179</v>
      </c>
      <c r="O1317" s="9">
        <v>21.1</v>
      </c>
      <c r="P1317" s="9" t="s">
        <v>40</v>
      </c>
      <c r="Q1317" s="9" t="b">
        <v>0</v>
      </c>
      <c r="R1317" s="9" t="b">
        <v>0</v>
      </c>
      <c r="S1317" s="9" t="b">
        <v>1</v>
      </c>
      <c r="T1317" s="9">
        <v>0.59</v>
      </c>
      <c r="U1317" s="9">
        <v>1</v>
      </c>
      <c r="V1317" s="9" t="b">
        <v>1</v>
      </c>
      <c r="W1317" s="9" t="s">
        <v>4208</v>
      </c>
    </row>
    <row r="1318" spans="1:23" ht="29" customHeight="1" x14ac:dyDescent="0.2">
      <c r="A1318" s="9" t="s">
        <v>4209</v>
      </c>
      <c r="B1318" s="10" t="s">
        <v>4210</v>
      </c>
      <c r="C1318" s="9" t="s">
        <v>1741</v>
      </c>
      <c r="D1318" s="9" t="s">
        <v>1741</v>
      </c>
      <c r="E1318" s="9" t="s">
        <v>2913</v>
      </c>
      <c r="F1318" s="9" t="s">
        <v>3828</v>
      </c>
      <c r="G1318" s="12">
        <v>18999</v>
      </c>
      <c r="H1318" s="9">
        <v>29999</v>
      </c>
      <c r="I1318" s="9">
        <v>37</v>
      </c>
      <c r="J1318" s="9">
        <v>4.0999999999999996</v>
      </c>
      <c r="K1318" s="9">
        <v>2536</v>
      </c>
      <c r="L1318" s="9">
        <v>4.0908214799842524</v>
      </c>
      <c r="M1318" s="9" t="s">
        <v>28</v>
      </c>
      <c r="N1318" s="9" t="s">
        <v>58</v>
      </c>
      <c r="O1318" s="9">
        <v>32.6</v>
      </c>
      <c r="P1318" s="9" t="s">
        <v>40</v>
      </c>
      <c r="Q1318" s="9" t="b">
        <v>0</v>
      </c>
      <c r="R1318" s="9" t="b">
        <v>0</v>
      </c>
      <c r="S1318" s="9" t="b">
        <v>0</v>
      </c>
      <c r="U1318" s="9">
        <v>1</v>
      </c>
      <c r="V1318" s="9" t="b">
        <v>1</v>
      </c>
      <c r="W1318" s="9" t="s">
        <v>4211</v>
      </c>
    </row>
    <row r="1319" spans="1:23" ht="29" customHeight="1" x14ac:dyDescent="0.2">
      <c r="A1319" s="9" t="s">
        <v>4212</v>
      </c>
      <c r="B1319" s="10" t="s">
        <v>4213</v>
      </c>
      <c r="C1319" s="9" t="s">
        <v>1741</v>
      </c>
      <c r="D1319" s="9" t="s">
        <v>1741</v>
      </c>
      <c r="E1319" s="9" t="s">
        <v>2918</v>
      </c>
      <c r="F1319" s="9" t="s">
        <v>3255</v>
      </c>
      <c r="G1319" s="12">
        <v>1999</v>
      </c>
      <c r="H1319" s="9">
        <v>2360</v>
      </c>
      <c r="I1319" s="9">
        <v>15</v>
      </c>
      <c r="J1319" s="9">
        <v>4.2</v>
      </c>
      <c r="K1319" s="9">
        <v>7801</v>
      </c>
      <c r="L1319" s="9">
        <v>4.1624628435751134</v>
      </c>
      <c r="M1319" s="9" t="s">
        <v>28</v>
      </c>
      <c r="N1319" s="9" t="s">
        <v>179</v>
      </c>
      <c r="O1319" s="9">
        <v>46.5</v>
      </c>
      <c r="P1319" s="9" t="s">
        <v>30</v>
      </c>
      <c r="Q1319" s="9" t="b">
        <v>0</v>
      </c>
      <c r="R1319" s="9" t="b">
        <v>0</v>
      </c>
      <c r="S1319" s="9" t="b">
        <v>0</v>
      </c>
      <c r="U1319" s="9">
        <v>1</v>
      </c>
      <c r="V1319" s="9" t="b">
        <v>1</v>
      </c>
      <c r="W1319" s="9" t="s">
        <v>4214</v>
      </c>
    </row>
    <row r="1320" spans="1:23" ht="29" customHeight="1" x14ac:dyDescent="0.2">
      <c r="A1320" s="9" t="s">
        <v>4215</v>
      </c>
      <c r="B1320" s="10" t="s">
        <v>4216</v>
      </c>
      <c r="C1320" s="9" t="s">
        <v>1741</v>
      </c>
      <c r="D1320" s="9" t="s">
        <v>1741</v>
      </c>
      <c r="E1320" s="9" t="s">
        <v>2913</v>
      </c>
      <c r="F1320" s="9" t="s">
        <v>4217</v>
      </c>
      <c r="G1320" s="12">
        <v>5999</v>
      </c>
      <c r="H1320" s="9">
        <v>11495</v>
      </c>
      <c r="I1320" s="9">
        <v>48</v>
      </c>
      <c r="J1320" s="9">
        <v>4.3</v>
      </c>
      <c r="K1320" s="9">
        <v>534</v>
      </c>
      <c r="L1320" s="9">
        <v>4.1114020927919972</v>
      </c>
      <c r="M1320" s="9" t="s">
        <v>89</v>
      </c>
      <c r="N1320" s="9" t="s">
        <v>144</v>
      </c>
      <c r="O1320" s="9">
        <v>47</v>
      </c>
      <c r="P1320" s="9" t="s">
        <v>30</v>
      </c>
      <c r="Q1320" s="9" t="b">
        <v>0</v>
      </c>
      <c r="R1320" s="9" t="b">
        <v>0</v>
      </c>
      <c r="S1320" s="9" t="b">
        <v>0</v>
      </c>
      <c r="U1320" s="9">
        <v>1</v>
      </c>
      <c r="V1320" s="9" t="b">
        <v>1</v>
      </c>
      <c r="W1320" s="9" t="s">
        <v>4218</v>
      </c>
    </row>
    <row r="1321" spans="1:23" ht="29" customHeight="1" x14ac:dyDescent="0.2">
      <c r="A1321" s="9" t="s">
        <v>4219</v>
      </c>
      <c r="B1321" s="10" t="s">
        <v>4220</v>
      </c>
      <c r="C1321" s="9" t="s">
        <v>1741</v>
      </c>
      <c r="D1321" s="9" t="s">
        <v>1741</v>
      </c>
      <c r="E1321" s="9" t="s">
        <v>2918</v>
      </c>
      <c r="F1321" s="9" t="s">
        <v>3161</v>
      </c>
      <c r="G1321" s="12">
        <v>2599</v>
      </c>
      <c r="H1321" s="9">
        <v>4780</v>
      </c>
      <c r="I1321" s="9">
        <v>46</v>
      </c>
      <c r="J1321" s="9">
        <v>3.9</v>
      </c>
      <c r="K1321" s="9">
        <v>898</v>
      </c>
      <c r="L1321" s="9">
        <v>4.0490589189316202</v>
      </c>
      <c r="M1321" s="9" t="s">
        <v>89</v>
      </c>
      <c r="N1321" s="9" t="s">
        <v>144</v>
      </c>
      <c r="O1321" s="9">
        <v>34.4</v>
      </c>
      <c r="P1321" s="9" t="s">
        <v>40</v>
      </c>
      <c r="Q1321" s="9" t="b">
        <v>0</v>
      </c>
      <c r="R1321" s="9" t="b">
        <v>0</v>
      </c>
      <c r="S1321" s="9" t="b">
        <v>0</v>
      </c>
      <c r="T1321" s="9">
        <v>1.3</v>
      </c>
      <c r="U1321" s="9">
        <v>1</v>
      </c>
      <c r="V1321" s="9" t="b">
        <v>1</v>
      </c>
      <c r="W1321" s="9" t="s">
        <v>4221</v>
      </c>
    </row>
    <row r="1322" spans="1:23" ht="29" customHeight="1" x14ac:dyDescent="0.2">
      <c r="A1322" s="9" t="s">
        <v>4222</v>
      </c>
      <c r="B1322" s="10" t="s">
        <v>4223</v>
      </c>
      <c r="C1322" s="9" t="s">
        <v>1741</v>
      </c>
      <c r="D1322" s="9" t="s">
        <v>1741</v>
      </c>
      <c r="E1322" s="9" t="s">
        <v>2913</v>
      </c>
      <c r="F1322" s="9" t="s">
        <v>4001</v>
      </c>
      <c r="G1322" s="12">
        <v>1199</v>
      </c>
      <c r="H1322" s="9">
        <v>2400</v>
      </c>
      <c r="I1322" s="9">
        <v>50</v>
      </c>
      <c r="J1322" s="9">
        <v>3.9</v>
      </c>
      <c r="K1322" s="9">
        <v>1202</v>
      </c>
      <c r="L1322" s="9">
        <v>4.039931330784734</v>
      </c>
      <c r="M1322" s="9" t="s">
        <v>28</v>
      </c>
      <c r="N1322" s="9" t="s">
        <v>179</v>
      </c>
      <c r="O1322" s="9">
        <v>37.299999999999997</v>
      </c>
      <c r="P1322" s="9" t="s">
        <v>40</v>
      </c>
      <c r="Q1322" s="9" t="b">
        <v>0</v>
      </c>
      <c r="R1322" s="9" t="b">
        <v>0</v>
      </c>
      <c r="S1322" s="9" t="b">
        <v>0</v>
      </c>
      <c r="U1322" s="9">
        <v>1</v>
      </c>
      <c r="V1322" s="9" t="b">
        <v>1</v>
      </c>
      <c r="W1322" s="9" t="s">
        <v>4224</v>
      </c>
    </row>
    <row r="1323" spans="1:23" ht="29" customHeight="1" x14ac:dyDescent="0.2">
      <c r="A1323" s="9" t="s">
        <v>4225</v>
      </c>
      <c r="B1323" s="10" t="s">
        <v>4226</v>
      </c>
      <c r="C1323" s="9" t="s">
        <v>1741</v>
      </c>
      <c r="D1323" s="9" t="s">
        <v>1741</v>
      </c>
      <c r="E1323" s="9" t="s">
        <v>3031</v>
      </c>
      <c r="F1323" s="9" t="s">
        <v>3032</v>
      </c>
      <c r="G1323" s="12">
        <v>219</v>
      </c>
      <c r="H1323" s="9">
        <v>249</v>
      </c>
      <c r="I1323" s="9">
        <v>12</v>
      </c>
      <c r="J1323" s="9">
        <v>4</v>
      </c>
      <c r="K1323" s="9">
        <v>1108</v>
      </c>
      <c r="L1323" s="9">
        <v>4.0653811911879298</v>
      </c>
      <c r="M1323" s="9" t="s">
        <v>28</v>
      </c>
      <c r="N1323" s="9" t="s">
        <v>29</v>
      </c>
      <c r="O1323" s="9">
        <v>30.5</v>
      </c>
      <c r="P1323" s="9" t="s">
        <v>40</v>
      </c>
      <c r="Q1323" s="9" t="b">
        <v>0</v>
      </c>
      <c r="R1323" s="9" t="b">
        <v>0</v>
      </c>
      <c r="S1323" s="9" t="b">
        <v>0</v>
      </c>
      <c r="T1323" s="9">
        <v>0.62</v>
      </c>
      <c r="U1323" s="9">
        <v>1</v>
      </c>
      <c r="V1323" s="9" t="b">
        <v>1</v>
      </c>
      <c r="W1323" s="9" t="s">
        <v>4227</v>
      </c>
    </row>
    <row r="1324" spans="1:23" ht="29" customHeight="1" x14ac:dyDescent="0.2">
      <c r="A1324" s="9" t="s">
        <v>4228</v>
      </c>
      <c r="B1324" s="10" t="s">
        <v>4229</v>
      </c>
      <c r="C1324" s="9" t="s">
        <v>1741</v>
      </c>
      <c r="D1324" s="9" t="s">
        <v>1741</v>
      </c>
      <c r="E1324" s="9" t="s">
        <v>2918</v>
      </c>
      <c r="F1324" s="9" t="s">
        <v>2923</v>
      </c>
      <c r="G1324" s="12">
        <v>799</v>
      </c>
      <c r="H1324" s="9">
        <v>1199</v>
      </c>
      <c r="I1324" s="9">
        <v>33</v>
      </c>
      <c r="J1324" s="9">
        <v>4.4000000000000004</v>
      </c>
      <c r="K1324" s="9">
        <v>17</v>
      </c>
      <c r="L1324" s="9">
        <v>4.0860534704804374</v>
      </c>
      <c r="M1324" s="9" t="s">
        <v>204</v>
      </c>
      <c r="N1324" s="9" t="s">
        <v>93</v>
      </c>
      <c r="O1324" s="9">
        <v>44.3</v>
      </c>
      <c r="P1324" s="9" t="s">
        <v>30</v>
      </c>
      <c r="Q1324" s="9" t="b">
        <v>0</v>
      </c>
      <c r="R1324" s="9" t="b">
        <v>0</v>
      </c>
      <c r="S1324" s="9" t="b">
        <v>0</v>
      </c>
      <c r="T1324" s="9">
        <v>0.74</v>
      </c>
      <c r="U1324" s="9">
        <v>1</v>
      </c>
      <c r="V1324" s="9" t="b">
        <v>1</v>
      </c>
      <c r="W1324" s="9" t="s">
        <v>4230</v>
      </c>
    </row>
    <row r="1325" spans="1:23" ht="29" customHeight="1" x14ac:dyDescent="0.2">
      <c r="A1325" s="9" t="s">
        <v>4231</v>
      </c>
      <c r="B1325" s="10" t="s">
        <v>4232</v>
      </c>
      <c r="C1325" s="9" t="s">
        <v>1741</v>
      </c>
      <c r="D1325" s="9" t="s">
        <v>1741</v>
      </c>
      <c r="E1325" s="9" t="s">
        <v>2913</v>
      </c>
      <c r="F1325" s="9" t="s">
        <v>3368</v>
      </c>
      <c r="G1325" s="12">
        <v>6199</v>
      </c>
      <c r="H1325" s="9">
        <v>10999</v>
      </c>
      <c r="I1325" s="9">
        <v>44</v>
      </c>
      <c r="J1325" s="9">
        <v>4.2</v>
      </c>
      <c r="K1325" s="9">
        <v>10429</v>
      </c>
      <c r="L1325" s="9">
        <v>4.1694140218920346</v>
      </c>
      <c r="M1325" s="9" t="s">
        <v>28</v>
      </c>
      <c r="N1325" s="9" t="s">
        <v>144</v>
      </c>
      <c r="O1325" s="9">
        <v>50.2</v>
      </c>
      <c r="P1325" s="9" t="s">
        <v>30</v>
      </c>
      <c r="Q1325" s="9" t="b">
        <v>0</v>
      </c>
      <c r="R1325" s="9" t="b">
        <v>0</v>
      </c>
      <c r="S1325" s="9" t="b">
        <v>0</v>
      </c>
      <c r="U1325" s="9">
        <v>1</v>
      </c>
      <c r="V1325" s="9" t="b">
        <v>1</v>
      </c>
      <c r="W1325" s="9" t="s">
        <v>4233</v>
      </c>
    </row>
    <row r="1326" spans="1:23" ht="29" customHeight="1" x14ac:dyDescent="0.2">
      <c r="A1326" s="9" t="s">
        <v>4234</v>
      </c>
      <c r="B1326" s="10" t="s">
        <v>4235</v>
      </c>
      <c r="C1326" s="9" t="s">
        <v>1741</v>
      </c>
      <c r="D1326" s="9" t="s">
        <v>1741</v>
      </c>
      <c r="E1326" s="9" t="s">
        <v>2913</v>
      </c>
      <c r="F1326" s="9" t="s">
        <v>3027</v>
      </c>
      <c r="G1326" s="12">
        <v>6790</v>
      </c>
      <c r="H1326" s="9">
        <v>10995</v>
      </c>
      <c r="I1326" s="9">
        <v>38</v>
      </c>
      <c r="J1326" s="9">
        <v>4.5</v>
      </c>
      <c r="K1326" s="9">
        <v>3192</v>
      </c>
      <c r="L1326" s="9">
        <v>4.2752806228601354</v>
      </c>
      <c r="M1326" s="9" t="s">
        <v>28</v>
      </c>
      <c r="N1326" s="9" t="s">
        <v>144</v>
      </c>
      <c r="O1326" s="9">
        <v>56.6</v>
      </c>
      <c r="P1326" s="9" t="s">
        <v>53</v>
      </c>
      <c r="Q1326" s="9" t="b">
        <v>0</v>
      </c>
      <c r="R1326" s="9" t="b">
        <v>0</v>
      </c>
      <c r="S1326" s="9" t="b">
        <v>0</v>
      </c>
      <c r="U1326" s="9">
        <v>1</v>
      </c>
      <c r="V1326" s="9" t="b">
        <v>1</v>
      </c>
      <c r="W1326" s="9" t="s">
        <v>4236</v>
      </c>
    </row>
    <row r="1327" spans="1:23" ht="29" customHeight="1" x14ac:dyDescent="0.2">
      <c r="A1327" s="9" t="s">
        <v>4237</v>
      </c>
      <c r="B1327" s="10" t="s">
        <v>4238</v>
      </c>
      <c r="C1327" s="9" t="s">
        <v>1741</v>
      </c>
      <c r="D1327" s="9" t="s">
        <v>1741</v>
      </c>
      <c r="E1327" s="9" t="s">
        <v>2918</v>
      </c>
      <c r="F1327" s="9" t="s">
        <v>4239</v>
      </c>
      <c r="G1327" s="12">
        <v>1982.84</v>
      </c>
      <c r="H1327" s="9">
        <v>3300</v>
      </c>
      <c r="I1327" s="9">
        <v>40</v>
      </c>
      <c r="J1327" s="9">
        <v>4.0999999999999996</v>
      </c>
      <c r="K1327" s="9">
        <v>5873</v>
      </c>
      <c r="L1327" s="9">
        <v>4.0940002170806711</v>
      </c>
      <c r="M1327" s="9" t="s">
        <v>28</v>
      </c>
      <c r="N1327" s="9" t="s">
        <v>179</v>
      </c>
      <c r="O1327" s="9">
        <v>44.5</v>
      </c>
      <c r="P1327" s="9" t="s">
        <v>30</v>
      </c>
      <c r="Q1327" s="9" t="b">
        <v>0</v>
      </c>
      <c r="R1327" s="9" t="b">
        <v>0</v>
      </c>
      <c r="S1327" s="9" t="b">
        <v>0</v>
      </c>
      <c r="U1327" s="9">
        <v>1</v>
      </c>
      <c r="V1327" s="9" t="b">
        <v>1</v>
      </c>
      <c r="W1327" s="9" t="s">
        <v>4240</v>
      </c>
    </row>
    <row r="1328" spans="1:23" ht="29" customHeight="1" x14ac:dyDescent="0.2">
      <c r="A1328" s="9" t="s">
        <v>4241</v>
      </c>
      <c r="B1328" s="10" t="s">
        <v>4242</v>
      </c>
      <c r="C1328" s="9" t="s">
        <v>1741</v>
      </c>
      <c r="D1328" s="9" t="s">
        <v>1741</v>
      </c>
      <c r="E1328" s="9" t="s">
        <v>2913</v>
      </c>
      <c r="F1328" s="9" t="s">
        <v>3269</v>
      </c>
      <c r="G1328" s="12">
        <v>199</v>
      </c>
      <c r="H1328" s="9">
        <v>400</v>
      </c>
      <c r="I1328" s="9">
        <v>50</v>
      </c>
      <c r="J1328" s="9">
        <v>4.0999999999999996</v>
      </c>
      <c r="K1328" s="9">
        <v>1379</v>
      </c>
      <c r="L1328" s="9">
        <v>4.0887560228884201</v>
      </c>
      <c r="M1328" s="9" t="s">
        <v>28</v>
      </c>
      <c r="N1328" s="9" t="s">
        <v>29</v>
      </c>
      <c r="O1328" s="9">
        <v>55.9</v>
      </c>
      <c r="P1328" s="9" t="s">
        <v>53</v>
      </c>
      <c r="Q1328" s="9" t="b">
        <v>0</v>
      </c>
      <c r="R1328" s="9" t="b">
        <v>0</v>
      </c>
      <c r="S1328" s="9" t="b">
        <v>0</v>
      </c>
      <c r="T1328" s="9">
        <v>0.86</v>
      </c>
      <c r="U1328" s="9">
        <v>1</v>
      </c>
      <c r="V1328" s="9" t="b">
        <v>1</v>
      </c>
      <c r="W1328" s="9" t="s">
        <v>4243</v>
      </c>
    </row>
    <row r="1329" spans="1:23" ht="29" customHeight="1" x14ac:dyDescent="0.2">
      <c r="A1329" s="9" t="s">
        <v>4244</v>
      </c>
      <c r="B1329" s="10" t="s">
        <v>4245</v>
      </c>
      <c r="C1329" s="9" t="s">
        <v>1741</v>
      </c>
      <c r="D1329" s="9" t="s">
        <v>1741</v>
      </c>
      <c r="E1329" s="9" t="s">
        <v>2913</v>
      </c>
      <c r="F1329" s="9" t="s">
        <v>2914</v>
      </c>
      <c r="G1329" s="12">
        <v>1180</v>
      </c>
      <c r="H1329" s="9">
        <v>1440</v>
      </c>
      <c r="I1329" s="9">
        <v>18</v>
      </c>
      <c r="J1329" s="9">
        <v>4.2</v>
      </c>
      <c r="K1329" s="9">
        <v>1527</v>
      </c>
      <c r="L1329" s="9">
        <v>4.1179391420135767</v>
      </c>
      <c r="M1329" s="9" t="s">
        <v>28</v>
      </c>
      <c r="N1329" s="9" t="s">
        <v>179</v>
      </c>
      <c r="O1329" s="9">
        <v>44.1</v>
      </c>
      <c r="P1329" s="9" t="s">
        <v>30</v>
      </c>
      <c r="Q1329" s="9" t="b">
        <v>0</v>
      </c>
      <c r="R1329" s="9" t="b">
        <v>0</v>
      </c>
      <c r="S1329" s="9" t="b">
        <v>0</v>
      </c>
      <c r="T1329" s="9">
        <v>1.18</v>
      </c>
      <c r="U1329" s="9">
        <v>1</v>
      </c>
      <c r="V1329" s="9" t="b">
        <v>1</v>
      </c>
      <c r="W1329" s="9" t="s">
        <v>4246</v>
      </c>
    </row>
    <row r="1330" spans="1:23" ht="29" customHeight="1" x14ac:dyDescent="0.2">
      <c r="A1330" s="9" t="s">
        <v>4247</v>
      </c>
      <c r="B1330" s="10" t="s">
        <v>4248</v>
      </c>
      <c r="C1330" s="9" t="s">
        <v>1741</v>
      </c>
      <c r="D1330" s="9" t="s">
        <v>1741</v>
      </c>
      <c r="E1330" s="9" t="s">
        <v>2918</v>
      </c>
      <c r="F1330" s="9" t="s">
        <v>3161</v>
      </c>
      <c r="G1330" s="12">
        <v>2199</v>
      </c>
      <c r="H1330" s="9">
        <v>3045</v>
      </c>
      <c r="I1330" s="9">
        <v>28</v>
      </c>
      <c r="J1330" s="9">
        <v>4.2</v>
      </c>
      <c r="K1330" s="9">
        <v>2686</v>
      </c>
      <c r="L1330" s="9">
        <v>4.13268808120971</v>
      </c>
      <c r="M1330" s="9" t="s">
        <v>28</v>
      </c>
      <c r="N1330" s="9" t="s">
        <v>179</v>
      </c>
      <c r="O1330" s="9">
        <v>46.9</v>
      </c>
      <c r="P1330" s="9" t="s">
        <v>30</v>
      </c>
      <c r="Q1330" s="9" t="b">
        <v>0</v>
      </c>
      <c r="R1330" s="9" t="b">
        <v>0</v>
      </c>
      <c r="S1330" s="9" t="b">
        <v>0</v>
      </c>
      <c r="T1330" s="9">
        <v>1.1000000000000001</v>
      </c>
      <c r="U1330" s="9">
        <v>1</v>
      </c>
      <c r="V1330" s="9" t="b">
        <v>1</v>
      </c>
      <c r="W1330" s="9" t="s">
        <v>4249</v>
      </c>
    </row>
    <row r="1331" spans="1:23" ht="29" customHeight="1" x14ac:dyDescent="0.2">
      <c r="A1331" s="9" t="s">
        <v>4250</v>
      </c>
      <c r="B1331" s="10" t="s">
        <v>4251</v>
      </c>
      <c r="C1331" s="9" t="s">
        <v>1741</v>
      </c>
      <c r="D1331" s="9" t="s">
        <v>1741</v>
      </c>
      <c r="E1331" s="9" t="s">
        <v>2913</v>
      </c>
      <c r="F1331" s="9" t="s">
        <v>3262</v>
      </c>
      <c r="G1331" s="12">
        <v>2999</v>
      </c>
      <c r="H1331" s="9">
        <v>3595</v>
      </c>
      <c r="I1331" s="9">
        <v>17</v>
      </c>
      <c r="J1331" s="9">
        <v>4</v>
      </c>
      <c r="K1331" s="9">
        <v>178</v>
      </c>
      <c r="L1331" s="9">
        <v>4.0808118491767074</v>
      </c>
      <c r="M1331" s="9" t="s">
        <v>89</v>
      </c>
      <c r="N1331" s="9" t="s">
        <v>144</v>
      </c>
      <c r="O1331" s="9">
        <v>25</v>
      </c>
      <c r="P1331" s="9" t="s">
        <v>40</v>
      </c>
      <c r="Q1331" s="9" t="b">
        <v>0</v>
      </c>
      <c r="R1331" s="9" t="b">
        <v>0</v>
      </c>
      <c r="S1331" s="9" t="b">
        <v>0</v>
      </c>
      <c r="U1331" s="9">
        <v>1</v>
      </c>
      <c r="V1331" s="9" t="b">
        <v>1</v>
      </c>
      <c r="W1331" s="9" t="s">
        <v>4252</v>
      </c>
    </row>
    <row r="1332" spans="1:23" ht="29" customHeight="1" x14ac:dyDescent="0.2">
      <c r="A1332" s="9" t="s">
        <v>4253</v>
      </c>
      <c r="B1332" s="10" t="s">
        <v>4254</v>
      </c>
      <c r="C1332" s="9" t="s">
        <v>1741</v>
      </c>
      <c r="D1332" s="9" t="s">
        <v>1741</v>
      </c>
      <c r="E1332" s="9" t="s">
        <v>2913</v>
      </c>
      <c r="F1332" s="9" t="s">
        <v>4255</v>
      </c>
      <c r="G1332" s="12">
        <v>253</v>
      </c>
      <c r="H1332" s="9">
        <v>500</v>
      </c>
      <c r="I1332" s="9">
        <v>49</v>
      </c>
      <c r="J1332" s="9">
        <v>4.3</v>
      </c>
      <c r="K1332" s="9">
        <v>2664</v>
      </c>
      <c r="L1332" s="9">
        <v>4.1739110078084201</v>
      </c>
      <c r="M1332" s="9" t="s">
        <v>28</v>
      </c>
      <c r="N1332" s="9" t="s">
        <v>29</v>
      </c>
      <c r="O1332" s="9">
        <v>69</v>
      </c>
      <c r="P1332" s="9" t="s">
        <v>36</v>
      </c>
      <c r="Q1332" s="9" t="b">
        <v>0</v>
      </c>
      <c r="R1332" s="9" t="b">
        <v>0</v>
      </c>
      <c r="S1332" s="9" t="b">
        <v>0</v>
      </c>
      <c r="U1332" s="9">
        <v>1</v>
      </c>
      <c r="V1332" s="9" t="b">
        <v>1</v>
      </c>
      <c r="W1332" s="9" t="s">
        <v>4256</v>
      </c>
    </row>
    <row r="1333" spans="1:23" ht="29" customHeight="1" x14ac:dyDescent="0.2">
      <c r="A1333" s="9" t="s">
        <v>4257</v>
      </c>
      <c r="B1333" s="10" t="s">
        <v>4258</v>
      </c>
      <c r="C1333" s="9" t="s">
        <v>1741</v>
      </c>
      <c r="D1333" s="9" t="s">
        <v>1741</v>
      </c>
      <c r="E1333" s="9" t="s">
        <v>2918</v>
      </c>
      <c r="F1333" s="9" t="s">
        <v>3730</v>
      </c>
      <c r="G1333" s="12">
        <v>499</v>
      </c>
      <c r="H1333" s="9">
        <v>799</v>
      </c>
      <c r="I1333" s="9">
        <v>38</v>
      </c>
      <c r="J1333" s="9">
        <v>3.6</v>
      </c>
      <c r="K1333" s="9">
        <v>212</v>
      </c>
      <c r="L1333" s="9">
        <v>4.0587845242623768</v>
      </c>
      <c r="M1333" s="9" t="s">
        <v>89</v>
      </c>
      <c r="N1333" s="9" t="s">
        <v>29</v>
      </c>
      <c r="O1333" s="9">
        <v>41.9</v>
      </c>
      <c r="P1333" s="9" t="s">
        <v>30</v>
      </c>
      <c r="Q1333" s="9" t="b">
        <v>0</v>
      </c>
      <c r="R1333" s="9" t="b">
        <v>0</v>
      </c>
      <c r="S1333" s="9" t="b">
        <v>1</v>
      </c>
      <c r="U1333" s="9">
        <v>1</v>
      </c>
      <c r="V1333" s="9" t="b">
        <v>1</v>
      </c>
      <c r="W1333" s="9" t="s">
        <v>4259</v>
      </c>
    </row>
    <row r="1334" spans="1:23" ht="29" customHeight="1" x14ac:dyDescent="0.2">
      <c r="A1334" s="9" t="s">
        <v>4260</v>
      </c>
      <c r="B1334" s="10" t="s">
        <v>4261</v>
      </c>
      <c r="C1334" s="9" t="s">
        <v>1741</v>
      </c>
      <c r="D1334" s="9" t="s">
        <v>1741</v>
      </c>
      <c r="E1334" s="9" t="s">
        <v>2918</v>
      </c>
      <c r="F1334" s="9" t="s">
        <v>2919</v>
      </c>
      <c r="G1334" s="12">
        <v>1149</v>
      </c>
      <c r="H1334" s="9">
        <v>1899</v>
      </c>
      <c r="I1334" s="9">
        <v>39</v>
      </c>
      <c r="J1334" s="9">
        <v>3.5</v>
      </c>
      <c r="K1334" s="9">
        <v>24</v>
      </c>
      <c r="L1334" s="9">
        <v>4.0809293784975083</v>
      </c>
      <c r="M1334" s="9" t="s">
        <v>204</v>
      </c>
      <c r="N1334" s="9" t="s">
        <v>179</v>
      </c>
      <c r="O1334" s="9">
        <v>42.2</v>
      </c>
      <c r="P1334" s="9" t="s">
        <v>30</v>
      </c>
      <c r="Q1334" s="9" t="b">
        <v>0</v>
      </c>
      <c r="R1334" s="9" t="b">
        <v>0</v>
      </c>
      <c r="S1334" s="9" t="b">
        <v>1</v>
      </c>
      <c r="T1334" s="9">
        <v>0.87</v>
      </c>
      <c r="U1334" s="9">
        <v>1</v>
      </c>
      <c r="V1334" s="9" t="b">
        <v>1</v>
      </c>
      <c r="W1334" s="9" t="s">
        <v>4262</v>
      </c>
    </row>
    <row r="1335" spans="1:23" ht="29" customHeight="1" x14ac:dyDescent="0.2">
      <c r="A1335" s="9" t="s">
        <v>4263</v>
      </c>
      <c r="B1335" s="10" t="s">
        <v>4264</v>
      </c>
      <c r="C1335" s="9" t="s">
        <v>1741</v>
      </c>
      <c r="D1335" s="9" t="s">
        <v>1741</v>
      </c>
      <c r="E1335" s="9" t="s">
        <v>2913</v>
      </c>
      <c r="F1335" s="9" t="s">
        <v>2969</v>
      </c>
      <c r="G1335" s="12">
        <v>457</v>
      </c>
      <c r="H1335" s="9">
        <v>799</v>
      </c>
      <c r="I1335" s="9">
        <v>43</v>
      </c>
      <c r="J1335" s="9">
        <v>4.3</v>
      </c>
      <c r="K1335" s="9">
        <v>1868</v>
      </c>
      <c r="L1335" s="9">
        <v>4.1560854438648107</v>
      </c>
      <c r="M1335" s="9" t="s">
        <v>28</v>
      </c>
      <c r="N1335" s="9" t="s">
        <v>29</v>
      </c>
      <c r="O1335" s="9">
        <v>63</v>
      </c>
      <c r="P1335" s="9" t="s">
        <v>36</v>
      </c>
      <c r="Q1335" s="9" t="b">
        <v>0</v>
      </c>
      <c r="R1335" s="9" t="b">
        <v>0</v>
      </c>
      <c r="S1335" s="9" t="b">
        <v>0</v>
      </c>
      <c r="T1335" s="9">
        <v>0.67</v>
      </c>
      <c r="U1335" s="9">
        <v>1</v>
      </c>
      <c r="V1335" s="9" t="b">
        <v>1</v>
      </c>
      <c r="W1335" s="9" t="s">
        <v>4265</v>
      </c>
    </row>
    <row r="1336" spans="1:23" ht="29" customHeight="1" x14ac:dyDescent="0.2">
      <c r="A1336" s="9" t="s">
        <v>4266</v>
      </c>
      <c r="B1336" s="10" t="s">
        <v>4267</v>
      </c>
      <c r="C1336" s="9" t="s">
        <v>1741</v>
      </c>
      <c r="D1336" s="9" t="s">
        <v>1741</v>
      </c>
      <c r="E1336" s="9" t="s">
        <v>2913</v>
      </c>
      <c r="F1336" s="9" t="s">
        <v>3717</v>
      </c>
      <c r="G1336" s="12">
        <v>229</v>
      </c>
      <c r="H1336" s="9">
        <v>399</v>
      </c>
      <c r="I1336" s="9">
        <v>43</v>
      </c>
      <c r="J1336" s="9">
        <v>3.6</v>
      </c>
      <c r="K1336" s="9">
        <v>451</v>
      </c>
      <c r="L1336" s="9">
        <v>4.0327611467143267</v>
      </c>
      <c r="M1336" s="9" t="s">
        <v>89</v>
      </c>
      <c r="N1336" s="9" t="s">
        <v>29</v>
      </c>
      <c r="O1336" s="9">
        <v>41.8</v>
      </c>
      <c r="P1336" s="9" t="s">
        <v>30</v>
      </c>
      <c r="Q1336" s="9" t="b">
        <v>0</v>
      </c>
      <c r="R1336" s="9" t="b">
        <v>0</v>
      </c>
      <c r="S1336" s="9" t="b">
        <v>1</v>
      </c>
      <c r="U1336" s="9">
        <v>1</v>
      </c>
      <c r="V1336" s="9" t="b">
        <v>1</v>
      </c>
      <c r="W1336" s="9" t="s">
        <v>4268</v>
      </c>
    </row>
    <row r="1337" spans="1:23" ht="29" customHeight="1" x14ac:dyDescent="0.2">
      <c r="A1337" s="9" t="s">
        <v>4269</v>
      </c>
      <c r="B1337" s="10" t="s">
        <v>4270</v>
      </c>
      <c r="C1337" s="9" t="s">
        <v>1741</v>
      </c>
      <c r="D1337" s="9" t="s">
        <v>1741</v>
      </c>
      <c r="E1337" s="9" t="s">
        <v>2913</v>
      </c>
      <c r="F1337" s="9" t="s">
        <v>3269</v>
      </c>
      <c r="G1337" s="12">
        <v>199</v>
      </c>
      <c r="H1337" s="9">
        <v>699</v>
      </c>
      <c r="I1337" s="9">
        <v>72</v>
      </c>
      <c r="J1337" s="9">
        <v>2.9</v>
      </c>
      <c r="K1337" s="9">
        <v>159</v>
      </c>
      <c r="L1337" s="9">
        <v>4.0366031089330141</v>
      </c>
      <c r="M1337" s="9" t="s">
        <v>89</v>
      </c>
      <c r="N1337" s="9" t="s">
        <v>29</v>
      </c>
      <c r="O1337" s="9">
        <v>56.3</v>
      </c>
      <c r="P1337" s="9" t="s">
        <v>53</v>
      </c>
      <c r="Q1337" s="9" t="b">
        <v>0</v>
      </c>
      <c r="R1337" s="9" t="b">
        <v>0</v>
      </c>
      <c r="S1337" s="9" t="b">
        <v>1</v>
      </c>
      <c r="T1337" s="9">
        <v>0.86</v>
      </c>
      <c r="U1337" s="9">
        <v>1</v>
      </c>
      <c r="V1337" s="9" t="b">
        <v>1</v>
      </c>
      <c r="W1337" s="9" t="s">
        <v>4271</v>
      </c>
    </row>
    <row r="1338" spans="1:23" ht="29" customHeight="1" x14ac:dyDescent="0.2">
      <c r="A1338" s="9" t="s">
        <v>4272</v>
      </c>
      <c r="B1338" s="10" t="s">
        <v>4273</v>
      </c>
      <c r="C1338" s="9" t="s">
        <v>1741</v>
      </c>
      <c r="D1338" s="9" t="s">
        <v>1741</v>
      </c>
      <c r="E1338" s="9" t="s">
        <v>2913</v>
      </c>
      <c r="F1338" s="9" t="s">
        <v>4001</v>
      </c>
      <c r="G1338" s="12">
        <v>899</v>
      </c>
      <c r="H1338" s="9">
        <v>1999</v>
      </c>
      <c r="I1338" s="9">
        <v>55</v>
      </c>
      <c r="J1338" s="9">
        <v>4.2</v>
      </c>
      <c r="K1338" s="9">
        <v>39</v>
      </c>
      <c r="L1338" s="9">
        <v>4.0858185168172607</v>
      </c>
      <c r="M1338" s="9" t="s">
        <v>204</v>
      </c>
      <c r="N1338" s="9" t="s">
        <v>93</v>
      </c>
      <c r="O1338" s="9">
        <v>50.2</v>
      </c>
      <c r="P1338" s="9" t="s">
        <v>30</v>
      </c>
      <c r="Q1338" s="9" t="b">
        <v>0</v>
      </c>
      <c r="R1338" s="9" t="b">
        <v>0</v>
      </c>
      <c r="S1338" s="9" t="b">
        <v>0</v>
      </c>
      <c r="U1338" s="9">
        <v>1</v>
      </c>
      <c r="V1338" s="9" t="b">
        <v>1</v>
      </c>
      <c r="W1338" s="9" t="s">
        <v>4274</v>
      </c>
    </row>
    <row r="1339" spans="1:23" ht="29" customHeight="1" x14ac:dyDescent="0.2">
      <c r="A1339" s="9" t="s">
        <v>4275</v>
      </c>
      <c r="B1339" s="10" t="s">
        <v>4276</v>
      </c>
      <c r="C1339" s="9" t="s">
        <v>1741</v>
      </c>
      <c r="D1339" s="9" t="s">
        <v>1741</v>
      </c>
      <c r="E1339" s="9" t="s">
        <v>2913</v>
      </c>
      <c r="F1339" s="9" t="s">
        <v>3497</v>
      </c>
      <c r="G1339" s="12">
        <v>1499</v>
      </c>
      <c r="H1339" s="9">
        <v>2199</v>
      </c>
      <c r="I1339" s="9">
        <v>32</v>
      </c>
      <c r="J1339" s="9">
        <v>4.4000000000000004</v>
      </c>
      <c r="K1339" s="9">
        <v>6531</v>
      </c>
      <c r="L1339" s="9">
        <v>4.2847271668218596</v>
      </c>
      <c r="M1339" s="9" t="s">
        <v>28</v>
      </c>
      <c r="N1339" s="9" t="s">
        <v>179</v>
      </c>
      <c r="O1339" s="9">
        <v>60.7</v>
      </c>
      <c r="P1339" s="9" t="s">
        <v>36</v>
      </c>
      <c r="Q1339" s="9" t="b">
        <v>0</v>
      </c>
      <c r="R1339" s="9" t="b">
        <v>0</v>
      </c>
      <c r="S1339" s="9" t="b">
        <v>0</v>
      </c>
      <c r="U1339" s="9">
        <v>1</v>
      </c>
      <c r="V1339" s="9" t="b">
        <v>1</v>
      </c>
      <c r="W1339" s="9" t="s">
        <v>4277</v>
      </c>
    </row>
    <row r="1340" spans="1:23" ht="29" customHeight="1" x14ac:dyDescent="0.2">
      <c r="A1340" s="9" t="s">
        <v>4278</v>
      </c>
      <c r="B1340" s="10" t="s">
        <v>4279</v>
      </c>
      <c r="C1340" s="9" t="s">
        <v>1741</v>
      </c>
      <c r="D1340" s="9" t="s">
        <v>1741</v>
      </c>
      <c r="E1340" s="9" t="s">
        <v>2913</v>
      </c>
      <c r="F1340" s="9" t="s">
        <v>2965</v>
      </c>
      <c r="G1340" s="12">
        <v>426</v>
      </c>
      <c r="H1340" s="9">
        <v>999</v>
      </c>
      <c r="I1340" s="9">
        <v>57</v>
      </c>
      <c r="J1340" s="9">
        <v>4.0999999999999996</v>
      </c>
      <c r="K1340" s="9">
        <v>222</v>
      </c>
      <c r="L1340" s="9">
        <v>4.0854910507418287</v>
      </c>
      <c r="M1340" s="9" t="s">
        <v>89</v>
      </c>
      <c r="N1340" s="9" t="s">
        <v>29</v>
      </c>
      <c r="O1340" s="9">
        <v>55.4</v>
      </c>
      <c r="P1340" s="9" t="s">
        <v>53</v>
      </c>
      <c r="Q1340" s="9" t="b">
        <v>0</v>
      </c>
      <c r="R1340" s="9" t="b">
        <v>0</v>
      </c>
      <c r="S1340" s="9" t="b">
        <v>0</v>
      </c>
      <c r="T1340" s="9">
        <v>0.61</v>
      </c>
      <c r="U1340" s="9">
        <v>1</v>
      </c>
      <c r="V1340" s="9" t="b">
        <v>1</v>
      </c>
      <c r="W1340" s="9" t="s">
        <v>4280</v>
      </c>
    </row>
    <row r="1341" spans="1:23" ht="29" customHeight="1" x14ac:dyDescent="0.2">
      <c r="A1341" s="9" t="s">
        <v>4281</v>
      </c>
      <c r="B1341" s="10" t="s">
        <v>4282</v>
      </c>
      <c r="C1341" s="9" t="s">
        <v>1741</v>
      </c>
      <c r="D1341" s="9" t="s">
        <v>1741</v>
      </c>
      <c r="E1341" s="9" t="s">
        <v>2918</v>
      </c>
      <c r="F1341" s="9" t="s">
        <v>2923</v>
      </c>
      <c r="G1341" s="12">
        <v>2320</v>
      </c>
      <c r="H1341" s="9">
        <v>3290</v>
      </c>
      <c r="I1341" s="9">
        <v>29</v>
      </c>
      <c r="J1341" s="9">
        <v>3.8</v>
      </c>
      <c r="K1341" s="9">
        <v>195</v>
      </c>
      <c r="L1341" s="9">
        <v>4.0706100042149878</v>
      </c>
      <c r="M1341" s="9" t="s">
        <v>89</v>
      </c>
      <c r="N1341" s="9" t="s">
        <v>179</v>
      </c>
      <c r="O1341" s="9">
        <v>30.9</v>
      </c>
      <c r="P1341" s="9" t="s">
        <v>40</v>
      </c>
      <c r="Q1341" s="9" t="b">
        <v>0</v>
      </c>
      <c r="R1341" s="9" t="b">
        <v>1</v>
      </c>
      <c r="S1341" s="9" t="b">
        <v>1</v>
      </c>
      <c r="T1341" s="9">
        <v>2.15</v>
      </c>
      <c r="U1341" s="9">
        <v>1</v>
      </c>
      <c r="V1341" s="9" t="b">
        <v>1</v>
      </c>
      <c r="W1341" s="9" t="s">
        <v>4283</v>
      </c>
    </row>
    <row r="1342" spans="1:23" ht="29" customHeight="1" x14ac:dyDescent="0.2">
      <c r="A1342" s="9" t="s">
        <v>4284</v>
      </c>
      <c r="B1342" s="10" t="s">
        <v>4285</v>
      </c>
      <c r="C1342" s="9" t="s">
        <v>1741</v>
      </c>
      <c r="D1342" s="9" t="s">
        <v>1741</v>
      </c>
      <c r="E1342" s="9" t="s">
        <v>2913</v>
      </c>
      <c r="F1342" s="9" t="s">
        <v>3468</v>
      </c>
      <c r="G1342" s="12">
        <v>1563</v>
      </c>
      <c r="H1342" s="9">
        <v>3098</v>
      </c>
      <c r="I1342" s="9">
        <v>50</v>
      </c>
      <c r="J1342" s="9">
        <v>3.5</v>
      </c>
      <c r="K1342" s="9">
        <v>2283</v>
      </c>
      <c r="L1342" s="9">
        <v>3.8638556102358481</v>
      </c>
      <c r="M1342" s="9" t="s">
        <v>28</v>
      </c>
      <c r="N1342" s="9" t="s">
        <v>179</v>
      </c>
      <c r="O1342" s="9">
        <v>25.7</v>
      </c>
      <c r="P1342" s="9" t="s">
        <v>40</v>
      </c>
      <c r="Q1342" s="9" t="b">
        <v>0</v>
      </c>
      <c r="R1342" s="9" t="b">
        <v>0</v>
      </c>
      <c r="S1342" s="9" t="b">
        <v>1</v>
      </c>
      <c r="U1342" s="9">
        <v>1</v>
      </c>
      <c r="V1342" s="9" t="b">
        <v>1</v>
      </c>
      <c r="W1342" s="9" t="s">
        <v>4286</v>
      </c>
    </row>
    <row r="1343" spans="1:23" ht="29" customHeight="1" x14ac:dyDescent="0.2">
      <c r="A1343" s="9" t="s">
        <v>4287</v>
      </c>
      <c r="B1343" s="10" t="s">
        <v>4288</v>
      </c>
      <c r="C1343" s="9" t="s">
        <v>1741</v>
      </c>
      <c r="D1343" s="9" t="s">
        <v>1741</v>
      </c>
      <c r="E1343" s="9" t="s">
        <v>2918</v>
      </c>
      <c r="F1343" s="9" t="s">
        <v>2919</v>
      </c>
      <c r="G1343" s="12">
        <v>3487.77</v>
      </c>
      <c r="H1343" s="9">
        <v>4990</v>
      </c>
      <c r="I1343" s="9">
        <v>30</v>
      </c>
      <c r="J1343" s="9">
        <v>4.0999999999999996</v>
      </c>
      <c r="K1343" s="9">
        <v>1127</v>
      </c>
      <c r="L1343" s="9">
        <v>4.0881765194152404</v>
      </c>
      <c r="M1343" s="9" t="s">
        <v>28</v>
      </c>
      <c r="N1343" s="9" t="s">
        <v>144</v>
      </c>
      <c r="O1343" s="9">
        <v>33.9</v>
      </c>
      <c r="P1343" s="9" t="s">
        <v>40</v>
      </c>
      <c r="Q1343" s="9" t="b">
        <v>0</v>
      </c>
      <c r="R1343" s="9" t="b">
        <v>0</v>
      </c>
      <c r="S1343" s="9" t="b">
        <v>0</v>
      </c>
      <c r="T1343" s="9">
        <v>2.65</v>
      </c>
      <c r="U1343" s="9">
        <v>1</v>
      </c>
      <c r="V1343" s="9" t="b">
        <v>1</v>
      </c>
      <c r="W1343" s="9" t="s">
        <v>4289</v>
      </c>
    </row>
    <row r="1344" spans="1:23" ht="29" customHeight="1" x14ac:dyDescent="0.2">
      <c r="A1344" s="9" t="s">
        <v>4290</v>
      </c>
      <c r="B1344" s="10" t="s">
        <v>4291</v>
      </c>
      <c r="C1344" s="9" t="s">
        <v>1741</v>
      </c>
      <c r="D1344" s="9" t="s">
        <v>1741</v>
      </c>
      <c r="E1344" s="9" t="s">
        <v>2913</v>
      </c>
      <c r="F1344" s="9" t="s">
        <v>3128</v>
      </c>
      <c r="G1344" s="12">
        <v>498</v>
      </c>
      <c r="H1344" s="9">
        <v>1200</v>
      </c>
      <c r="I1344" s="9">
        <v>59</v>
      </c>
      <c r="J1344" s="9">
        <v>3.2</v>
      </c>
      <c r="K1344" s="9">
        <v>113</v>
      </c>
      <c r="L1344" s="9">
        <v>4.0588412054395091</v>
      </c>
      <c r="M1344" s="9" t="s">
        <v>89</v>
      </c>
      <c r="N1344" s="9" t="s">
        <v>29</v>
      </c>
      <c r="O1344" s="9">
        <v>50.6</v>
      </c>
      <c r="P1344" s="9" t="s">
        <v>53</v>
      </c>
      <c r="Q1344" s="9" t="b">
        <v>0</v>
      </c>
      <c r="R1344" s="9" t="b">
        <v>0</v>
      </c>
      <c r="S1344" s="9" t="b">
        <v>1</v>
      </c>
      <c r="U1344" s="9">
        <v>1</v>
      </c>
      <c r="V1344" s="9" t="b">
        <v>1</v>
      </c>
      <c r="W1344" s="9" t="s">
        <v>4292</v>
      </c>
    </row>
    <row r="1345" spans="1:23" ht="29" customHeight="1" x14ac:dyDescent="0.2">
      <c r="A1345" s="9" t="s">
        <v>4293</v>
      </c>
      <c r="B1345" s="10" t="s">
        <v>4294</v>
      </c>
      <c r="C1345" s="9" t="s">
        <v>1741</v>
      </c>
      <c r="D1345" s="9" t="s">
        <v>1741</v>
      </c>
      <c r="E1345" s="9" t="s">
        <v>2913</v>
      </c>
      <c r="F1345" s="9" t="s">
        <v>2914</v>
      </c>
      <c r="G1345" s="12">
        <v>2695</v>
      </c>
      <c r="H1345" s="9">
        <v>2695</v>
      </c>
      <c r="I1345" s="9">
        <v>0</v>
      </c>
      <c r="J1345" s="9">
        <v>4.4000000000000004</v>
      </c>
      <c r="K1345" s="9">
        <v>2518</v>
      </c>
      <c r="L1345" s="9">
        <v>4.211072222224475</v>
      </c>
      <c r="M1345" s="9" t="s">
        <v>28</v>
      </c>
      <c r="N1345" s="9" t="s">
        <v>144</v>
      </c>
      <c r="O1345" s="9">
        <v>45.8</v>
      </c>
      <c r="P1345" s="9" t="s">
        <v>30</v>
      </c>
      <c r="Q1345" s="9" t="b">
        <v>0</v>
      </c>
      <c r="R1345" s="9" t="b">
        <v>0</v>
      </c>
      <c r="S1345" s="9" t="b">
        <v>0</v>
      </c>
      <c r="T1345" s="9">
        <v>2.7</v>
      </c>
      <c r="U1345" s="9">
        <v>1</v>
      </c>
      <c r="V1345" s="9" t="b">
        <v>1</v>
      </c>
      <c r="W1345" s="9" t="s">
        <v>4295</v>
      </c>
    </row>
    <row r="1346" spans="1:23" ht="29" customHeight="1" x14ac:dyDescent="0.2">
      <c r="A1346" s="9" t="s">
        <v>4296</v>
      </c>
      <c r="B1346" s="10" t="s">
        <v>4297</v>
      </c>
      <c r="C1346" s="9" t="s">
        <v>1741</v>
      </c>
      <c r="D1346" s="9" t="s">
        <v>1741</v>
      </c>
      <c r="E1346" s="9" t="s">
        <v>2918</v>
      </c>
      <c r="F1346" s="9" t="s">
        <v>2919</v>
      </c>
      <c r="G1346" s="12">
        <v>949</v>
      </c>
      <c r="H1346" s="9">
        <v>2299</v>
      </c>
      <c r="I1346" s="9">
        <v>59</v>
      </c>
      <c r="J1346" s="9">
        <v>3.6</v>
      </c>
      <c r="K1346" s="9">
        <v>550</v>
      </c>
      <c r="L1346" s="9">
        <v>4.022826456041928</v>
      </c>
      <c r="M1346" s="9" t="s">
        <v>89</v>
      </c>
      <c r="N1346" s="9" t="s">
        <v>93</v>
      </c>
      <c r="O1346" s="9">
        <v>45.3</v>
      </c>
      <c r="P1346" s="9" t="s">
        <v>30</v>
      </c>
      <c r="Q1346" s="9" t="b">
        <v>0</v>
      </c>
      <c r="R1346" s="9" t="b">
        <v>0</v>
      </c>
      <c r="S1346" s="9" t="b">
        <v>1</v>
      </c>
      <c r="T1346" s="9">
        <v>0.72</v>
      </c>
      <c r="U1346" s="9">
        <v>1</v>
      </c>
      <c r="V1346" s="9" t="b">
        <v>1</v>
      </c>
      <c r="W1346" s="9" t="s">
        <v>4298</v>
      </c>
    </row>
    <row r="1347" spans="1:23" ht="29" customHeight="1" x14ac:dyDescent="0.2">
      <c r="A1347" s="9" t="s">
        <v>4299</v>
      </c>
      <c r="B1347" s="10" t="s">
        <v>4300</v>
      </c>
      <c r="C1347" s="9" t="s">
        <v>1741</v>
      </c>
      <c r="D1347" s="9" t="s">
        <v>1741</v>
      </c>
      <c r="E1347" s="9" t="s">
        <v>2913</v>
      </c>
      <c r="F1347" s="9" t="s">
        <v>2927</v>
      </c>
      <c r="G1347" s="12">
        <v>199</v>
      </c>
      <c r="H1347" s="9">
        <v>999</v>
      </c>
      <c r="I1347" s="9">
        <v>80</v>
      </c>
      <c r="J1347" s="9">
        <v>3.1</v>
      </c>
      <c r="K1347" s="9">
        <v>2</v>
      </c>
      <c r="L1347" s="9">
        <v>4.0841118585949836</v>
      </c>
      <c r="M1347" s="9" t="s">
        <v>204</v>
      </c>
      <c r="N1347" s="9" t="s">
        <v>29</v>
      </c>
      <c r="O1347" s="9">
        <v>65.8</v>
      </c>
      <c r="P1347" s="9" t="s">
        <v>36</v>
      </c>
      <c r="Q1347" s="9" t="b">
        <v>0</v>
      </c>
      <c r="R1347" s="9" t="b">
        <v>0</v>
      </c>
      <c r="S1347" s="9" t="b">
        <v>1</v>
      </c>
      <c r="T1347" s="9">
        <v>0.44</v>
      </c>
      <c r="U1347" s="9">
        <v>1</v>
      </c>
      <c r="V1347" s="9" t="b">
        <v>1</v>
      </c>
      <c r="W1347" s="9" t="s">
        <v>4301</v>
      </c>
    </row>
    <row r="1348" spans="1:23" ht="29" customHeight="1" x14ac:dyDescent="0.2">
      <c r="A1348" s="9" t="s">
        <v>4302</v>
      </c>
      <c r="B1348" s="10" t="s">
        <v>4303</v>
      </c>
      <c r="C1348" s="9" t="s">
        <v>1741</v>
      </c>
      <c r="D1348" s="9" t="s">
        <v>1741</v>
      </c>
      <c r="E1348" s="9" t="s">
        <v>2913</v>
      </c>
      <c r="F1348" s="9" t="s">
        <v>3269</v>
      </c>
      <c r="G1348" s="12">
        <v>379</v>
      </c>
      <c r="H1348" s="9">
        <v>919</v>
      </c>
      <c r="I1348" s="9">
        <v>59</v>
      </c>
      <c r="J1348" s="9">
        <v>4</v>
      </c>
      <c r="K1348" s="9">
        <v>1090</v>
      </c>
      <c r="L1348" s="9">
        <v>4.0656237180176849</v>
      </c>
      <c r="M1348" s="9" t="s">
        <v>28</v>
      </c>
      <c r="N1348" s="9" t="s">
        <v>29</v>
      </c>
      <c r="O1348" s="9">
        <v>52.6</v>
      </c>
      <c r="P1348" s="9" t="s">
        <v>53</v>
      </c>
      <c r="Q1348" s="9" t="b">
        <v>0</v>
      </c>
      <c r="R1348" s="9" t="b">
        <v>0</v>
      </c>
      <c r="S1348" s="9" t="b">
        <v>0</v>
      </c>
      <c r="T1348" s="9">
        <v>1.64</v>
      </c>
      <c r="U1348" s="9">
        <v>1</v>
      </c>
      <c r="V1348" s="9" t="b">
        <v>1</v>
      </c>
      <c r="W1348" s="9" t="s">
        <v>4304</v>
      </c>
    </row>
    <row r="1349" spans="1:23" ht="29" customHeight="1" x14ac:dyDescent="0.2">
      <c r="A1349" s="9" t="s">
        <v>4305</v>
      </c>
      <c r="B1349" s="10" t="s">
        <v>4306</v>
      </c>
      <c r="C1349" s="9" t="s">
        <v>1741</v>
      </c>
      <c r="D1349" s="9" t="s">
        <v>1741</v>
      </c>
      <c r="E1349" s="9" t="s">
        <v>2913</v>
      </c>
      <c r="F1349" s="9" t="s">
        <v>3289</v>
      </c>
      <c r="G1349" s="12">
        <v>2280</v>
      </c>
      <c r="H1349" s="9">
        <v>3045</v>
      </c>
      <c r="I1349" s="9">
        <v>25</v>
      </c>
      <c r="J1349" s="9">
        <v>4.0999999999999996</v>
      </c>
      <c r="K1349" s="9">
        <v>4118</v>
      </c>
      <c r="L1349" s="9">
        <v>4.0926640557935174</v>
      </c>
      <c r="M1349" s="9" t="s">
        <v>28</v>
      </c>
      <c r="N1349" s="9" t="s">
        <v>179</v>
      </c>
      <c r="O1349" s="9">
        <v>33.9</v>
      </c>
      <c r="P1349" s="9" t="s">
        <v>40</v>
      </c>
      <c r="Q1349" s="9" t="b">
        <v>0</v>
      </c>
      <c r="R1349" s="9" t="b">
        <v>0</v>
      </c>
      <c r="S1349" s="9" t="b">
        <v>0</v>
      </c>
      <c r="U1349" s="9">
        <v>1</v>
      </c>
      <c r="V1349" s="9" t="b">
        <v>1</v>
      </c>
      <c r="W1349" s="9" t="s">
        <v>4307</v>
      </c>
    </row>
    <row r="1350" spans="1:23" ht="29" customHeight="1" x14ac:dyDescent="0.2">
      <c r="A1350" s="9" t="s">
        <v>4308</v>
      </c>
      <c r="B1350" s="10" t="s">
        <v>4309</v>
      </c>
      <c r="C1350" s="9" t="s">
        <v>1741</v>
      </c>
      <c r="D1350" s="9" t="s">
        <v>1741</v>
      </c>
      <c r="E1350" s="9" t="s">
        <v>2918</v>
      </c>
      <c r="F1350" s="9" t="s">
        <v>3220</v>
      </c>
      <c r="G1350" s="12">
        <v>2219</v>
      </c>
      <c r="H1350" s="9">
        <v>3080</v>
      </c>
      <c r="I1350" s="9">
        <v>28</v>
      </c>
      <c r="J1350" s="9">
        <v>3.6</v>
      </c>
      <c r="K1350" s="9">
        <v>468</v>
      </c>
      <c r="L1350" s="9">
        <v>4.0310221230778431</v>
      </c>
      <c r="M1350" s="9" t="s">
        <v>89</v>
      </c>
      <c r="N1350" s="9" t="s">
        <v>179</v>
      </c>
      <c r="O1350" s="9">
        <v>26</v>
      </c>
      <c r="P1350" s="9" t="s">
        <v>40</v>
      </c>
      <c r="Q1350" s="9" t="b">
        <v>0</v>
      </c>
      <c r="R1350" s="9" t="b">
        <v>0</v>
      </c>
      <c r="S1350" s="9" t="b">
        <v>1</v>
      </c>
      <c r="U1350" s="9">
        <v>1</v>
      </c>
      <c r="V1350" s="9" t="b">
        <v>1</v>
      </c>
      <c r="W1350" s="9" t="s">
        <v>4310</v>
      </c>
    </row>
    <row r="1351" spans="1:23" ht="29" customHeight="1" x14ac:dyDescent="0.2">
      <c r="A1351" s="9" t="s">
        <v>4311</v>
      </c>
      <c r="B1351" s="10" t="s">
        <v>4312</v>
      </c>
      <c r="C1351" s="9" t="s">
        <v>1741</v>
      </c>
      <c r="D1351" s="9" t="s">
        <v>1741</v>
      </c>
      <c r="E1351" s="9" t="s">
        <v>2918</v>
      </c>
      <c r="F1351" s="9" t="s">
        <v>3255</v>
      </c>
      <c r="G1351" s="12">
        <v>1399</v>
      </c>
      <c r="H1351" s="9">
        <v>1890</v>
      </c>
      <c r="I1351" s="9">
        <v>26</v>
      </c>
      <c r="J1351" s="9">
        <v>4</v>
      </c>
      <c r="K1351" s="9">
        <v>8031</v>
      </c>
      <c r="L1351" s="9">
        <v>4.0270012372646642</v>
      </c>
      <c r="M1351" s="9" t="s">
        <v>28</v>
      </c>
      <c r="N1351" s="9" t="s">
        <v>179</v>
      </c>
      <c r="O1351" s="9">
        <v>28.7</v>
      </c>
      <c r="P1351" s="9" t="s">
        <v>40</v>
      </c>
      <c r="Q1351" s="9" t="b">
        <v>0</v>
      </c>
      <c r="R1351" s="9" t="b">
        <v>0</v>
      </c>
      <c r="S1351" s="9" t="b">
        <v>0</v>
      </c>
      <c r="U1351" s="9">
        <v>1</v>
      </c>
      <c r="V1351" s="9" t="b">
        <v>1</v>
      </c>
      <c r="W1351" s="9" t="s">
        <v>4313</v>
      </c>
    </row>
    <row r="1352" spans="1:23" ht="29" customHeight="1" x14ac:dyDescent="0.2">
      <c r="A1352" s="9" t="s">
        <v>4314</v>
      </c>
      <c r="B1352" s="10" t="s">
        <v>4315</v>
      </c>
      <c r="C1352" s="9" t="s">
        <v>1741</v>
      </c>
      <c r="D1352" s="9" t="s">
        <v>1741</v>
      </c>
      <c r="E1352" s="9" t="s">
        <v>2913</v>
      </c>
      <c r="F1352" s="9" t="s">
        <v>3088</v>
      </c>
      <c r="G1352" s="12">
        <v>2863</v>
      </c>
      <c r="H1352" s="9">
        <v>3690</v>
      </c>
      <c r="I1352" s="9">
        <v>22</v>
      </c>
      <c r="J1352" s="9">
        <v>4.3</v>
      </c>
      <c r="K1352" s="9">
        <v>6987</v>
      </c>
      <c r="L1352" s="9">
        <v>4.2246187349812381</v>
      </c>
      <c r="M1352" s="9" t="s">
        <v>28</v>
      </c>
      <c r="N1352" s="9" t="s">
        <v>144</v>
      </c>
      <c r="O1352" s="9">
        <v>50.1</v>
      </c>
      <c r="P1352" s="9" t="s">
        <v>30</v>
      </c>
      <c r="Q1352" s="9" t="b">
        <v>0</v>
      </c>
      <c r="R1352" s="9" t="b">
        <v>0</v>
      </c>
      <c r="S1352" s="9" t="b">
        <v>0</v>
      </c>
      <c r="T1352" s="9">
        <v>1.94</v>
      </c>
      <c r="U1352" s="9">
        <v>1</v>
      </c>
      <c r="V1352" s="9" t="b">
        <v>1</v>
      </c>
      <c r="W1352" s="9" t="s">
        <v>4316</v>
      </c>
    </row>
  </sheetData>
  <conditionalFormatting sqref="J2:J1166">
    <cfRule type="expression" dxfId="3" priority="5">
      <formula>$S2=TRUE</formula>
    </cfRule>
  </conditionalFormatting>
  <conditionalFormatting sqref="G2:G1352">
    <cfRule type="expression" dxfId="2" priority="3">
      <formula>$R2=TRUE</formula>
    </cfRule>
  </conditionalFormatting>
  <conditionalFormatting sqref="B2:B1352">
    <cfRule type="expression" dxfId="1" priority="2">
      <formula>$Q2=TRUE</formula>
    </cfRule>
  </conditionalFormatting>
  <conditionalFormatting sqref="A2:A1352">
    <cfRule type="expression" dxfId="0" priority="1">
      <formula>$V2=FALSE</formula>
    </cfRule>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CBD2A-0180-F942-A14F-E0778A7D7330}">
  <dimension ref="A1:E27"/>
  <sheetViews>
    <sheetView topLeftCell="A23" zoomScale="183" workbookViewId="0">
      <selection activeCell="A25" sqref="A25"/>
    </sheetView>
  </sheetViews>
  <sheetFormatPr baseColWidth="10" defaultRowHeight="15" x14ac:dyDescent="0.2"/>
  <cols>
    <col min="1" max="1" width="19.5" bestFit="1" customWidth="1"/>
    <col min="2" max="2" width="14.1640625" customWidth="1"/>
    <col min="3" max="3" width="12.6640625" bestFit="1" customWidth="1"/>
    <col min="4" max="5" width="12.1640625" bestFit="1" customWidth="1"/>
  </cols>
  <sheetData>
    <row r="1" spans="1:5" x14ac:dyDescent="0.2">
      <c r="A1" s="1" t="s">
        <v>21</v>
      </c>
      <c r="B1" t="s">
        <v>4361</v>
      </c>
    </row>
    <row r="3" spans="1:5" x14ac:dyDescent="0.2">
      <c r="A3" s="1" t="s">
        <v>4360</v>
      </c>
      <c r="B3" t="s">
        <v>4365</v>
      </c>
      <c r="C3" t="s">
        <v>4366</v>
      </c>
      <c r="D3" t="s">
        <v>4367</v>
      </c>
      <c r="E3" t="s">
        <v>4368</v>
      </c>
    </row>
    <row r="4" spans="1:5" x14ac:dyDescent="0.2">
      <c r="A4" s="2" t="s">
        <v>25</v>
      </c>
      <c r="B4" s="3">
        <v>319</v>
      </c>
      <c r="C4" s="3">
        <v>51.755485893416925</v>
      </c>
      <c r="D4" s="3">
        <v>4.1510971786833801</v>
      </c>
      <c r="E4" s="3">
        <v>4.133869859369276</v>
      </c>
    </row>
    <row r="5" spans="1:5" x14ac:dyDescent="0.2">
      <c r="A5" s="2" t="s">
        <v>44</v>
      </c>
      <c r="B5" s="3">
        <v>376</v>
      </c>
      <c r="C5" s="3">
        <v>52.01063829787234</v>
      </c>
      <c r="D5" s="3">
        <v>4.0619680851063826</v>
      </c>
      <c r="E5" s="3">
        <v>4.0956826596385962</v>
      </c>
    </row>
    <row r="6" spans="1:5" x14ac:dyDescent="0.2">
      <c r="A6" s="2" t="s">
        <v>1741</v>
      </c>
      <c r="B6" s="3">
        <v>448</v>
      </c>
      <c r="C6" s="3">
        <v>40.120535714285715</v>
      </c>
      <c r="D6" s="3">
        <v>4.0407158836688986</v>
      </c>
      <c r="E6" s="3">
        <v>4.0900954201588897</v>
      </c>
    </row>
    <row r="7" spans="1:5" x14ac:dyDescent="0.2">
      <c r="A7" s="2" t="s">
        <v>1724</v>
      </c>
      <c r="B7" s="3">
        <v>38</v>
      </c>
      <c r="C7" s="3">
        <v>18.026315789473685</v>
      </c>
      <c r="D7" s="3">
        <v>4.2631578947368416</v>
      </c>
      <c r="E7" s="3">
        <v>4.1820570879935586</v>
      </c>
    </row>
    <row r="8" spans="1:5" x14ac:dyDescent="0.2">
      <c r="A8" s="2" t="s">
        <v>4362</v>
      </c>
      <c r="B8" s="3">
        <v>1181</v>
      </c>
      <c r="C8" s="3">
        <v>46.337849280270959</v>
      </c>
      <c r="D8" s="3">
        <v>4.0844915254237293</v>
      </c>
      <c r="E8" s="3">
        <v>4.1066249979617551</v>
      </c>
    </row>
    <row r="27" spans="2:2" x14ac:dyDescent="0.2">
      <c r="B27"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7D66-0A9A-B74F-8058-EE3B37D96014}">
  <dimension ref="A2:D10"/>
  <sheetViews>
    <sheetView zoomScale="261" workbookViewId="0">
      <selection activeCell="D10" sqref="D10"/>
    </sheetView>
  </sheetViews>
  <sheetFormatPr baseColWidth="10" defaultRowHeight="15" x14ac:dyDescent="0.2"/>
  <cols>
    <col min="1" max="1" width="14.6640625" bestFit="1" customWidth="1"/>
    <col min="2" max="2" width="16.6640625" bestFit="1" customWidth="1"/>
    <col min="3" max="3" width="19.6640625" bestFit="1" customWidth="1"/>
    <col min="4" max="4" width="14.1640625" bestFit="1" customWidth="1"/>
  </cols>
  <sheetData>
    <row r="2" spans="1:4" x14ac:dyDescent="0.2">
      <c r="A2" s="1" t="s">
        <v>21</v>
      </c>
      <c r="B2" t="s">
        <v>4361</v>
      </c>
    </row>
    <row r="4" spans="1:4" x14ac:dyDescent="0.2">
      <c r="A4" s="1" t="s">
        <v>4360</v>
      </c>
      <c r="B4" t="s">
        <v>4363</v>
      </c>
      <c r="C4" t="s">
        <v>4369</v>
      </c>
      <c r="D4" t="s">
        <v>4364</v>
      </c>
    </row>
    <row r="5" spans="1:4" x14ac:dyDescent="0.2">
      <c r="A5" s="2" t="s">
        <v>29</v>
      </c>
      <c r="B5" s="3">
        <v>443</v>
      </c>
      <c r="C5" s="6">
        <v>11242.122448979591</v>
      </c>
      <c r="D5" s="4">
        <v>4.0591422121896121</v>
      </c>
    </row>
    <row r="6" spans="1:4" x14ac:dyDescent="0.2">
      <c r="A6" s="2" t="s">
        <v>93</v>
      </c>
      <c r="B6" s="3">
        <v>221</v>
      </c>
      <c r="C6" s="6">
        <v>18768.203619909502</v>
      </c>
      <c r="D6" s="4">
        <v>4.0972850678733055</v>
      </c>
    </row>
    <row r="7" spans="1:4" x14ac:dyDescent="0.2">
      <c r="A7" s="2" t="s">
        <v>179</v>
      </c>
      <c r="B7" s="3">
        <v>279</v>
      </c>
      <c r="C7" s="6">
        <v>17392.060931899643</v>
      </c>
      <c r="D7" s="4">
        <v>4.0593525179856096</v>
      </c>
    </row>
    <row r="8" spans="1:4" x14ac:dyDescent="0.2">
      <c r="A8" s="2" t="s">
        <v>144</v>
      </c>
      <c r="B8" s="3">
        <v>172</v>
      </c>
      <c r="C8" s="6">
        <v>10109.186046511628</v>
      </c>
      <c r="D8" s="4">
        <v>4.1244186046511597</v>
      </c>
    </row>
    <row r="9" spans="1:4" x14ac:dyDescent="0.2">
      <c r="A9" s="2" t="s">
        <v>58</v>
      </c>
      <c r="B9" s="3">
        <v>66</v>
      </c>
      <c r="C9" s="6">
        <v>12592.439393939394</v>
      </c>
      <c r="D9" s="4">
        <v>4.2136363636363647</v>
      </c>
    </row>
    <row r="10" spans="1:4" x14ac:dyDescent="0.2">
      <c r="A10" s="2" t="s">
        <v>4362</v>
      </c>
      <c r="B10" s="3">
        <v>1181</v>
      </c>
      <c r="C10" s="6">
        <v>14018.502968617473</v>
      </c>
      <c r="D10" s="4">
        <v>4.0844915254237284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workbookViewId="0"/>
  </sheetViews>
  <sheetFormatPr baseColWidth="10" defaultColWidth="8.83203125" defaultRowHeight="15" x14ac:dyDescent="0.2"/>
  <cols>
    <col min="1" max="1" width="26" customWidth="1"/>
    <col min="2" max="2" width="100" customWidth="1"/>
  </cols>
  <sheetData>
    <row r="1" spans="1:2" x14ac:dyDescent="0.2">
      <c r="A1" t="s">
        <v>4317</v>
      </c>
      <c r="B1" t="s">
        <v>4318</v>
      </c>
    </row>
    <row r="2" spans="1:2" x14ac:dyDescent="0.2">
      <c r="A2" t="s">
        <v>0</v>
      </c>
      <c r="B2" t="s">
        <v>4319</v>
      </c>
    </row>
    <row r="3" spans="1:2" x14ac:dyDescent="0.2">
      <c r="A3" t="s">
        <v>3</v>
      </c>
      <c r="B3" t="s">
        <v>4320</v>
      </c>
    </row>
    <row r="4" spans="1:2" x14ac:dyDescent="0.2">
      <c r="A4" t="s">
        <v>8</v>
      </c>
      <c r="B4" t="s">
        <v>4321</v>
      </c>
    </row>
    <row r="5" spans="1:2" x14ac:dyDescent="0.2">
      <c r="A5" t="s">
        <v>9</v>
      </c>
      <c r="B5" t="s">
        <v>4322</v>
      </c>
    </row>
    <row r="6" spans="1:2" x14ac:dyDescent="0.2">
      <c r="A6" t="s">
        <v>10</v>
      </c>
      <c r="B6" t="s">
        <v>4323</v>
      </c>
    </row>
    <row r="7" spans="1:2" x14ac:dyDescent="0.2">
      <c r="A7" t="s">
        <v>11</v>
      </c>
      <c r="B7" t="s">
        <v>4324</v>
      </c>
    </row>
    <row r="8" spans="1:2" x14ac:dyDescent="0.2">
      <c r="A8" t="s">
        <v>12</v>
      </c>
      <c r="B8" t="s">
        <v>4325</v>
      </c>
    </row>
    <row r="9" spans="1:2" x14ac:dyDescent="0.2">
      <c r="A9" t="s">
        <v>13</v>
      </c>
      <c r="B9" t="s">
        <v>4326</v>
      </c>
    </row>
    <row r="10" spans="1:2" x14ac:dyDescent="0.2">
      <c r="A10" t="s">
        <v>14</v>
      </c>
      <c r="B10" t="s">
        <v>4327</v>
      </c>
    </row>
    <row r="11" spans="1:2" x14ac:dyDescent="0.2">
      <c r="A11" t="s">
        <v>15</v>
      </c>
      <c r="B11" t="s">
        <v>4328</v>
      </c>
    </row>
    <row r="12" spans="1:2" x14ac:dyDescent="0.2">
      <c r="A12" t="s">
        <v>16</v>
      </c>
      <c r="B12" t="s">
        <v>4329</v>
      </c>
    </row>
    <row r="13" spans="1:2" x14ac:dyDescent="0.2">
      <c r="A13" t="s">
        <v>17</v>
      </c>
      <c r="B13" t="s">
        <v>4330</v>
      </c>
    </row>
    <row r="14" spans="1:2" x14ac:dyDescent="0.2">
      <c r="A14" t="s">
        <v>18</v>
      </c>
      <c r="B14" t="s">
        <v>4331</v>
      </c>
    </row>
    <row r="15" spans="1:2" x14ac:dyDescent="0.2">
      <c r="A15" t="s">
        <v>19</v>
      </c>
      <c r="B15" t="s">
        <v>4332</v>
      </c>
    </row>
    <row r="16" spans="1:2" x14ac:dyDescent="0.2">
      <c r="A16" t="s">
        <v>20</v>
      </c>
      <c r="B16" t="s">
        <v>4333</v>
      </c>
    </row>
    <row r="17" spans="1:2" x14ac:dyDescent="0.2">
      <c r="A17" t="s">
        <v>21</v>
      </c>
      <c r="B17" t="s">
        <v>4334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5"/>
  <sheetViews>
    <sheetView workbookViewId="0"/>
  </sheetViews>
  <sheetFormatPr baseColWidth="10" defaultColWidth="8.83203125" defaultRowHeight="15" x14ac:dyDescent="0.2"/>
  <cols>
    <col min="1" max="1" width="150" customWidth="1"/>
  </cols>
  <sheetData>
    <row r="1" spans="1:1" x14ac:dyDescent="0.2">
      <c r="A1" t="s">
        <v>4335</v>
      </c>
    </row>
    <row r="2" spans="1:1" x14ac:dyDescent="0.2">
      <c r="A2" t="s">
        <v>4336</v>
      </c>
    </row>
    <row r="3" spans="1:1" x14ac:dyDescent="0.2">
      <c r="A3" t="s">
        <v>4337</v>
      </c>
    </row>
    <row r="4" spans="1:1" x14ac:dyDescent="0.2">
      <c r="A4" t="s">
        <v>4338</v>
      </c>
    </row>
    <row r="5" spans="1:1" x14ac:dyDescent="0.2">
      <c r="A5" t="s">
        <v>4339</v>
      </c>
    </row>
    <row r="6" spans="1:1" x14ac:dyDescent="0.2">
      <c r="A6" t="s">
        <v>4340</v>
      </c>
    </row>
    <row r="7" spans="1:1" x14ac:dyDescent="0.2">
      <c r="A7" t="s">
        <v>4341</v>
      </c>
    </row>
    <row r="8" spans="1:1" x14ac:dyDescent="0.2">
      <c r="A8" t="s">
        <v>4342</v>
      </c>
    </row>
    <row r="9" spans="1:1" x14ac:dyDescent="0.2">
      <c r="A9" t="s">
        <v>4343</v>
      </c>
    </row>
    <row r="10" spans="1:1" x14ac:dyDescent="0.2">
      <c r="A10" t="s">
        <v>4344</v>
      </c>
    </row>
    <row r="11" spans="1:1" x14ac:dyDescent="0.2">
      <c r="A11" t="s">
        <v>4345</v>
      </c>
    </row>
    <row r="12" spans="1:1" x14ac:dyDescent="0.2">
      <c r="A12" t="s">
        <v>4346</v>
      </c>
    </row>
    <row r="13" spans="1:1" x14ac:dyDescent="0.2">
      <c r="A13" t="s">
        <v>4347</v>
      </c>
    </row>
    <row r="14" spans="1:1" x14ac:dyDescent="0.2">
      <c r="A14" t="s">
        <v>4348</v>
      </c>
    </row>
    <row r="15" spans="1:1" x14ac:dyDescent="0.2">
      <c r="A15" t="s">
        <v>4349</v>
      </c>
    </row>
    <row r="16" spans="1:1" x14ac:dyDescent="0.2">
      <c r="A16" t="s">
        <v>4350</v>
      </c>
    </row>
    <row r="17" spans="1:1" x14ac:dyDescent="0.2">
      <c r="A17" t="s">
        <v>4351</v>
      </c>
    </row>
    <row r="18" spans="1:1" x14ac:dyDescent="0.2">
      <c r="A18" t="s">
        <v>4352</v>
      </c>
    </row>
    <row r="19" spans="1:1" x14ac:dyDescent="0.2">
      <c r="A19" t="s">
        <v>4353</v>
      </c>
    </row>
    <row r="20" spans="1:1" x14ac:dyDescent="0.2">
      <c r="A20" t="s">
        <v>4354</v>
      </c>
    </row>
    <row r="21" spans="1:1" x14ac:dyDescent="0.2">
      <c r="A21" t="s">
        <v>4355</v>
      </c>
    </row>
    <row r="22" spans="1:1" x14ac:dyDescent="0.2">
      <c r="A22" t="s">
        <v>4356</v>
      </c>
    </row>
    <row r="23" spans="1:1" x14ac:dyDescent="0.2">
      <c r="A23" t="s">
        <v>4357</v>
      </c>
    </row>
    <row r="24" spans="1:1" x14ac:dyDescent="0.2">
      <c r="A24" t="s">
        <v>4358</v>
      </c>
    </row>
    <row r="25" spans="1:1" x14ac:dyDescent="0.2">
      <c r="A25" t="s">
        <v>4359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Summary</vt:lpstr>
      <vt:lpstr>Products</vt:lpstr>
      <vt:lpstr>Pivot Category</vt:lpstr>
      <vt:lpstr>Pivot_Price</vt:lpstr>
      <vt:lpstr>Data dictionary</vt:lpstr>
      <vt:lpstr>Decision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Soumil Jain</cp:lastModifiedBy>
  <dcterms:created xsi:type="dcterms:W3CDTF">2026-10-16T19:14:19Z</dcterms:created>
  <dcterms:modified xsi:type="dcterms:W3CDTF">2026-10-17T21:04:42Z</dcterms:modified>
</cp:coreProperties>
</file>